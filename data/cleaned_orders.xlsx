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10" windowWidth="20775" windowHeight="7365"/>
  </bookViews>
  <sheets>
    <sheet name="cleaned_orders" sheetId="1" r:id="rId1"/>
    <sheet name="Data Issue working" sheetId="2" r:id="rId2"/>
    <sheet name="business_rules" sheetId="3" r:id="rId3"/>
  </sheets>
  <calcPr calcId="124519"/>
  <fileRecoveryPr repairLoad="1"/>
  <extLst>
    <ext uri="GoogleSheetsCustomDataVersion2">
      <go:sheetsCustomData xmlns:go="http://customooxmlschemas.google.com/" r:id="rId7" roundtripDataChecksum="Gjgja8brp35FrahoBbZxFtOvKkUD1pcQ7Tm8q+J7uGs="/>
    </ext>
  </extLst>
</workbook>
</file>

<file path=xl/calcChain.xml><?xml version="1.0" encoding="utf-8"?>
<calcChain xmlns="http://schemas.openxmlformats.org/spreadsheetml/2006/main">
  <c r="B20" i="2"/>
  <c r="B19"/>
  <c r="B18"/>
  <c r="B14"/>
  <c r="B13"/>
  <c r="B12"/>
  <c r="B11"/>
  <c r="B10"/>
  <c r="AX933" i="1"/>
  <c r="AW933"/>
  <c r="AQ933"/>
  <c r="AR933" s="1"/>
  <c r="AI933"/>
  <c r="AH933"/>
  <c r="AG933"/>
  <c r="AF933"/>
  <c r="AE933"/>
  <c r="AD933"/>
  <c r="AB933"/>
  <c r="AA933"/>
  <c r="Y933"/>
  <c r="AX932"/>
  <c r="AW932"/>
  <c r="AQ932"/>
  <c r="AR932" s="1"/>
  <c r="AI932"/>
  <c r="AH932"/>
  <c r="AG932"/>
  <c r="AF932"/>
  <c r="AE932"/>
  <c r="AD932"/>
  <c r="AB932"/>
  <c r="AA932"/>
  <c r="Y932"/>
  <c r="AX931"/>
  <c r="AW931"/>
  <c r="AQ931"/>
  <c r="AR931" s="1"/>
  <c r="AI931"/>
  <c r="AH931"/>
  <c r="AG931"/>
  <c r="AF931"/>
  <c r="AE931"/>
  <c r="AD931"/>
  <c r="AB931"/>
  <c r="AA931"/>
  <c r="Y931"/>
  <c r="AX930"/>
  <c r="AW930"/>
  <c r="AQ930"/>
  <c r="AR930" s="1"/>
  <c r="AI930"/>
  <c r="AH930"/>
  <c r="AG930"/>
  <c r="AF930"/>
  <c r="AE930"/>
  <c r="AD930"/>
  <c r="AB930"/>
  <c r="AA930"/>
  <c r="Y930"/>
  <c r="AX929"/>
  <c r="AW929"/>
  <c r="AQ929"/>
  <c r="AR929" s="1"/>
  <c r="AI929"/>
  <c r="AH929"/>
  <c r="AG929"/>
  <c r="AF929"/>
  <c r="AE929"/>
  <c r="AD929"/>
  <c r="AB929"/>
  <c r="AA929"/>
  <c r="Y929"/>
  <c r="AX928"/>
  <c r="AW928"/>
  <c r="AT928"/>
  <c r="AQ928"/>
  <c r="AR928" s="1"/>
  <c r="AS928" s="1"/>
  <c r="AI928"/>
  <c r="AH928"/>
  <c r="AG928"/>
  <c r="AF928"/>
  <c r="AE928"/>
  <c r="AD928"/>
  <c r="AB928"/>
  <c r="AA928"/>
  <c r="Y928"/>
  <c r="AX927"/>
  <c r="AW927"/>
  <c r="AQ927"/>
  <c r="AR927" s="1"/>
  <c r="AS927" s="1"/>
  <c r="AI927"/>
  <c r="AH927"/>
  <c r="AG927"/>
  <c r="AF927"/>
  <c r="AE927"/>
  <c r="AD927"/>
  <c r="AB927"/>
  <c r="AA927"/>
  <c r="Y927"/>
  <c r="AX926"/>
  <c r="AW926"/>
  <c r="AT926"/>
  <c r="AQ926"/>
  <c r="AR926" s="1"/>
  <c r="AS926" s="1"/>
  <c r="AI926"/>
  <c r="AH926"/>
  <c r="AG926"/>
  <c r="AF926"/>
  <c r="AE926"/>
  <c r="AD926"/>
  <c r="AB926"/>
  <c r="AA926"/>
  <c r="Y926"/>
  <c r="AX925"/>
  <c r="AW925"/>
  <c r="AT925"/>
  <c r="AQ925"/>
  <c r="AR925" s="1"/>
  <c r="AS925" s="1"/>
  <c r="AI925"/>
  <c r="AH925"/>
  <c r="AG925"/>
  <c r="AF925"/>
  <c r="AE925"/>
  <c r="AD925"/>
  <c r="AB925"/>
  <c r="AA925"/>
  <c r="Y925"/>
  <c r="AX924"/>
  <c r="AW924"/>
  <c r="AT924"/>
  <c r="AQ924"/>
  <c r="AR924" s="1"/>
  <c r="AS924" s="1"/>
  <c r="AI924"/>
  <c r="AH924"/>
  <c r="AG924"/>
  <c r="AF924"/>
  <c r="AE924"/>
  <c r="AD924"/>
  <c r="AB924"/>
  <c r="AA924"/>
  <c r="Y924"/>
  <c r="AX923"/>
  <c r="AW923"/>
  <c r="AQ923"/>
  <c r="AR923" s="1"/>
  <c r="AS923" s="1"/>
  <c r="AI923"/>
  <c r="AH923"/>
  <c r="AG923"/>
  <c r="AF923"/>
  <c r="AE923"/>
  <c r="AD923"/>
  <c r="AB923"/>
  <c r="AA923"/>
  <c r="Y923"/>
  <c r="AX922"/>
  <c r="AW922"/>
  <c r="AQ922"/>
  <c r="AR922" s="1"/>
  <c r="AS922" s="1"/>
  <c r="AI922"/>
  <c r="AH922"/>
  <c r="AG922"/>
  <c r="AF922"/>
  <c r="AE922"/>
  <c r="AD922"/>
  <c r="AB922"/>
  <c r="AA922"/>
  <c r="Y922"/>
  <c r="AX921"/>
  <c r="AW921"/>
  <c r="AT921"/>
  <c r="AQ921"/>
  <c r="AR921" s="1"/>
  <c r="AS921" s="1"/>
  <c r="AI921"/>
  <c r="AH921"/>
  <c r="AG921"/>
  <c r="AF921"/>
  <c r="AE921"/>
  <c r="AD921"/>
  <c r="AB921"/>
  <c r="AA921"/>
  <c r="Y921"/>
  <c r="AX920"/>
  <c r="AW920"/>
  <c r="AQ920"/>
  <c r="AR920" s="1"/>
  <c r="AS920" s="1"/>
  <c r="AI920"/>
  <c r="AH920"/>
  <c r="AG920"/>
  <c r="AF920"/>
  <c r="AE920"/>
  <c r="AD920"/>
  <c r="AB920"/>
  <c r="AA920"/>
  <c r="Y920"/>
  <c r="AX919"/>
  <c r="AW919"/>
  <c r="AQ919"/>
  <c r="AR919" s="1"/>
  <c r="AS919" s="1"/>
  <c r="AI919"/>
  <c r="AH919"/>
  <c r="AG919"/>
  <c r="AF919"/>
  <c r="AE919"/>
  <c r="AD919"/>
  <c r="AB919"/>
  <c r="AA919"/>
  <c r="Y919"/>
  <c r="AX918"/>
  <c r="AW918"/>
  <c r="AT918"/>
  <c r="AQ918"/>
  <c r="AR918" s="1"/>
  <c r="AS918" s="1"/>
  <c r="AI918"/>
  <c r="AH918"/>
  <c r="AG918"/>
  <c r="AF918"/>
  <c r="AE918"/>
  <c r="AD918"/>
  <c r="AB918"/>
  <c r="AA918"/>
  <c r="Y918"/>
  <c r="AX917"/>
  <c r="AW917"/>
  <c r="AT917"/>
  <c r="AQ917"/>
  <c r="AR917" s="1"/>
  <c r="AS917" s="1"/>
  <c r="AI917"/>
  <c r="AH917"/>
  <c r="AG917"/>
  <c r="AF917"/>
  <c r="AE917"/>
  <c r="AD917"/>
  <c r="AB917"/>
  <c r="AA917"/>
  <c r="Y917"/>
  <c r="AX916"/>
  <c r="AW916"/>
  <c r="AQ916"/>
  <c r="AR916" s="1"/>
  <c r="AS916" s="1"/>
  <c r="AI916"/>
  <c r="AH916"/>
  <c r="AG916"/>
  <c r="AF916"/>
  <c r="AE916"/>
  <c r="AD916"/>
  <c r="AB916"/>
  <c r="AA916"/>
  <c r="Y916"/>
  <c r="AX915"/>
  <c r="AW915"/>
  <c r="AQ915"/>
  <c r="AR915" s="1"/>
  <c r="AS915" s="1"/>
  <c r="AI915"/>
  <c r="AH915"/>
  <c r="AG915"/>
  <c r="AF915"/>
  <c r="AE915"/>
  <c r="AD915"/>
  <c r="AB915"/>
  <c r="AA915"/>
  <c r="Y915"/>
  <c r="AX914"/>
  <c r="AW914"/>
  <c r="AT914"/>
  <c r="AQ914"/>
  <c r="AR914" s="1"/>
  <c r="AS914" s="1"/>
  <c r="AI914"/>
  <c r="AH914"/>
  <c r="AG914"/>
  <c r="AF914"/>
  <c r="AE914"/>
  <c r="AD914"/>
  <c r="AB914"/>
  <c r="AA914"/>
  <c r="Y914"/>
  <c r="AX913"/>
  <c r="AW913"/>
  <c r="AT913"/>
  <c r="AQ913"/>
  <c r="AR913" s="1"/>
  <c r="AS913" s="1"/>
  <c r="AI913"/>
  <c r="AH913"/>
  <c r="AG913"/>
  <c r="AF913"/>
  <c r="AE913"/>
  <c r="AD913"/>
  <c r="AB913"/>
  <c r="AA913"/>
  <c r="Y913"/>
  <c r="AX912"/>
  <c r="AW912"/>
  <c r="AQ912"/>
  <c r="AR912" s="1"/>
  <c r="AS912" s="1"/>
  <c r="AI912"/>
  <c r="AH912"/>
  <c r="AG912"/>
  <c r="AF912"/>
  <c r="AE912"/>
  <c r="AD912"/>
  <c r="AB912"/>
  <c r="AA912"/>
  <c r="Y912"/>
  <c r="AX911"/>
  <c r="AW911"/>
  <c r="AQ911"/>
  <c r="AR911" s="1"/>
  <c r="AS911" s="1"/>
  <c r="AI911"/>
  <c r="AH911"/>
  <c r="AG911"/>
  <c r="AF911"/>
  <c r="AE911"/>
  <c r="AD911"/>
  <c r="AB911"/>
  <c r="AA911"/>
  <c r="Y911"/>
  <c r="AX910"/>
  <c r="AW910"/>
  <c r="AT910"/>
  <c r="AQ910"/>
  <c r="AR910" s="1"/>
  <c r="AS910" s="1"/>
  <c r="AI910"/>
  <c r="AH910"/>
  <c r="AG910"/>
  <c r="AF910"/>
  <c r="AE910"/>
  <c r="AD910"/>
  <c r="AB910"/>
  <c r="AA910"/>
  <c r="Y910"/>
  <c r="AX909"/>
  <c r="AW909"/>
  <c r="AT909"/>
  <c r="AQ909"/>
  <c r="AR909" s="1"/>
  <c r="AS909" s="1"/>
  <c r="AI909"/>
  <c r="AH909"/>
  <c r="AG909"/>
  <c r="AF909"/>
  <c r="AE909"/>
  <c r="AD909"/>
  <c r="AB909"/>
  <c r="AA909"/>
  <c r="Y909"/>
  <c r="AX908"/>
  <c r="AW908"/>
  <c r="AQ908"/>
  <c r="AR908" s="1"/>
  <c r="AS908" s="1"/>
  <c r="AI908"/>
  <c r="AH908"/>
  <c r="AG908"/>
  <c r="AF908"/>
  <c r="AE908"/>
  <c r="AD908"/>
  <c r="AB908"/>
  <c r="AA908"/>
  <c r="Y908"/>
  <c r="AX907"/>
  <c r="AW907"/>
  <c r="AQ907"/>
  <c r="AR907" s="1"/>
  <c r="AS907" s="1"/>
  <c r="AI907"/>
  <c r="AH907"/>
  <c r="AG907"/>
  <c r="AF907"/>
  <c r="AE907"/>
  <c r="AD907"/>
  <c r="AB907"/>
  <c r="AA907"/>
  <c r="Y907"/>
  <c r="AX906"/>
  <c r="AW906"/>
  <c r="AT906"/>
  <c r="AQ906"/>
  <c r="AR906" s="1"/>
  <c r="AS906" s="1"/>
  <c r="AI906"/>
  <c r="AH906"/>
  <c r="AG906"/>
  <c r="AF906"/>
  <c r="AE906"/>
  <c r="AD906"/>
  <c r="AB906"/>
  <c r="AA906"/>
  <c r="Y906"/>
  <c r="AX905"/>
  <c r="AW905"/>
  <c r="AT905"/>
  <c r="AQ905"/>
  <c r="AR905" s="1"/>
  <c r="AS905" s="1"/>
  <c r="AI905"/>
  <c r="AH905"/>
  <c r="AG905"/>
  <c r="AF905"/>
  <c r="AE905"/>
  <c r="AD905"/>
  <c r="AB905"/>
  <c r="AA905"/>
  <c r="Y905"/>
  <c r="AX904"/>
  <c r="AW904"/>
  <c r="AQ904"/>
  <c r="AR904" s="1"/>
  <c r="AS904" s="1"/>
  <c r="AI904"/>
  <c r="AH904"/>
  <c r="AG904"/>
  <c r="AF904"/>
  <c r="AE904"/>
  <c r="AD904"/>
  <c r="AB904"/>
  <c r="AA904"/>
  <c r="Y904"/>
  <c r="AX903"/>
  <c r="AW903"/>
  <c r="AQ903"/>
  <c r="AR903" s="1"/>
  <c r="AS903" s="1"/>
  <c r="AI903"/>
  <c r="AH903"/>
  <c r="AG903"/>
  <c r="AF903"/>
  <c r="AE903"/>
  <c r="AD903"/>
  <c r="AB903"/>
  <c r="AA903"/>
  <c r="Y903"/>
  <c r="AX902"/>
  <c r="AW902"/>
  <c r="AQ902"/>
  <c r="AR902" s="1"/>
  <c r="AS902" s="1"/>
  <c r="AI902"/>
  <c r="AH902"/>
  <c r="AG902"/>
  <c r="AF902"/>
  <c r="AE902"/>
  <c r="AD902"/>
  <c r="AB902"/>
  <c r="AA902"/>
  <c r="Y902"/>
  <c r="AX901"/>
  <c r="AW901"/>
  <c r="AT901"/>
  <c r="AQ901"/>
  <c r="AR901" s="1"/>
  <c r="AS901" s="1"/>
  <c r="AI901"/>
  <c r="AH901"/>
  <c r="AG901"/>
  <c r="AF901"/>
  <c r="AE901"/>
  <c r="AD901"/>
  <c r="AB901"/>
  <c r="AA901"/>
  <c r="Y901"/>
  <c r="AX900"/>
  <c r="AW900"/>
  <c r="AT900"/>
  <c r="AQ900"/>
  <c r="AR900" s="1"/>
  <c r="AS900" s="1"/>
  <c r="AI900"/>
  <c r="AH900"/>
  <c r="AG900"/>
  <c r="AF900"/>
  <c r="AE900"/>
  <c r="AD900"/>
  <c r="AB900"/>
  <c r="AA900"/>
  <c r="Y900"/>
  <c r="AX899"/>
  <c r="AW899"/>
  <c r="AQ899"/>
  <c r="AR899" s="1"/>
  <c r="AS899" s="1"/>
  <c r="AI899"/>
  <c r="AH899"/>
  <c r="AG899"/>
  <c r="AF899"/>
  <c r="AE899"/>
  <c r="AD899"/>
  <c r="AB899"/>
  <c r="AA899"/>
  <c r="Y899"/>
  <c r="AX898"/>
  <c r="AW898"/>
  <c r="AQ898"/>
  <c r="AR898" s="1"/>
  <c r="AS898" s="1"/>
  <c r="AI898"/>
  <c r="AH898"/>
  <c r="AG898"/>
  <c r="AF898"/>
  <c r="AE898"/>
  <c r="AD898"/>
  <c r="AB898"/>
  <c r="AA898"/>
  <c r="Y898"/>
  <c r="AX897"/>
  <c r="AW897"/>
  <c r="AT897"/>
  <c r="AQ897"/>
  <c r="AR897" s="1"/>
  <c r="AS897" s="1"/>
  <c r="AI897"/>
  <c r="AH897"/>
  <c r="AG897"/>
  <c r="AF897"/>
  <c r="AE897"/>
  <c r="AD897"/>
  <c r="AB897"/>
  <c r="AA897"/>
  <c r="Y897"/>
  <c r="AX896"/>
  <c r="AW896"/>
  <c r="AQ896"/>
  <c r="AR896" s="1"/>
  <c r="AS896" s="1"/>
  <c r="AI896"/>
  <c r="AH896"/>
  <c r="AG896"/>
  <c r="AF896"/>
  <c r="AE896"/>
  <c r="AD896"/>
  <c r="AB896"/>
  <c r="AA896"/>
  <c r="Y896"/>
  <c r="AX895"/>
  <c r="AW895"/>
  <c r="AQ895"/>
  <c r="AR895" s="1"/>
  <c r="AS895" s="1"/>
  <c r="AI895"/>
  <c r="AH895"/>
  <c r="AG895"/>
  <c r="AF895"/>
  <c r="AE895"/>
  <c r="AD895"/>
  <c r="AB895"/>
  <c r="AA895"/>
  <c r="Y895"/>
  <c r="AX894"/>
  <c r="AW894"/>
  <c r="AT894"/>
  <c r="AQ894"/>
  <c r="AR894" s="1"/>
  <c r="AS894" s="1"/>
  <c r="AI894"/>
  <c r="AH894"/>
  <c r="AG894"/>
  <c r="AF894"/>
  <c r="AE894"/>
  <c r="AD894"/>
  <c r="AB894"/>
  <c r="AA894"/>
  <c r="Y894"/>
  <c r="AX893"/>
  <c r="AW893"/>
  <c r="AT893"/>
  <c r="AQ893"/>
  <c r="AR893" s="1"/>
  <c r="AS893" s="1"/>
  <c r="AI893"/>
  <c r="AH893"/>
  <c r="AG893"/>
  <c r="AF893"/>
  <c r="AE893"/>
  <c r="AD893"/>
  <c r="AB893"/>
  <c r="AA893"/>
  <c r="Y893"/>
  <c r="AX892"/>
  <c r="AW892"/>
  <c r="AQ892"/>
  <c r="AR892" s="1"/>
  <c r="AS892" s="1"/>
  <c r="AI892"/>
  <c r="AH892"/>
  <c r="AG892"/>
  <c r="AF892"/>
  <c r="AE892"/>
  <c r="AD892"/>
  <c r="AB892"/>
  <c r="AA892"/>
  <c r="Y892"/>
  <c r="AX891"/>
  <c r="AW891"/>
  <c r="AQ891"/>
  <c r="AR891" s="1"/>
  <c r="AS891" s="1"/>
  <c r="AI891"/>
  <c r="AH891"/>
  <c r="AG891"/>
  <c r="AF891"/>
  <c r="AE891"/>
  <c r="AD891"/>
  <c r="AB891"/>
  <c r="AA891"/>
  <c r="Y891"/>
  <c r="AX890"/>
  <c r="AW890"/>
  <c r="AT890"/>
  <c r="AQ890"/>
  <c r="AR890" s="1"/>
  <c r="AS890" s="1"/>
  <c r="AI890"/>
  <c r="AH890"/>
  <c r="AG890"/>
  <c r="AF890"/>
  <c r="AE890"/>
  <c r="AD890"/>
  <c r="AB890"/>
  <c r="AA890"/>
  <c r="Y890"/>
  <c r="AX889"/>
  <c r="AW889"/>
  <c r="AT889"/>
  <c r="AQ889"/>
  <c r="AR889" s="1"/>
  <c r="AS889" s="1"/>
  <c r="AI889"/>
  <c r="AH889"/>
  <c r="AG889"/>
  <c r="AF889"/>
  <c r="AE889"/>
  <c r="AD889"/>
  <c r="AB889"/>
  <c r="AA889"/>
  <c r="Y889"/>
  <c r="AX888"/>
  <c r="AW888"/>
  <c r="AQ888"/>
  <c r="AR888" s="1"/>
  <c r="AS888" s="1"/>
  <c r="AI888"/>
  <c r="AH888"/>
  <c r="AG888"/>
  <c r="AF888"/>
  <c r="AE888"/>
  <c r="AD888"/>
  <c r="AB888"/>
  <c r="AA888"/>
  <c r="Y888"/>
  <c r="AX887"/>
  <c r="AW887"/>
  <c r="AQ887"/>
  <c r="AR887" s="1"/>
  <c r="AS887" s="1"/>
  <c r="AI887"/>
  <c r="AH887"/>
  <c r="AG887"/>
  <c r="AF887"/>
  <c r="AE887"/>
  <c r="AD887"/>
  <c r="AB887"/>
  <c r="AA887"/>
  <c r="Y887"/>
  <c r="AX886"/>
  <c r="AW886"/>
  <c r="AT886"/>
  <c r="AQ886"/>
  <c r="AR886" s="1"/>
  <c r="AS886" s="1"/>
  <c r="AI886"/>
  <c r="AH886"/>
  <c r="AG886"/>
  <c r="AF886"/>
  <c r="AE886"/>
  <c r="AD886"/>
  <c r="AB886"/>
  <c r="AA886"/>
  <c r="Y886"/>
  <c r="AX885"/>
  <c r="AW885"/>
  <c r="AT885"/>
  <c r="AQ885"/>
  <c r="AR885" s="1"/>
  <c r="AS885" s="1"/>
  <c r="AI885"/>
  <c r="AH885"/>
  <c r="AG885"/>
  <c r="AF885"/>
  <c r="AE885"/>
  <c r="AD885"/>
  <c r="AB885"/>
  <c r="AA885"/>
  <c r="Y885"/>
  <c r="AX884"/>
  <c r="AW884"/>
  <c r="AQ884"/>
  <c r="AR884" s="1"/>
  <c r="AS884" s="1"/>
  <c r="AI884"/>
  <c r="AH884"/>
  <c r="AG884"/>
  <c r="AF884"/>
  <c r="AE884"/>
  <c r="AD884"/>
  <c r="AB884"/>
  <c r="AA884"/>
  <c r="Y884"/>
  <c r="AX883"/>
  <c r="AW883"/>
  <c r="AQ883"/>
  <c r="AR883" s="1"/>
  <c r="AS883" s="1"/>
  <c r="AI883"/>
  <c r="AH883"/>
  <c r="AG883"/>
  <c r="AF883"/>
  <c r="AE883"/>
  <c r="AD883"/>
  <c r="AB883"/>
  <c r="AA883"/>
  <c r="Y883"/>
  <c r="AX882"/>
  <c r="AW882"/>
  <c r="AT882"/>
  <c r="AQ882"/>
  <c r="AR882" s="1"/>
  <c r="AS882" s="1"/>
  <c r="AI882"/>
  <c r="AH882"/>
  <c r="AG882"/>
  <c r="AF882"/>
  <c r="AE882"/>
  <c r="AD882"/>
  <c r="AB882"/>
  <c r="AA882"/>
  <c r="Y882"/>
  <c r="AX881"/>
  <c r="AW881"/>
  <c r="AT881"/>
  <c r="AQ881"/>
  <c r="AR881" s="1"/>
  <c r="AS881" s="1"/>
  <c r="AI881"/>
  <c r="AH881"/>
  <c r="AG881"/>
  <c r="AF881"/>
  <c r="AE881"/>
  <c r="AD881"/>
  <c r="AB881"/>
  <c r="AA881"/>
  <c r="Y881"/>
  <c r="AX880"/>
  <c r="AW880"/>
  <c r="AQ880"/>
  <c r="AR880" s="1"/>
  <c r="AS880" s="1"/>
  <c r="AI880"/>
  <c r="AH880"/>
  <c r="AG880"/>
  <c r="AF880"/>
  <c r="AE880"/>
  <c r="AD880"/>
  <c r="AB880"/>
  <c r="AA880"/>
  <c r="Y880"/>
  <c r="AX879"/>
  <c r="AW879"/>
  <c r="AQ879"/>
  <c r="AR879" s="1"/>
  <c r="AS879" s="1"/>
  <c r="AI879"/>
  <c r="AH879"/>
  <c r="AG879"/>
  <c r="AF879"/>
  <c r="AE879"/>
  <c r="AD879"/>
  <c r="AB879"/>
  <c r="AA879"/>
  <c r="Y879"/>
  <c r="AX878"/>
  <c r="AW878"/>
  <c r="AT878"/>
  <c r="AQ878"/>
  <c r="AR878" s="1"/>
  <c r="AS878" s="1"/>
  <c r="AI878"/>
  <c r="AH878"/>
  <c r="AG878"/>
  <c r="AF878"/>
  <c r="AE878"/>
  <c r="AD878"/>
  <c r="AB878"/>
  <c r="AA878"/>
  <c r="Y878"/>
  <c r="AX877"/>
  <c r="AW877"/>
  <c r="AT877"/>
  <c r="AQ877"/>
  <c r="AR877" s="1"/>
  <c r="AS877" s="1"/>
  <c r="AI877"/>
  <c r="AH877"/>
  <c r="AG877"/>
  <c r="AF877"/>
  <c r="AE877"/>
  <c r="AD877"/>
  <c r="AB877"/>
  <c r="AA877"/>
  <c r="Y877"/>
  <c r="AX876"/>
  <c r="AW876"/>
  <c r="AQ876"/>
  <c r="AR876" s="1"/>
  <c r="AS876" s="1"/>
  <c r="AI876"/>
  <c r="AH876"/>
  <c r="AG876"/>
  <c r="AF876"/>
  <c r="AE876"/>
  <c r="AD876"/>
  <c r="AB876"/>
  <c r="AA876"/>
  <c r="Y876"/>
  <c r="AX875"/>
  <c r="AW875"/>
  <c r="AQ875"/>
  <c r="AR875" s="1"/>
  <c r="AS875" s="1"/>
  <c r="AI875"/>
  <c r="AH875"/>
  <c r="AG875"/>
  <c r="AF875"/>
  <c r="AE875"/>
  <c r="AD875"/>
  <c r="AB875"/>
  <c r="AA875"/>
  <c r="Y875"/>
  <c r="AX874"/>
  <c r="AW874"/>
  <c r="AT874"/>
  <c r="AQ874"/>
  <c r="AR874" s="1"/>
  <c r="AS874" s="1"/>
  <c r="AI874"/>
  <c r="AH874"/>
  <c r="AG874"/>
  <c r="AF874"/>
  <c r="AE874"/>
  <c r="AD874"/>
  <c r="AB874"/>
  <c r="AA874"/>
  <c r="Y874"/>
  <c r="AX873"/>
  <c r="AW873"/>
  <c r="AT873"/>
  <c r="AQ873"/>
  <c r="AR873" s="1"/>
  <c r="AS873" s="1"/>
  <c r="AI873"/>
  <c r="AH873"/>
  <c r="AG873"/>
  <c r="AF873"/>
  <c r="AE873"/>
  <c r="AD873"/>
  <c r="AB873"/>
  <c r="AA873"/>
  <c r="Y873"/>
  <c r="AX872"/>
  <c r="AW872"/>
  <c r="AQ872"/>
  <c r="AR872" s="1"/>
  <c r="AS872" s="1"/>
  <c r="AI872"/>
  <c r="AH872"/>
  <c r="AG872"/>
  <c r="AF872"/>
  <c r="AE872"/>
  <c r="AD872"/>
  <c r="AB872"/>
  <c r="AA872"/>
  <c r="Y872"/>
  <c r="AX871"/>
  <c r="AW871"/>
  <c r="AQ871"/>
  <c r="AR871" s="1"/>
  <c r="AS871" s="1"/>
  <c r="AI871"/>
  <c r="AH871"/>
  <c r="AG871"/>
  <c r="AF871"/>
  <c r="AE871"/>
  <c r="AD871"/>
  <c r="AB871"/>
  <c r="AA871"/>
  <c r="Y871"/>
  <c r="AX870"/>
  <c r="AW870"/>
  <c r="AQ870"/>
  <c r="AR870" s="1"/>
  <c r="AS870" s="1"/>
  <c r="AI870"/>
  <c r="AH870"/>
  <c r="AG870"/>
  <c r="AF870"/>
  <c r="AE870"/>
  <c r="AD870"/>
  <c r="AB870"/>
  <c r="AA870"/>
  <c r="Y870"/>
  <c r="AX869"/>
  <c r="AW869"/>
  <c r="AT869"/>
  <c r="AQ869"/>
  <c r="AR869" s="1"/>
  <c r="AS869" s="1"/>
  <c r="AI869"/>
  <c r="AH869"/>
  <c r="AG869"/>
  <c r="AF869"/>
  <c r="AE869"/>
  <c r="AD869"/>
  <c r="AB869"/>
  <c r="AA869"/>
  <c r="Y869"/>
  <c r="AX868"/>
  <c r="AW868"/>
  <c r="AQ868"/>
  <c r="AR868" s="1"/>
  <c r="AS868" s="1"/>
  <c r="AI868"/>
  <c r="AH868"/>
  <c r="AG868"/>
  <c r="AF868"/>
  <c r="AE868"/>
  <c r="AD868"/>
  <c r="AB868"/>
  <c r="AA868"/>
  <c r="Y868"/>
  <c r="AX867"/>
  <c r="AW867"/>
  <c r="AQ867"/>
  <c r="AR867" s="1"/>
  <c r="AS867" s="1"/>
  <c r="AI867"/>
  <c r="AH867"/>
  <c r="AG867"/>
  <c r="AF867"/>
  <c r="AE867"/>
  <c r="AD867"/>
  <c r="AB867"/>
  <c r="AA867"/>
  <c r="Y867"/>
  <c r="AX866"/>
  <c r="AW866"/>
  <c r="AQ866"/>
  <c r="AR866" s="1"/>
  <c r="AS866" s="1"/>
  <c r="AI866"/>
  <c r="AH866"/>
  <c r="AG866"/>
  <c r="AF866"/>
  <c r="AE866"/>
  <c r="AD866"/>
  <c r="AB866"/>
  <c r="AA866"/>
  <c r="Y866"/>
  <c r="AX865"/>
  <c r="AW865"/>
  <c r="AT865"/>
  <c r="AQ865"/>
  <c r="AR865" s="1"/>
  <c r="AS865" s="1"/>
  <c r="AI865"/>
  <c r="AH865"/>
  <c r="AG865"/>
  <c r="AF865"/>
  <c r="AE865"/>
  <c r="AD865"/>
  <c r="AB865"/>
  <c r="AA865"/>
  <c r="Y865"/>
  <c r="AX864"/>
  <c r="AW864"/>
  <c r="AQ864"/>
  <c r="AR864" s="1"/>
  <c r="AS864" s="1"/>
  <c r="AI864"/>
  <c r="AH864"/>
  <c r="AG864"/>
  <c r="AF864"/>
  <c r="AE864"/>
  <c r="AD864"/>
  <c r="AB864"/>
  <c r="AA864"/>
  <c r="Y864"/>
  <c r="AX863"/>
  <c r="AW863"/>
  <c r="AQ863"/>
  <c r="AR863" s="1"/>
  <c r="AS863" s="1"/>
  <c r="AI863"/>
  <c r="AH863"/>
  <c r="AG863"/>
  <c r="AF863"/>
  <c r="AE863"/>
  <c r="AD863"/>
  <c r="AB863"/>
  <c r="AA863"/>
  <c r="Y863"/>
  <c r="AX862"/>
  <c r="AW862"/>
  <c r="AT862"/>
  <c r="AQ862"/>
  <c r="AR862" s="1"/>
  <c r="AS862" s="1"/>
  <c r="AI862"/>
  <c r="AH862"/>
  <c r="AG862"/>
  <c r="AF862"/>
  <c r="AE862"/>
  <c r="AD862"/>
  <c r="AB862"/>
  <c r="AA862"/>
  <c r="Y862"/>
  <c r="AX861"/>
  <c r="AW861"/>
  <c r="AT861"/>
  <c r="AS861"/>
  <c r="AQ861"/>
  <c r="AR861" s="1"/>
  <c r="AI861"/>
  <c r="AH861"/>
  <c r="AG861"/>
  <c r="AF861"/>
  <c r="AE861"/>
  <c r="AD861"/>
  <c r="AB861"/>
  <c r="AA861"/>
  <c r="Y861"/>
  <c r="AX860"/>
  <c r="AW860"/>
  <c r="AT860"/>
  <c r="AS860"/>
  <c r="AQ860"/>
  <c r="AR860" s="1"/>
  <c r="AI860"/>
  <c r="AH860"/>
  <c r="AG860"/>
  <c r="AF860"/>
  <c r="AE860"/>
  <c r="AD860"/>
  <c r="AB860"/>
  <c r="AA860"/>
  <c r="Y860"/>
  <c r="AX859"/>
  <c r="AW859"/>
  <c r="AQ859"/>
  <c r="AR859" s="1"/>
  <c r="AS859" s="1"/>
  <c r="AI859"/>
  <c r="AH859"/>
  <c r="AG859"/>
  <c r="AF859"/>
  <c r="AE859"/>
  <c r="AD859"/>
  <c r="AB859"/>
  <c r="AA859"/>
  <c r="Y859"/>
  <c r="AX858"/>
  <c r="AW858"/>
  <c r="AT858"/>
  <c r="AQ858"/>
  <c r="AR858" s="1"/>
  <c r="AS858" s="1"/>
  <c r="AI858"/>
  <c r="AH858"/>
  <c r="AG858"/>
  <c r="AF858"/>
  <c r="AE858"/>
  <c r="AD858"/>
  <c r="AB858"/>
  <c r="AA858"/>
  <c r="Y858"/>
  <c r="AX857"/>
  <c r="AW857"/>
  <c r="AT857"/>
  <c r="AS857"/>
  <c r="AQ857"/>
  <c r="AR857" s="1"/>
  <c r="AI857"/>
  <c r="AH857"/>
  <c r="AG857"/>
  <c r="AF857"/>
  <c r="AE857"/>
  <c r="AD857"/>
  <c r="AB857"/>
  <c r="AA857"/>
  <c r="Y857"/>
  <c r="AX856"/>
  <c r="AW856"/>
  <c r="AT856"/>
  <c r="AS856"/>
  <c r="AQ856"/>
  <c r="AR856" s="1"/>
  <c r="AI856"/>
  <c r="AH856"/>
  <c r="AG856"/>
  <c r="AF856"/>
  <c r="AE856"/>
  <c r="AD856"/>
  <c r="AB856"/>
  <c r="AA856"/>
  <c r="Y856"/>
  <c r="AX855"/>
  <c r="AW855"/>
  <c r="AQ855"/>
  <c r="AR855" s="1"/>
  <c r="AS855" s="1"/>
  <c r="AI855"/>
  <c r="AH855"/>
  <c r="AG855"/>
  <c r="AF855"/>
  <c r="AE855"/>
  <c r="AD855"/>
  <c r="AB855"/>
  <c r="AA855"/>
  <c r="Y855"/>
  <c r="AX854"/>
  <c r="AW854"/>
  <c r="AT854"/>
  <c r="AQ854"/>
  <c r="AR854" s="1"/>
  <c r="AS854" s="1"/>
  <c r="AI854"/>
  <c r="AH854"/>
  <c r="AG854"/>
  <c r="AF854"/>
  <c r="AE854"/>
  <c r="AD854"/>
  <c r="AB854"/>
  <c r="AA854"/>
  <c r="Y854"/>
  <c r="AX853"/>
  <c r="AW853"/>
  <c r="AT853"/>
  <c r="AS853"/>
  <c r="AQ853"/>
  <c r="AR853" s="1"/>
  <c r="AI853"/>
  <c r="AH853"/>
  <c r="AG853"/>
  <c r="AF853"/>
  <c r="AE853"/>
  <c r="AD853"/>
  <c r="AB853"/>
  <c r="AA853"/>
  <c r="Y853"/>
  <c r="AX852"/>
  <c r="AW852"/>
  <c r="AT852"/>
  <c r="AS852"/>
  <c r="AQ852"/>
  <c r="AR852" s="1"/>
  <c r="AI852"/>
  <c r="AH852"/>
  <c r="AG852"/>
  <c r="AF852"/>
  <c r="AE852"/>
  <c r="AD852"/>
  <c r="AB852"/>
  <c r="AA852"/>
  <c r="Y852"/>
  <c r="AX851"/>
  <c r="AW851"/>
  <c r="AQ851"/>
  <c r="AR851" s="1"/>
  <c r="AS851" s="1"/>
  <c r="AI851"/>
  <c r="AH851"/>
  <c r="AG851"/>
  <c r="AF851"/>
  <c r="AE851"/>
  <c r="AD851"/>
  <c r="AB851"/>
  <c r="AA851"/>
  <c r="Y851"/>
  <c r="AX850"/>
  <c r="AW850"/>
  <c r="AT850"/>
  <c r="AQ850"/>
  <c r="AR850" s="1"/>
  <c r="AS850" s="1"/>
  <c r="AI850"/>
  <c r="AH850"/>
  <c r="AG850"/>
  <c r="AF850"/>
  <c r="AE850"/>
  <c r="AD850"/>
  <c r="AB850"/>
  <c r="AA850"/>
  <c r="Y850"/>
  <c r="AX849"/>
  <c r="AW849"/>
  <c r="AT849"/>
  <c r="AS849"/>
  <c r="AQ849"/>
  <c r="AR849" s="1"/>
  <c r="AI849"/>
  <c r="AH849"/>
  <c r="AG849"/>
  <c r="AF849"/>
  <c r="AE849"/>
  <c r="AD849"/>
  <c r="AB849"/>
  <c r="AA849"/>
  <c r="Y849"/>
  <c r="AX848"/>
  <c r="AW848"/>
  <c r="AT848"/>
  <c r="AS848"/>
  <c r="AQ848"/>
  <c r="AR848" s="1"/>
  <c r="AI848"/>
  <c r="AH848"/>
  <c r="AG848"/>
  <c r="AF848"/>
  <c r="AE848"/>
  <c r="AD848"/>
  <c r="AB848"/>
  <c r="AA848"/>
  <c r="Y848"/>
  <c r="AX847"/>
  <c r="AW847"/>
  <c r="AQ847"/>
  <c r="AR847" s="1"/>
  <c r="AS847" s="1"/>
  <c r="AI847"/>
  <c r="AH847"/>
  <c r="AG847"/>
  <c r="AF847"/>
  <c r="AE847"/>
  <c r="AD847"/>
  <c r="AB847"/>
  <c r="AA847"/>
  <c r="Y847"/>
  <c r="AX846"/>
  <c r="AW846"/>
  <c r="AT846"/>
  <c r="AQ846"/>
  <c r="AR846" s="1"/>
  <c r="AS846" s="1"/>
  <c r="AI846"/>
  <c r="AH846"/>
  <c r="AG846"/>
  <c r="AF846"/>
  <c r="AE846"/>
  <c r="AD846"/>
  <c r="AB846"/>
  <c r="AA846"/>
  <c r="Y846"/>
  <c r="AX845"/>
  <c r="AW845"/>
  <c r="AT845"/>
  <c r="AS845"/>
  <c r="AQ845"/>
  <c r="AR845" s="1"/>
  <c r="AI845"/>
  <c r="AH845"/>
  <c r="AG845"/>
  <c r="AF845"/>
  <c r="AE845"/>
  <c r="AD845"/>
  <c r="AB845"/>
  <c r="AA845"/>
  <c r="Y845"/>
  <c r="AX844"/>
  <c r="AW844"/>
  <c r="AT844"/>
  <c r="AS844"/>
  <c r="AQ844"/>
  <c r="AR844" s="1"/>
  <c r="AI844"/>
  <c r="AH844"/>
  <c r="AG844"/>
  <c r="AF844"/>
  <c r="AE844"/>
  <c r="AD844"/>
  <c r="AB844"/>
  <c r="AA844"/>
  <c r="Y844"/>
  <c r="AX843"/>
  <c r="AW843"/>
  <c r="AQ843"/>
  <c r="AR843" s="1"/>
  <c r="AS843" s="1"/>
  <c r="AI843"/>
  <c r="AH843"/>
  <c r="AG843"/>
  <c r="AF843"/>
  <c r="AE843"/>
  <c r="AD843"/>
  <c r="AB843"/>
  <c r="AA843"/>
  <c r="Y843"/>
  <c r="AX842"/>
  <c r="AW842"/>
  <c r="AT842"/>
  <c r="AQ842"/>
  <c r="AR842" s="1"/>
  <c r="AS842" s="1"/>
  <c r="AI842"/>
  <c r="AH842"/>
  <c r="AG842"/>
  <c r="AF842"/>
  <c r="AE842"/>
  <c r="AD842"/>
  <c r="AB842"/>
  <c r="AA842"/>
  <c r="Y842"/>
  <c r="AX841"/>
  <c r="AW841"/>
  <c r="AT841"/>
  <c r="AS841"/>
  <c r="AQ841"/>
  <c r="AR841" s="1"/>
  <c r="AI841"/>
  <c r="AH841"/>
  <c r="AG841"/>
  <c r="AF841"/>
  <c r="AE841"/>
  <c r="AD841"/>
  <c r="AB841"/>
  <c r="AA841"/>
  <c r="Y841"/>
  <c r="AX840"/>
  <c r="AW840"/>
  <c r="AT840"/>
  <c r="AS840"/>
  <c r="AQ840"/>
  <c r="AR840" s="1"/>
  <c r="AI840"/>
  <c r="AH840"/>
  <c r="AG840"/>
  <c r="AF840"/>
  <c r="AE840"/>
  <c r="AD840"/>
  <c r="AB840"/>
  <c r="AA840"/>
  <c r="Y840"/>
  <c r="AX839"/>
  <c r="AW839"/>
  <c r="AQ839"/>
  <c r="AR839" s="1"/>
  <c r="AS839" s="1"/>
  <c r="AI839"/>
  <c r="AH839"/>
  <c r="AG839"/>
  <c r="AF839"/>
  <c r="AE839"/>
  <c r="AD839"/>
  <c r="AB839"/>
  <c r="AA839"/>
  <c r="Y839"/>
  <c r="AX838"/>
  <c r="AW838"/>
  <c r="AT838"/>
  <c r="AQ838"/>
  <c r="AR838" s="1"/>
  <c r="AS838" s="1"/>
  <c r="AI838"/>
  <c r="AH838"/>
  <c r="AG838"/>
  <c r="AF838"/>
  <c r="AE838"/>
  <c r="AD838"/>
  <c r="AB838"/>
  <c r="AA838"/>
  <c r="Y838"/>
  <c r="AX837"/>
  <c r="AW837"/>
  <c r="AT837"/>
  <c r="AS837"/>
  <c r="AQ837"/>
  <c r="AR837" s="1"/>
  <c r="AI837"/>
  <c r="AH837"/>
  <c r="AG837"/>
  <c r="AF837"/>
  <c r="AE837"/>
  <c r="AD837"/>
  <c r="AB837"/>
  <c r="AA837"/>
  <c r="Y837"/>
  <c r="AX836"/>
  <c r="AW836"/>
  <c r="AT836"/>
  <c r="AS836"/>
  <c r="AQ836"/>
  <c r="AR836" s="1"/>
  <c r="AI836"/>
  <c r="AH836"/>
  <c r="AG836"/>
  <c r="AF836"/>
  <c r="AE836"/>
  <c r="AD836"/>
  <c r="AB836"/>
  <c r="AA836"/>
  <c r="Y836"/>
  <c r="AX835"/>
  <c r="AW835"/>
  <c r="AQ835"/>
  <c r="AR835" s="1"/>
  <c r="AS835" s="1"/>
  <c r="AI835"/>
  <c r="AH835"/>
  <c r="AG835"/>
  <c r="AF835"/>
  <c r="AE835"/>
  <c r="AD835"/>
  <c r="AB835"/>
  <c r="AA835"/>
  <c r="Y835"/>
  <c r="AX834"/>
  <c r="AW834"/>
  <c r="AT834"/>
  <c r="AQ834"/>
  <c r="AR834" s="1"/>
  <c r="AS834" s="1"/>
  <c r="AI834"/>
  <c r="AH834"/>
  <c r="AG834"/>
  <c r="AF834"/>
  <c r="AE834"/>
  <c r="AD834"/>
  <c r="AB834"/>
  <c r="AA834"/>
  <c r="Y834"/>
  <c r="AX833"/>
  <c r="AW833"/>
  <c r="AT833"/>
  <c r="AS833"/>
  <c r="AQ833"/>
  <c r="AR833" s="1"/>
  <c r="AI833"/>
  <c r="AH833"/>
  <c r="AG833"/>
  <c r="AF833"/>
  <c r="AE833"/>
  <c r="AD833"/>
  <c r="AB833"/>
  <c r="AA833"/>
  <c r="Y833"/>
  <c r="AX832"/>
  <c r="AW832"/>
  <c r="AT832"/>
  <c r="AS832"/>
  <c r="AQ832"/>
  <c r="AR832" s="1"/>
  <c r="AI832"/>
  <c r="AH832"/>
  <c r="AG832"/>
  <c r="AF832"/>
  <c r="AE832"/>
  <c r="AD832"/>
  <c r="AB832"/>
  <c r="AA832"/>
  <c r="Y832"/>
  <c r="AX831"/>
  <c r="AW831"/>
  <c r="AQ831"/>
  <c r="AR831" s="1"/>
  <c r="AS831" s="1"/>
  <c r="AI831"/>
  <c r="AH831"/>
  <c r="AG831"/>
  <c r="AF831"/>
  <c r="AE831"/>
  <c r="AD831"/>
  <c r="AB831"/>
  <c r="AA831"/>
  <c r="Y831"/>
  <c r="AX830"/>
  <c r="AW830"/>
  <c r="AT830"/>
  <c r="AQ830"/>
  <c r="AR830" s="1"/>
  <c r="AS830" s="1"/>
  <c r="AI830"/>
  <c r="AH830"/>
  <c r="AG830"/>
  <c r="AF830"/>
  <c r="AE830"/>
  <c r="AD830"/>
  <c r="AB830"/>
  <c r="AA830"/>
  <c r="Y830"/>
  <c r="AX829"/>
  <c r="AW829"/>
  <c r="AT829"/>
  <c r="AS829"/>
  <c r="AQ829"/>
  <c r="AR829" s="1"/>
  <c r="AI829"/>
  <c r="AH829"/>
  <c r="AG829"/>
  <c r="AF829"/>
  <c r="AE829"/>
  <c r="AD829"/>
  <c r="AB829"/>
  <c r="AA829"/>
  <c r="Y829"/>
  <c r="AX828"/>
  <c r="AW828"/>
  <c r="AT828"/>
  <c r="AS828"/>
  <c r="AQ828"/>
  <c r="AR828" s="1"/>
  <c r="AI828"/>
  <c r="AH828"/>
  <c r="AG828"/>
  <c r="AF828"/>
  <c r="AE828"/>
  <c r="AD828"/>
  <c r="AB828"/>
  <c r="AA828"/>
  <c r="Y828"/>
  <c r="AX827"/>
  <c r="AW827"/>
  <c r="AQ827"/>
  <c r="AR827" s="1"/>
  <c r="AS827" s="1"/>
  <c r="AI827"/>
  <c r="AH827"/>
  <c r="AG827"/>
  <c r="AF827"/>
  <c r="AE827"/>
  <c r="AD827"/>
  <c r="AB827"/>
  <c r="AA827"/>
  <c r="Y827"/>
  <c r="AX826"/>
  <c r="AW826"/>
  <c r="AT826"/>
  <c r="AQ826"/>
  <c r="AR826" s="1"/>
  <c r="AS826" s="1"/>
  <c r="AI826"/>
  <c r="AH826"/>
  <c r="AG826"/>
  <c r="AF826"/>
  <c r="AE826"/>
  <c r="AD826"/>
  <c r="AB826"/>
  <c r="AA826"/>
  <c r="Y826"/>
  <c r="AX825"/>
  <c r="AW825"/>
  <c r="AT825"/>
  <c r="AS825"/>
  <c r="AQ825"/>
  <c r="AR825" s="1"/>
  <c r="AI825"/>
  <c r="AH825"/>
  <c r="AG825"/>
  <c r="AF825"/>
  <c r="AE825"/>
  <c r="AD825"/>
  <c r="AB825"/>
  <c r="AA825"/>
  <c r="Y825"/>
  <c r="AX824"/>
  <c r="AW824"/>
  <c r="AT824"/>
  <c r="AS824"/>
  <c r="AQ824"/>
  <c r="AR824" s="1"/>
  <c r="AI824"/>
  <c r="AH824"/>
  <c r="AG824"/>
  <c r="AF824"/>
  <c r="AE824"/>
  <c r="AD824"/>
  <c r="AB824"/>
  <c r="AA824"/>
  <c r="Y824"/>
  <c r="AX823"/>
  <c r="AW823"/>
  <c r="AQ823"/>
  <c r="AR823" s="1"/>
  <c r="AS823" s="1"/>
  <c r="AI823"/>
  <c r="AH823"/>
  <c r="AG823"/>
  <c r="AF823"/>
  <c r="AE823"/>
  <c r="AD823"/>
  <c r="AB823"/>
  <c r="AA823"/>
  <c r="Y823"/>
  <c r="AX822"/>
  <c r="AW822"/>
  <c r="AT822"/>
  <c r="AQ822"/>
  <c r="AR822" s="1"/>
  <c r="AS822" s="1"/>
  <c r="AI822"/>
  <c r="AH822"/>
  <c r="AG822"/>
  <c r="AF822"/>
  <c r="AE822"/>
  <c r="AD822"/>
  <c r="AB822"/>
  <c r="AA822"/>
  <c r="Y822"/>
  <c r="AX821"/>
  <c r="AW821"/>
  <c r="AT821"/>
  <c r="AS821"/>
  <c r="AQ821"/>
  <c r="AR821" s="1"/>
  <c r="AI821"/>
  <c r="AH821"/>
  <c r="AG821"/>
  <c r="AF821"/>
  <c r="AE821"/>
  <c r="AD821"/>
  <c r="AB821"/>
  <c r="AA821"/>
  <c r="Y821"/>
  <c r="AX820"/>
  <c r="AW820"/>
  <c r="AT820"/>
  <c r="AS820"/>
  <c r="AQ820"/>
  <c r="AR820" s="1"/>
  <c r="AI820"/>
  <c r="AH820"/>
  <c r="AG820"/>
  <c r="AF820"/>
  <c r="AE820"/>
  <c r="AD820"/>
  <c r="AB820"/>
  <c r="AA820"/>
  <c r="Y820"/>
  <c r="AX819"/>
  <c r="AW819"/>
  <c r="AQ819"/>
  <c r="AR819" s="1"/>
  <c r="AS819" s="1"/>
  <c r="AI819"/>
  <c r="AH819"/>
  <c r="AG819"/>
  <c r="AF819"/>
  <c r="AE819"/>
  <c r="AD819"/>
  <c r="AB819"/>
  <c r="AA819"/>
  <c r="Y819"/>
  <c r="AX818"/>
  <c r="AW818"/>
  <c r="AT818"/>
  <c r="AQ818"/>
  <c r="AR818" s="1"/>
  <c r="AS818" s="1"/>
  <c r="AI818"/>
  <c r="AH818"/>
  <c r="AG818"/>
  <c r="AF818"/>
  <c r="AE818"/>
  <c r="AD818"/>
  <c r="AB818"/>
  <c r="AA818"/>
  <c r="Y818"/>
  <c r="AX817"/>
  <c r="AW817"/>
  <c r="AT817"/>
  <c r="AS817"/>
  <c r="AQ817"/>
  <c r="AR817" s="1"/>
  <c r="AI817"/>
  <c r="AH817"/>
  <c r="AG817"/>
  <c r="AF817"/>
  <c r="AE817"/>
  <c r="AD817"/>
  <c r="AB817"/>
  <c r="AA817"/>
  <c r="Y817"/>
  <c r="AX816"/>
  <c r="AW816"/>
  <c r="AT816"/>
  <c r="AS816"/>
  <c r="AQ816"/>
  <c r="AR816" s="1"/>
  <c r="AI816"/>
  <c r="AH816"/>
  <c r="AG816"/>
  <c r="AF816"/>
  <c r="AE816"/>
  <c r="AD816"/>
  <c r="AB816"/>
  <c r="AA816"/>
  <c r="Y816"/>
  <c r="AX815"/>
  <c r="AW815"/>
  <c r="AQ815"/>
  <c r="AR815" s="1"/>
  <c r="AS815" s="1"/>
  <c r="AI815"/>
  <c r="AH815"/>
  <c r="AG815"/>
  <c r="AF815"/>
  <c r="AE815"/>
  <c r="AD815"/>
  <c r="AB815"/>
  <c r="AA815"/>
  <c r="Y815"/>
  <c r="AX814"/>
  <c r="AW814"/>
  <c r="AT814"/>
  <c r="AQ814"/>
  <c r="AR814" s="1"/>
  <c r="AS814" s="1"/>
  <c r="AI814"/>
  <c r="AH814"/>
  <c r="AG814"/>
  <c r="AF814"/>
  <c r="AE814"/>
  <c r="AD814"/>
  <c r="AB814"/>
  <c r="AA814"/>
  <c r="Y814"/>
  <c r="AX813"/>
  <c r="AW813"/>
  <c r="AQ813"/>
  <c r="AR813" s="1"/>
  <c r="AS813" s="1"/>
  <c r="AI813"/>
  <c r="AH813"/>
  <c r="AG813"/>
  <c r="AF813"/>
  <c r="AE813"/>
  <c r="AD813"/>
  <c r="AB813"/>
  <c r="AA813"/>
  <c r="Y813"/>
  <c r="AX812"/>
  <c r="AW812"/>
  <c r="AQ812"/>
  <c r="AR812" s="1"/>
  <c r="AT812" s="1"/>
  <c r="AI812"/>
  <c r="AH812"/>
  <c r="AG812"/>
  <c r="AF812"/>
  <c r="AE812"/>
  <c r="AD812"/>
  <c r="AB812"/>
  <c r="AA812"/>
  <c r="Y812"/>
  <c r="AX811"/>
  <c r="AW811"/>
  <c r="AT811"/>
  <c r="AV811" s="1"/>
  <c r="AS811"/>
  <c r="AQ811"/>
  <c r="AR811" s="1"/>
  <c r="AI811"/>
  <c r="AH811"/>
  <c r="AG811"/>
  <c r="AF811"/>
  <c r="AE811"/>
  <c r="AD811"/>
  <c r="AB811"/>
  <c r="AA811"/>
  <c r="Y811"/>
  <c r="AX810"/>
  <c r="AW810"/>
  <c r="AQ810"/>
  <c r="AR810" s="1"/>
  <c r="AS810" s="1"/>
  <c r="AI810"/>
  <c r="AH810"/>
  <c r="AG810"/>
  <c r="AF810"/>
  <c r="AE810"/>
  <c r="AD810"/>
  <c r="AB810"/>
  <c r="AA810"/>
  <c r="Y810"/>
  <c r="AX809"/>
  <c r="AW809"/>
  <c r="AS809"/>
  <c r="AQ809"/>
  <c r="AR809" s="1"/>
  <c r="AT809" s="1"/>
  <c r="AI809"/>
  <c r="AH809"/>
  <c r="AG809"/>
  <c r="AF809"/>
  <c r="AE809"/>
  <c r="AD809"/>
  <c r="AB809"/>
  <c r="AA809"/>
  <c r="Y809"/>
  <c r="AX808"/>
  <c r="AW808"/>
  <c r="AT808"/>
  <c r="AV808" s="1"/>
  <c r="AQ808"/>
  <c r="AR808" s="1"/>
  <c r="AS808" s="1"/>
  <c r="AI808"/>
  <c r="AH808"/>
  <c r="AG808"/>
  <c r="AF808"/>
  <c r="AE808"/>
  <c r="AD808"/>
  <c r="AB808"/>
  <c r="AA808"/>
  <c r="Y808"/>
  <c r="AX807"/>
  <c r="AW807"/>
  <c r="AU807"/>
  <c r="AT807"/>
  <c r="AV807" s="1"/>
  <c r="AS807"/>
  <c r="AQ807"/>
  <c r="AR807" s="1"/>
  <c r="AI807"/>
  <c r="AH807"/>
  <c r="AG807"/>
  <c r="AF807"/>
  <c r="AE807"/>
  <c r="AD807"/>
  <c r="AB807"/>
  <c r="AA807"/>
  <c r="Y807"/>
  <c r="AX806"/>
  <c r="AW806"/>
  <c r="AR806"/>
  <c r="AS806" s="1"/>
  <c r="AQ806"/>
  <c r="AI806"/>
  <c r="AH806"/>
  <c r="AG806"/>
  <c r="AF806"/>
  <c r="AE806"/>
  <c r="AD806"/>
  <c r="AB806"/>
  <c r="AA806"/>
  <c r="Y806"/>
  <c r="AX805"/>
  <c r="AW805"/>
  <c r="AR805"/>
  <c r="AS805" s="1"/>
  <c r="AQ805"/>
  <c r="AI805"/>
  <c r="AH805"/>
  <c r="AG805"/>
  <c r="AF805"/>
  <c r="AE805"/>
  <c r="AD805"/>
  <c r="AB805"/>
  <c r="AA805"/>
  <c r="Y805"/>
  <c r="AX804"/>
  <c r="AW804"/>
  <c r="AT804"/>
  <c r="AV804" s="1"/>
  <c r="AR804"/>
  <c r="AS804" s="1"/>
  <c r="AQ804"/>
  <c r="AI804"/>
  <c r="AH804"/>
  <c r="AG804"/>
  <c r="AF804"/>
  <c r="AE804"/>
  <c r="AD804"/>
  <c r="AB804"/>
  <c r="AA804"/>
  <c r="Y804"/>
  <c r="AX803"/>
  <c r="AW803"/>
  <c r="AT803"/>
  <c r="AV803" s="1"/>
  <c r="AR803"/>
  <c r="AS803" s="1"/>
  <c r="AQ803"/>
  <c r="AI803"/>
  <c r="AH803"/>
  <c r="AG803"/>
  <c r="AF803"/>
  <c r="AE803"/>
  <c r="AD803"/>
  <c r="AB803"/>
  <c r="AA803"/>
  <c r="Y803"/>
  <c r="AX802"/>
  <c r="AW802"/>
  <c r="AT802"/>
  <c r="AV802" s="1"/>
  <c r="AR802"/>
  <c r="AS802" s="1"/>
  <c r="AQ802"/>
  <c r="AI802"/>
  <c r="AH802"/>
  <c r="AG802"/>
  <c r="AF802"/>
  <c r="AE802"/>
  <c r="AD802"/>
  <c r="AB802"/>
  <c r="AA802"/>
  <c r="Y802"/>
  <c r="AX801"/>
  <c r="AW801"/>
  <c r="AT801"/>
  <c r="AV801" s="1"/>
  <c r="AR801"/>
  <c r="AS801" s="1"/>
  <c r="AQ801"/>
  <c r="AI801"/>
  <c r="AH801"/>
  <c r="AG801"/>
  <c r="AF801"/>
  <c r="AE801"/>
  <c r="AD801"/>
  <c r="AB801"/>
  <c r="AA801"/>
  <c r="Y801"/>
  <c r="AX800"/>
  <c r="AW800"/>
  <c r="AT800"/>
  <c r="AR800"/>
  <c r="AS800" s="1"/>
  <c r="AQ800"/>
  <c r="AI800"/>
  <c r="AH800"/>
  <c r="AG800"/>
  <c r="AF800"/>
  <c r="AE800"/>
  <c r="AD800"/>
  <c r="AB800"/>
  <c r="AA800"/>
  <c r="Y800"/>
  <c r="AX799"/>
  <c r="AW799"/>
  <c r="AT799"/>
  <c r="AR799"/>
  <c r="AS799" s="1"/>
  <c r="AQ799"/>
  <c r="AI799"/>
  <c r="AH799"/>
  <c r="AG799"/>
  <c r="AF799"/>
  <c r="AE799"/>
  <c r="AD799"/>
  <c r="AB799"/>
  <c r="AA799"/>
  <c r="Y799"/>
  <c r="AX798"/>
  <c r="AW798"/>
  <c r="AT798"/>
  <c r="AR798"/>
  <c r="AS798" s="1"/>
  <c r="AQ798"/>
  <c r="AI798"/>
  <c r="AH798"/>
  <c r="AG798"/>
  <c r="AF798"/>
  <c r="AE798"/>
  <c r="AD798"/>
  <c r="AB798"/>
  <c r="AA798"/>
  <c r="Y798"/>
  <c r="AX797"/>
  <c r="AW797"/>
  <c r="AT797"/>
  <c r="AR797"/>
  <c r="AS797" s="1"/>
  <c r="AQ797"/>
  <c r="AI797"/>
  <c r="AH797"/>
  <c r="AG797"/>
  <c r="AF797"/>
  <c r="AE797"/>
  <c r="AD797"/>
  <c r="AB797"/>
  <c r="AA797"/>
  <c r="Y797"/>
  <c r="AX796"/>
  <c r="AW796"/>
  <c r="AT796"/>
  <c r="AR796"/>
  <c r="AS796" s="1"/>
  <c r="AQ796"/>
  <c r="AI796"/>
  <c r="AH796"/>
  <c r="AG796"/>
  <c r="AF796"/>
  <c r="AE796"/>
  <c r="AD796"/>
  <c r="AB796"/>
  <c r="AA796"/>
  <c r="Y796"/>
  <c r="AX795"/>
  <c r="AW795"/>
  <c r="AT795"/>
  <c r="AR795"/>
  <c r="AS795" s="1"/>
  <c r="AQ795"/>
  <c r="AI795"/>
  <c r="AH795"/>
  <c r="AG795"/>
  <c r="AF795"/>
  <c r="AE795"/>
  <c r="AD795"/>
  <c r="AB795"/>
  <c r="AA795"/>
  <c r="Y795"/>
  <c r="AX794"/>
  <c r="AW794"/>
  <c r="AT794"/>
  <c r="AR794"/>
  <c r="AS794" s="1"/>
  <c r="AQ794"/>
  <c r="AI794"/>
  <c r="AH794"/>
  <c r="AG794"/>
  <c r="AF794"/>
  <c r="AE794"/>
  <c r="AD794"/>
  <c r="AB794"/>
  <c r="AA794"/>
  <c r="Y794"/>
  <c r="AX793"/>
  <c r="AW793"/>
  <c r="AT793"/>
  <c r="AR793"/>
  <c r="AS793" s="1"/>
  <c r="AQ793"/>
  <c r="AI793"/>
  <c r="AH793"/>
  <c r="AG793"/>
  <c r="AF793"/>
  <c r="AE793"/>
  <c r="AD793"/>
  <c r="AB793"/>
  <c r="AA793"/>
  <c r="Y793"/>
  <c r="AX792"/>
  <c r="AW792"/>
  <c r="AT792"/>
  <c r="AR792"/>
  <c r="AS792" s="1"/>
  <c r="AQ792"/>
  <c r="AI792"/>
  <c r="AH792"/>
  <c r="AG792"/>
  <c r="AF792"/>
  <c r="AE792"/>
  <c r="AD792"/>
  <c r="AB792"/>
  <c r="AA792"/>
  <c r="Y792"/>
  <c r="AX791"/>
  <c r="AW791"/>
  <c r="AT791"/>
  <c r="AR791"/>
  <c r="AS791" s="1"/>
  <c r="AQ791"/>
  <c r="AI791"/>
  <c r="AH791"/>
  <c r="AG791"/>
  <c r="AF791"/>
  <c r="AE791"/>
  <c r="AD791"/>
  <c r="AB791"/>
  <c r="AA791"/>
  <c r="Y791"/>
  <c r="AX790"/>
  <c r="AW790"/>
  <c r="AT790"/>
  <c r="AR790"/>
  <c r="AS790" s="1"/>
  <c r="AQ790"/>
  <c r="AI790"/>
  <c r="AH790"/>
  <c r="AG790"/>
  <c r="AF790"/>
  <c r="AE790"/>
  <c r="AD790"/>
  <c r="AB790"/>
  <c r="AA790"/>
  <c r="Y790"/>
  <c r="AX789"/>
  <c r="AW789"/>
  <c r="AT789"/>
  <c r="AR789"/>
  <c r="AS789" s="1"/>
  <c r="AQ789"/>
  <c r="AI789"/>
  <c r="AH789"/>
  <c r="AG789"/>
  <c r="AF789"/>
  <c r="AE789"/>
  <c r="AD789"/>
  <c r="AB789"/>
  <c r="AA789"/>
  <c r="Y789"/>
  <c r="AX788"/>
  <c r="AW788"/>
  <c r="AT788"/>
  <c r="AR788"/>
  <c r="AS788" s="1"/>
  <c r="AQ788"/>
  <c r="AI788"/>
  <c r="AH788"/>
  <c r="AG788"/>
  <c r="AF788"/>
  <c r="AE788"/>
  <c r="AD788"/>
  <c r="AB788"/>
  <c r="AA788"/>
  <c r="Y788"/>
  <c r="AX787"/>
  <c r="AW787"/>
  <c r="AT787"/>
  <c r="AR787"/>
  <c r="AS787" s="1"/>
  <c r="AQ787"/>
  <c r="AI787"/>
  <c r="AH787"/>
  <c r="AG787"/>
  <c r="AF787"/>
  <c r="AE787"/>
  <c r="AD787"/>
  <c r="AB787"/>
  <c r="AA787"/>
  <c r="Y787"/>
  <c r="AX786"/>
  <c r="AW786"/>
  <c r="AT786"/>
  <c r="AR786"/>
  <c r="AS786" s="1"/>
  <c r="AQ786"/>
  <c r="AI786"/>
  <c r="AH786"/>
  <c r="AG786"/>
  <c r="AF786"/>
  <c r="AE786"/>
  <c r="AD786"/>
  <c r="AB786"/>
  <c r="AA786"/>
  <c r="Y786"/>
  <c r="AX785"/>
  <c r="AW785"/>
  <c r="AT785"/>
  <c r="AR785"/>
  <c r="AS785" s="1"/>
  <c r="AQ785"/>
  <c r="AI785"/>
  <c r="AH785"/>
  <c r="AG785"/>
  <c r="AF785"/>
  <c r="AE785"/>
  <c r="AD785"/>
  <c r="AB785"/>
  <c r="AA785"/>
  <c r="Y785"/>
  <c r="AX784"/>
  <c r="AW784"/>
  <c r="AT784"/>
  <c r="AR784"/>
  <c r="AS784" s="1"/>
  <c r="AQ784"/>
  <c r="AI784"/>
  <c r="AH784"/>
  <c r="AG784"/>
  <c r="AF784"/>
  <c r="AE784"/>
  <c r="AD784"/>
  <c r="AB784"/>
  <c r="AA784"/>
  <c r="Y784"/>
  <c r="AX783"/>
  <c r="AW783"/>
  <c r="AT783"/>
  <c r="AR783"/>
  <c r="AS783" s="1"/>
  <c r="AQ783"/>
  <c r="AI783"/>
  <c r="AH783"/>
  <c r="AG783"/>
  <c r="AF783"/>
  <c r="AE783"/>
  <c r="AD783"/>
  <c r="AB783"/>
  <c r="AA783"/>
  <c r="Y783"/>
  <c r="AX782"/>
  <c r="AW782"/>
  <c r="AT782"/>
  <c r="AR782"/>
  <c r="AS782" s="1"/>
  <c r="AQ782"/>
  <c r="AI782"/>
  <c r="AH782"/>
  <c r="AG782"/>
  <c r="AF782"/>
  <c r="AE782"/>
  <c r="AD782"/>
  <c r="AB782"/>
  <c r="AA782"/>
  <c r="Y782"/>
  <c r="AX781"/>
  <c r="AW781"/>
  <c r="AT781"/>
  <c r="AR781"/>
  <c r="AS781" s="1"/>
  <c r="AQ781"/>
  <c r="AI781"/>
  <c r="AH781"/>
  <c r="AG781"/>
  <c r="AF781"/>
  <c r="AE781"/>
  <c r="AD781"/>
  <c r="AB781"/>
  <c r="AA781"/>
  <c r="Y781"/>
  <c r="AX780"/>
  <c r="AW780"/>
  <c r="AT780"/>
  <c r="AR780"/>
  <c r="AS780" s="1"/>
  <c r="AQ780"/>
  <c r="AI780"/>
  <c r="AH780"/>
  <c r="AG780"/>
  <c r="AF780"/>
  <c r="AE780"/>
  <c r="AD780"/>
  <c r="AB780"/>
  <c r="AA780"/>
  <c r="Y780"/>
  <c r="AX779"/>
  <c r="AW779"/>
  <c r="AT779"/>
  <c r="AR779"/>
  <c r="AS779" s="1"/>
  <c r="AQ779"/>
  <c r="AI779"/>
  <c r="AH779"/>
  <c r="AG779"/>
  <c r="AF779"/>
  <c r="AE779"/>
  <c r="AD779"/>
  <c r="AB779"/>
  <c r="AA779"/>
  <c r="Y779"/>
  <c r="AX778"/>
  <c r="AW778"/>
  <c r="AT778"/>
  <c r="AR778"/>
  <c r="AS778" s="1"/>
  <c r="AQ778"/>
  <c r="AI778"/>
  <c r="AH778"/>
  <c r="AG778"/>
  <c r="AF778"/>
  <c r="AE778"/>
  <c r="AD778"/>
  <c r="AB778"/>
  <c r="AA778"/>
  <c r="Y778"/>
  <c r="AX777"/>
  <c r="AW777"/>
  <c r="AT777"/>
  <c r="AR777"/>
  <c r="AS777" s="1"/>
  <c r="AQ777"/>
  <c r="AI777"/>
  <c r="AH777"/>
  <c r="AG777"/>
  <c r="AF777"/>
  <c r="AE777"/>
  <c r="AD777"/>
  <c r="AB777"/>
  <c r="AA777"/>
  <c r="Y777"/>
  <c r="AX776"/>
  <c r="AW776"/>
  <c r="AT776"/>
  <c r="AR776"/>
  <c r="AS776" s="1"/>
  <c r="AQ776"/>
  <c r="AI776"/>
  <c r="AH776"/>
  <c r="AG776"/>
  <c r="AF776"/>
  <c r="AE776"/>
  <c r="AD776"/>
  <c r="AB776"/>
  <c r="AA776"/>
  <c r="Y776"/>
  <c r="AX775"/>
  <c r="AW775"/>
  <c r="AT775"/>
  <c r="AR775"/>
  <c r="AS775" s="1"/>
  <c r="AQ775"/>
  <c r="AI775"/>
  <c r="AH775"/>
  <c r="AG775"/>
  <c r="AF775"/>
  <c r="AE775"/>
  <c r="AD775"/>
  <c r="AB775"/>
  <c r="AA775"/>
  <c r="Y775"/>
  <c r="AX774"/>
  <c r="AW774"/>
  <c r="AT774"/>
  <c r="AR774"/>
  <c r="AS774" s="1"/>
  <c r="AQ774"/>
  <c r="AI774"/>
  <c r="AH774"/>
  <c r="AG774"/>
  <c r="AF774"/>
  <c r="AE774"/>
  <c r="AD774"/>
  <c r="AB774"/>
  <c r="AA774"/>
  <c r="Y774"/>
  <c r="AX773"/>
  <c r="AW773"/>
  <c r="AT773"/>
  <c r="AR773"/>
  <c r="AS773" s="1"/>
  <c r="AQ773"/>
  <c r="AI773"/>
  <c r="AH773"/>
  <c r="AG773"/>
  <c r="AF773"/>
  <c r="AE773"/>
  <c r="AD773"/>
  <c r="AB773"/>
  <c r="AA773"/>
  <c r="Y773"/>
  <c r="AX772"/>
  <c r="AW772"/>
  <c r="AT772"/>
  <c r="AR772"/>
  <c r="AS772" s="1"/>
  <c r="AQ772"/>
  <c r="AI772"/>
  <c r="AH772"/>
  <c r="AG772"/>
  <c r="AF772"/>
  <c r="AE772"/>
  <c r="AD772"/>
  <c r="AB772"/>
  <c r="AA772"/>
  <c r="Y772"/>
  <c r="AX771"/>
  <c r="AW771"/>
  <c r="AT771"/>
  <c r="AR771"/>
  <c r="AS771" s="1"/>
  <c r="AQ771"/>
  <c r="AI771"/>
  <c r="AH771"/>
  <c r="AG771"/>
  <c r="AF771"/>
  <c r="AE771"/>
  <c r="AD771"/>
  <c r="AB771"/>
  <c r="AA771"/>
  <c r="Y771"/>
  <c r="AX770"/>
  <c r="AW770"/>
  <c r="AT770"/>
  <c r="AR770"/>
  <c r="AS770" s="1"/>
  <c r="AQ770"/>
  <c r="AI770"/>
  <c r="AH770"/>
  <c r="AG770"/>
  <c r="AF770"/>
  <c r="AE770"/>
  <c r="AD770"/>
  <c r="AB770"/>
  <c r="AA770"/>
  <c r="Y770"/>
  <c r="AX769"/>
  <c r="AW769"/>
  <c r="AT769"/>
  <c r="AR769"/>
  <c r="AS769" s="1"/>
  <c r="AQ769"/>
  <c r="AI769"/>
  <c r="AH769"/>
  <c r="AG769"/>
  <c r="AF769"/>
  <c r="AE769"/>
  <c r="AD769"/>
  <c r="AB769"/>
  <c r="AA769"/>
  <c r="Y769"/>
  <c r="AX768"/>
  <c r="AW768"/>
  <c r="AT768"/>
  <c r="AR768"/>
  <c r="AS768" s="1"/>
  <c r="AQ768"/>
  <c r="AI768"/>
  <c r="AH768"/>
  <c r="AG768"/>
  <c r="AF768"/>
  <c r="AE768"/>
  <c r="AD768"/>
  <c r="AB768"/>
  <c r="AA768"/>
  <c r="Y768"/>
  <c r="AX767"/>
  <c r="AW767"/>
  <c r="AT767"/>
  <c r="AR767"/>
  <c r="AS767" s="1"/>
  <c r="AQ767"/>
  <c r="AI767"/>
  <c r="AH767"/>
  <c r="AG767"/>
  <c r="AF767"/>
  <c r="AE767"/>
  <c r="AD767"/>
  <c r="AB767"/>
  <c r="AA767"/>
  <c r="Y767"/>
  <c r="AX766"/>
  <c r="AW766"/>
  <c r="AT766"/>
  <c r="AR766"/>
  <c r="AS766" s="1"/>
  <c r="AQ766"/>
  <c r="AI766"/>
  <c r="AH766"/>
  <c r="AG766"/>
  <c r="AF766"/>
  <c r="AE766"/>
  <c r="AD766"/>
  <c r="AB766"/>
  <c r="AA766"/>
  <c r="Y766"/>
  <c r="AX765"/>
  <c r="AW765"/>
  <c r="AT765"/>
  <c r="AR765"/>
  <c r="AS765" s="1"/>
  <c r="AQ765"/>
  <c r="AI765"/>
  <c r="AH765"/>
  <c r="AG765"/>
  <c r="AF765"/>
  <c r="AE765"/>
  <c r="AD765"/>
  <c r="AB765"/>
  <c r="AA765"/>
  <c r="Y765"/>
  <c r="AX764"/>
  <c r="AW764"/>
  <c r="AT764"/>
  <c r="AR764"/>
  <c r="AS764" s="1"/>
  <c r="AQ764"/>
  <c r="AI764"/>
  <c r="AH764"/>
  <c r="AG764"/>
  <c r="AF764"/>
  <c r="AE764"/>
  <c r="AD764"/>
  <c r="AB764"/>
  <c r="AA764"/>
  <c r="Y764"/>
  <c r="AX763"/>
  <c r="AW763"/>
  <c r="AT763"/>
  <c r="AR763"/>
  <c r="AS763" s="1"/>
  <c r="AQ763"/>
  <c r="AI763"/>
  <c r="AH763"/>
  <c r="AG763"/>
  <c r="AF763"/>
  <c r="AE763"/>
  <c r="AD763"/>
  <c r="AB763"/>
  <c r="AA763"/>
  <c r="Y763"/>
  <c r="AX762"/>
  <c r="AW762"/>
  <c r="AT762"/>
  <c r="AR762"/>
  <c r="AS762" s="1"/>
  <c r="AQ762"/>
  <c r="AI762"/>
  <c r="AH762"/>
  <c r="AG762"/>
  <c r="AF762"/>
  <c r="AE762"/>
  <c r="AD762"/>
  <c r="AB762"/>
  <c r="AA762"/>
  <c r="Y762"/>
  <c r="AX761"/>
  <c r="AW761"/>
  <c r="AT761"/>
  <c r="AR761"/>
  <c r="AS761" s="1"/>
  <c r="AQ761"/>
  <c r="AI761"/>
  <c r="AH761"/>
  <c r="AG761"/>
  <c r="AF761"/>
  <c r="AE761"/>
  <c r="AD761"/>
  <c r="AB761"/>
  <c r="AA761"/>
  <c r="Y761"/>
  <c r="AX760"/>
  <c r="AW760"/>
  <c r="AT760"/>
  <c r="AR760"/>
  <c r="AS760" s="1"/>
  <c r="AQ760"/>
  <c r="AI760"/>
  <c r="AH760"/>
  <c r="AG760"/>
  <c r="AF760"/>
  <c r="AE760"/>
  <c r="AD760"/>
  <c r="AB760"/>
  <c r="AA760"/>
  <c r="Y760"/>
  <c r="AX759"/>
  <c r="AW759"/>
  <c r="AT759"/>
  <c r="AR759"/>
  <c r="AS759" s="1"/>
  <c r="AQ759"/>
  <c r="AI759"/>
  <c r="AH759"/>
  <c r="AG759"/>
  <c r="AF759"/>
  <c r="AE759"/>
  <c r="AD759"/>
  <c r="AB759"/>
  <c r="AA759"/>
  <c r="Y759"/>
  <c r="AX758"/>
  <c r="AW758"/>
  <c r="AT758"/>
  <c r="AR758"/>
  <c r="AS758" s="1"/>
  <c r="AQ758"/>
  <c r="AI758"/>
  <c r="AH758"/>
  <c r="AG758"/>
  <c r="AF758"/>
  <c r="AE758"/>
  <c r="AD758"/>
  <c r="AB758"/>
  <c r="AA758"/>
  <c r="Y758"/>
  <c r="AX757"/>
  <c r="AW757"/>
  <c r="AT757"/>
  <c r="AR757"/>
  <c r="AS757" s="1"/>
  <c r="AQ757"/>
  <c r="AI757"/>
  <c r="AH757"/>
  <c r="AG757"/>
  <c r="AF757"/>
  <c r="AE757"/>
  <c r="AD757"/>
  <c r="AB757"/>
  <c r="AA757"/>
  <c r="Y757"/>
  <c r="AX756"/>
  <c r="AW756"/>
  <c r="AT756"/>
  <c r="AR756"/>
  <c r="AS756" s="1"/>
  <c r="AQ756"/>
  <c r="AI756"/>
  <c r="AH756"/>
  <c r="AG756"/>
  <c r="AF756"/>
  <c r="AE756"/>
  <c r="AD756"/>
  <c r="AB756"/>
  <c r="AA756"/>
  <c r="Y756"/>
  <c r="AX755"/>
  <c r="AW755"/>
  <c r="AT755"/>
  <c r="AR755"/>
  <c r="AS755" s="1"/>
  <c r="AQ755"/>
  <c r="AI755"/>
  <c r="AH755"/>
  <c r="AG755"/>
  <c r="AF755"/>
  <c r="AE755"/>
  <c r="AD755"/>
  <c r="AB755"/>
  <c r="AA755"/>
  <c r="Y755"/>
  <c r="AX754"/>
  <c r="AW754"/>
  <c r="AT754"/>
  <c r="AR754"/>
  <c r="AS754" s="1"/>
  <c r="AQ754"/>
  <c r="AI754"/>
  <c r="AH754"/>
  <c r="AG754"/>
  <c r="AF754"/>
  <c r="AE754"/>
  <c r="AD754"/>
  <c r="AB754"/>
  <c r="AA754"/>
  <c r="Y754"/>
  <c r="AX753"/>
  <c r="AW753"/>
  <c r="AT753"/>
  <c r="AR753"/>
  <c r="AS753" s="1"/>
  <c r="AQ753"/>
  <c r="AI753"/>
  <c r="AH753"/>
  <c r="AG753"/>
  <c r="AF753"/>
  <c r="AE753"/>
  <c r="AD753"/>
  <c r="AB753"/>
  <c r="AA753"/>
  <c r="Y753"/>
  <c r="AX752"/>
  <c r="AW752"/>
  <c r="AT752"/>
  <c r="AR752"/>
  <c r="AS752" s="1"/>
  <c r="AQ752"/>
  <c r="AI752"/>
  <c r="AH752"/>
  <c r="AG752"/>
  <c r="AF752"/>
  <c r="AE752"/>
  <c r="AD752"/>
  <c r="AB752"/>
  <c r="AA752"/>
  <c r="Y752"/>
  <c r="AX751"/>
  <c r="AW751"/>
  <c r="AT751"/>
  <c r="AR751"/>
  <c r="AS751" s="1"/>
  <c r="AQ751"/>
  <c r="AI751"/>
  <c r="AH751"/>
  <c r="AG751"/>
  <c r="AF751"/>
  <c r="AE751"/>
  <c r="AD751"/>
  <c r="AB751"/>
  <c r="AA751"/>
  <c r="Y751"/>
  <c r="AX750"/>
  <c r="AW750"/>
  <c r="AT750"/>
  <c r="AR750"/>
  <c r="AS750" s="1"/>
  <c r="AQ750"/>
  <c r="AI750"/>
  <c r="AH750"/>
  <c r="AG750"/>
  <c r="AF750"/>
  <c r="AE750"/>
  <c r="AD750"/>
  <c r="AB750"/>
  <c r="AA750"/>
  <c r="Y750"/>
  <c r="AX749"/>
  <c r="AW749"/>
  <c r="AT749"/>
  <c r="AR749"/>
  <c r="AS749" s="1"/>
  <c r="AQ749"/>
  <c r="AI749"/>
  <c r="AH749"/>
  <c r="AG749"/>
  <c r="AF749"/>
  <c r="AE749"/>
  <c r="AD749"/>
  <c r="AB749"/>
  <c r="AA749"/>
  <c r="Y749"/>
  <c r="AX748"/>
  <c r="AW748"/>
  <c r="AT748"/>
  <c r="AR748"/>
  <c r="AS748" s="1"/>
  <c r="AQ748"/>
  <c r="AI748"/>
  <c r="AH748"/>
  <c r="AG748"/>
  <c r="AF748"/>
  <c r="AE748"/>
  <c r="AD748"/>
  <c r="AB748"/>
  <c r="AA748"/>
  <c r="Y748"/>
  <c r="AX747"/>
  <c r="AW747"/>
  <c r="AT747"/>
  <c r="AR747"/>
  <c r="AS747" s="1"/>
  <c r="AQ747"/>
  <c r="AI747"/>
  <c r="AH747"/>
  <c r="AG747"/>
  <c r="AF747"/>
  <c r="AE747"/>
  <c r="AD747"/>
  <c r="AB747"/>
  <c r="AA747"/>
  <c r="Y747"/>
  <c r="AX746"/>
  <c r="AW746"/>
  <c r="AT746"/>
  <c r="AR746"/>
  <c r="AS746" s="1"/>
  <c r="AQ746"/>
  <c r="AI746"/>
  <c r="AH746"/>
  <c r="AG746"/>
  <c r="AF746"/>
  <c r="AE746"/>
  <c r="AD746"/>
  <c r="AB746"/>
  <c r="AA746"/>
  <c r="Y746"/>
  <c r="AX745"/>
  <c r="AW745"/>
  <c r="AT745"/>
  <c r="AR745"/>
  <c r="AS745" s="1"/>
  <c r="AQ745"/>
  <c r="AI745"/>
  <c r="AH745"/>
  <c r="AG745"/>
  <c r="AF745"/>
  <c r="AE745"/>
  <c r="AD745"/>
  <c r="AB745"/>
  <c r="AA745"/>
  <c r="Y745"/>
  <c r="AX744"/>
  <c r="AW744"/>
  <c r="AT744"/>
  <c r="AR744"/>
  <c r="AS744" s="1"/>
  <c r="AQ744"/>
  <c r="AI744"/>
  <c r="AH744"/>
  <c r="AG744"/>
  <c r="AF744"/>
  <c r="AE744"/>
  <c r="AD744"/>
  <c r="AB744"/>
  <c r="AA744"/>
  <c r="Y744"/>
  <c r="AX743"/>
  <c r="AW743"/>
  <c r="AT743"/>
  <c r="AR743"/>
  <c r="AS743" s="1"/>
  <c r="AQ743"/>
  <c r="AI743"/>
  <c r="AH743"/>
  <c r="AG743"/>
  <c r="AF743"/>
  <c r="AE743"/>
  <c r="AD743"/>
  <c r="AB743"/>
  <c r="AA743"/>
  <c r="Y743"/>
  <c r="AX742"/>
  <c r="AW742"/>
  <c r="AT742"/>
  <c r="AR742"/>
  <c r="AS742" s="1"/>
  <c r="AQ742"/>
  <c r="AI742"/>
  <c r="AH742"/>
  <c r="AG742"/>
  <c r="AF742"/>
  <c r="AE742"/>
  <c r="AD742"/>
  <c r="AB742"/>
  <c r="AA742"/>
  <c r="Y742"/>
  <c r="AX741"/>
  <c r="AW741"/>
  <c r="AT741"/>
  <c r="AR741"/>
  <c r="AS741" s="1"/>
  <c r="AQ741"/>
  <c r="AI741"/>
  <c r="AH741"/>
  <c r="AG741"/>
  <c r="AF741"/>
  <c r="AE741"/>
  <c r="AD741"/>
  <c r="AB741"/>
  <c r="AA741"/>
  <c r="Y741"/>
  <c r="AX740"/>
  <c r="AW740"/>
  <c r="AT740"/>
  <c r="AR740"/>
  <c r="AS740" s="1"/>
  <c r="AQ740"/>
  <c r="AI740"/>
  <c r="AH740"/>
  <c r="AG740"/>
  <c r="AF740"/>
  <c r="AE740"/>
  <c r="AD740"/>
  <c r="AB740"/>
  <c r="AA740"/>
  <c r="Y740"/>
  <c r="AX739"/>
  <c r="AW739"/>
  <c r="AT739"/>
  <c r="AR739"/>
  <c r="AS739" s="1"/>
  <c r="AQ739"/>
  <c r="AI739"/>
  <c r="AH739"/>
  <c r="AG739"/>
  <c r="AF739"/>
  <c r="AE739"/>
  <c r="AD739"/>
  <c r="AB739"/>
  <c r="AA739"/>
  <c r="Y739"/>
  <c r="AX738"/>
  <c r="AW738"/>
  <c r="AT738"/>
  <c r="AR738"/>
  <c r="AS738" s="1"/>
  <c r="AQ738"/>
  <c r="AI738"/>
  <c r="AH738"/>
  <c r="AG738"/>
  <c r="AF738"/>
  <c r="AE738"/>
  <c r="AD738"/>
  <c r="AB738"/>
  <c r="AA738"/>
  <c r="Y738"/>
  <c r="AX737"/>
  <c r="AW737"/>
  <c r="AT737"/>
  <c r="AR737"/>
  <c r="AS737" s="1"/>
  <c r="AQ737"/>
  <c r="AI737"/>
  <c r="AH737"/>
  <c r="AG737"/>
  <c r="AF737"/>
  <c r="AE737"/>
  <c r="AD737"/>
  <c r="AB737"/>
  <c r="AA737"/>
  <c r="Y737"/>
  <c r="AX736"/>
  <c r="AW736"/>
  <c r="AT736"/>
  <c r="AR736"/>
  <c r="AS736" s="1"/>
  <c r="AQ736"/>
  <c r="AI736"/>
  <c r="AH736"/>
  <c r="AG736"/>
  <c r="AF736"/>
  <c r="AE736"/>
  <c r="AD736"/>
  <c r="AB736"/>
  <c r="AA736"/>
  <c r="Y736"/>
  <c r="AX735"/>
  <c r="AW735"/>
  <c r="AT735"/>
  <c r="AR735"/>
  <c r="AS735" s="1"/>
  <c r="AQ735"/>
  <c r="AI735"/>
  <c r="AH735"/>
  <c r="AG735"/>
  <c r="AF735"/>
  <c r="AE735"/>
  <c r="AD735"/>
  <c r="AB735"/>
  <c r="AA735"/>
  <c r="Y735"/>
  <c r="AX734"/>
  <c r="AW734"/>
  <c r="AT734"/>
  <c r="AR734"/>
  <c r="AS734" s="1"/>
  <c r="AQ734"/>
  <c r="AI734"/>
  <c r="AH734"/>
  <c r="AG734"/>
  <c r="AF734"/>
  <c r="AE734"/>
  <c r="AD734"/>
  <c r="AB734"/>
  <c r="AA734"/>
  <c r="Y734"/>
  <c r="AX733"/>
  <c r="AW733"/>
  <c r="AT733"/>
  <c r="AR733"/>
  <c r="AS733" s="1"/>
  <c r="AQ733"/>
  <c r="AI733"/>
  <c r="AH733"/>
  <c r="AG733"/>
  <c r="AF733"/>
  <c r="AE733"/>
  <c r="AD733"/>
  <c r="AB733"/>
  <c r="AA733"/>
  <c r="Y733"/>
  <c r="AX732"/>
  <c r="AW732"/>
  <c r="AT732"/>
  <c r="AR732"/>
  <c r="AS732" s="1"/>
  <c r="AQ732"/>
  <c r="AI732"/>
  <c r="AH732"/>
  <c r="AG732"/>
  <c r="AF732"/>
  <c r="AE732"/>
  <c r="AD732"/>
  <c r="AB732"/>
  <c r="AA732"/>
  <c r="Y732"/>
  <c r="AX731"/>
  <c r="AW731"/>
  <c r="AT731"/>
  <c r="AR731"/>
  <c r="AS731" s="1"/>
  <c r="AQ731"/>
  <c r="AI731"/>
  <c r="AH731"/>
  <c r="AG731"/>
  <c r="AF731"/>
  <c r="AE731"/>
  <c r="AD731"/>
  <c r="AB731"/>
  <c r="AA731"/>
  <c r="Y731"/>
  <c r="AX730"/>
  <c r="AW730"/>
  <c r="AT730"/>
  <c r="AR730"/>
  <c r="AS730" s="1"/>
  <c r="AQ730"/>
  <c r="AI730"/>
  <c r="AH730"/>
  <c r="AG730"/>
  <c r="AF730"/>
  <c r="AE730"/>
  <c r="AD730"/>
  <c r="AB730"/>
  <c r="AA730"/>
  <c r="Y730"/>
  <c r="AX729"/>
  <c r="AW729"/>
  <c r="AT729"/>
  <c r="AR729"/>
  <c r="AS729" s="1"/>
  <c r="AQ729"/>
  <c r="AI729"/>
  <c r="AH729"/>
  <c r="AG729"/>
  <c r="AF729"/>
  <c r="AE729"/>
  <c r="AD729"/>
  <c r="AB729"/>
  <c r="AA729"/>
  <c r="Y729"/>
  <c r="AX728"/>
  <c r="AW728"/>
  <c r="AT728"/>
  <c r="AR728"/>
  <c r="AS728" s="1"/>
  <c r="AQ728"/>
  <c r="AI728"/>
  <c r="AH728"/>
  <c r="AG728"/>
  <c r="AF728"/>
  <c r="AE728"/>
  <c r="AD728"/>
  <c r="AB728"/>
  <c r="AA728"/>
  <c r="Y728"/>
  <c r="AX727"/>
  <c r="AW727"/>
  <c r="AT727"/>
  <c r="AR727"/>
  <c r="AS727" s="1"/>
  <c r="AQ727"/>
  <c r="AI727"/>
  <c r="AH727"/>
  <c r="AG727"/>
  <c r="AF727"/>
  <c r="AE727"/>
  <c r="AD727"/>
  <c r="AB727"/>
  <c r="AA727"/>
  <c r="Y727"/>
  <c r="AX726"/>
  <c r="AW726"/>
  <c r="AT726"/>
  <c r="AR726"/>
  <c r="AS726" s="1"/>
  <c r="AQ726"/>
  <c r="AI726"/>
  <c r="AH726"/>
  <c r="AG726"/>
  <c r="AF726"/>
  <c r="AE726"/>
  <c r="AD726"/>
  <c r="AB726"/>
  <c r="AA726"/>
  <c r="Y726"/>
  <c r="AX725"/>
  <c r="AW725"/>
  <c r="AT725"/>
  <c r="AR725"/>
  <c r="AS725" s="1"/>
  <c r="AQ725"/>
  <c r="AI725"/>
  <c r="AH725"/>
  <c r="AG725"/>
  <c r="AF725"/>
  <c r="AE725"/>
  <c r="AD725"/>
  <c r="AB725"/>
  <c r="AA725"/>
  <c r="Y725"/>
  <c r="AX724"/>
  <c r="AW724"/>
  <c r="AT724"/>
  <c r="AR724"/>
  <c r="AS724" s="1"/>
  <c r="AQ724"/>
  <c r="AI724"/>
  <c r="AH724"/>
  <c r="AG724"/>
  <c r="AF724"/>
  <c r="AE724"/>
  <c r="AD724"/>
  <c r="AB724"/>
  <c r="AA724"/>
  <c r="Y724"/>
  <c r="AX723"/>
  <c r="AW723"/>
  <c r="AT723"/>
  <c r="AR723"/>
  <c r="AS723" s="1"/>
  <c r="AQ723"/>
  <c r="AI723"/>
  <c r="AH723"/>
  <c r="AG723"/>
  <c r="AF723"/>
  <c r="AE723"/>
  <c r="AD723"/>
  <c r="AB723"/>
  <c r="AA723"/>
  <c r="Y723"/>
  <c r="AX722"/>
  <c r="AW722"/>
  <c r="AT722"/>
  <c r="AR722"/>
  <c r="AS722" s="1"/>
  <c r="AQ722"/>
  <c r="AI722"/>
  <c r="AH722"/>
  <c r="AG722"/>
  <c r="AF722"/>
  <c r="AE722"/>
  <c r="AD722"/>
  <c r="AB722"/>
  <c r="AA722"/>
  <c r="Y722"/>
  <c r="AX721"/>
  <c r="AW721"/>
  <c r="AT721"/>
  <c r="AR721"/>
  <c r="AS721" s="1"/>
  <c r="AQ721"/>
  <c r="AI721"/>
  <c r="AH721"/>
  <c r="AG721"/>
  <c r="AF721"/>
  <c r="AE721"/>
  <c r="AD721"/>
  <c r="AB721"/>
  <c r="AA721"/>
  <c r="Y721"/>
  <c r="AX720"/>
  <c r="AW720"/>
  <c r="AT720"/>
  <c r="AR720"/>
  <c r="AS720" s="1"/>
  <c r="AQ720"/>
  <c r="AI720"/>
  <c r="AH720"/>
  <c r="AG720"/>
  <c r="AF720"/>
  <c r="AE720"/>
  <c r="AD720"/>
  <c r="AB720"/>
  <c r="AA720"/>
  <c r="Y720"/>
  <c r="AX719"/>
  <c r="AW719"/>
  <c r="AT719"/>
  <c r="AR719"/>
  <c r="AS719" s="1"/>
  <c r="AQ719"/>
  <c r="AI719"/>
  <c r="AH719"/>
  <c r="AG719"/>
  <c r="AF719"/>
  <c r="AE719"/>
  <c r="AD719"/>
  <c r="AB719"/>
  <c r="AA719"/>
  <c r="Y719"/>
  <c r="AX718"/>
  <c r="AW718"/>
  <c r="AT718"/>
  <c r="AR718"/>
  <c r="AS718" s="1"/>
  <c r="AQ718"/>
  <c r="AI718"/>
  <c r="AH718"/>
  <c r="AG718"/>
  <c r="AF718"/>
  <c r="AE718"/>
  <c r="AD718"/>
  <c r="AB718"/>
  <c r="AA718"/>
  <c r="Y718"/>
  <c r="AX717"/>
  <c r="AW717"/>
  <c r="AT717"/>
  <c r="AR717"/>
  <c r="AS717" s="1"/>
  <c r="AQ717"/>
  <c r="AI717"/>
  <c r="AH717"/>
  <c r="AG717"/>
  <c r="AF717"/>
  <c r="AE717"/>
  <c r="AD717"/>
  <c r="AB717"/>
  <c r="AA717"/>
  <c r="Y717"/>
  <c r="AX716"/>
  <c r="AW716"/>
  <c r="AT716"/>
  <c r="AR716"/>
  <c r="AS716" s="1"/>
  <c r="AQ716"/>
  <c r="AI716"/>
  <c r="AH716"/>
  <c r="AG716"/>
  <c r="AF716"/>
  <c r="AE716"/>
  <c r="AD716"/>
  <c r="AB716"/>
  <c r="AA716"/>
  <c r="Y716"/>
  <c r="AX715"/>
  <c r="AW715"/>
  <c r="AT715"/>
  <c r="AR715"/>
  <c r="AS715" s="1"/>
  <c r="AQ715"/>
  <c r="AI715"/>
  <c r="AH715"/>
  <c r="AG715"/>
  <c r="AF715"/>
  <c r="AE715"/>
  <c r="AD715"/>
  <c r="AB715"/>
  <c r="AA715"/>
  <c r="Y715"/>
  <c r="AX714"/>
  <c r="AW714"/>
  <c r="AT714"/>
  <c r="AR714"/>
  <c r="AS714" s="1"/>
  <c r="AQ714"/>
  <c r="AI714"/>
  <c r="AH714"/>
  <c r="AG714"/>
  <c r="AF714"/>
  <c r="AE714"/>
  <c r="AD714"/>
  <c r="AB714"/>
  <c r="AA714"/>
  <c r="Y714"/>
  <c r="AX713"/>
  <c r="AW713"/>
  <c r="AT713"/>
  <c r="AR713"/>
  <c r="AS713" s="1"/>
  <c r="AQ713"/>
  <c r="AI713"/>
  <c r="AH713"/>
  <c r="AG713"/>
  <c r="AF713"/>
  <c r="AE713"/>
  <c r="AD713"/>
  <c r="AB713"/>
  <c r="AA713"/>
  <c r="Y713"/>
  <c r="AX712"/>
  <c r="AW712"/>
  <c r="AT712"/>
  <c r="AR712"/>
  <c r="AS712" s="1"/>
  <c r="AQ712"/>
  <c r="AI712"/>
  <c r="AH712"/>
  <c r="AG712"/>
  <c r="AF712"/>
  <c r="AE712"/>
  <c r="AD712"/>
  <c r="AB712"/>
  <c r="AA712"/>
  <c r="Y712"/>
  <c r="AX711"/>
  <c r="AW711"/>
  <c r="AT711"/>
  <c r="AS711"/>
  <c r="AR711"/>
  <c r="AQ711"/>
  <c r="AI711"/>
  <c r="AH711"/>
  <c r="AG711"/>
  <c r="AF711"/>
  <c r="AE711"/>
  <c r="AD711"/>
  <c r="AB711"/>
  <c r="AA711"/>
  <c r="Y711"/>
  <c r="AX710"/>
  <c r="AW710"/>
  <c r="AT710"/>
  <c r="AS710"/>
  <c r="AR710"/>
  <c r="AQ710"/>
  <c r="AI710"/>
  <c r="AH710"/>
  <c r="AG710"/>
  <c r="AF710"/>
  <c r="AE710"/>
  <c r="AD710"/>
  <c r="AB710"/>
  <c r="AA710"/>
  <c r="Y710"/>
  <c r="AX709"/>
  <c r="AW709"/>
  <c r="AT709"/>
  <c r="AS709"/>
  <c r="AR709"/>
  <c r="AQ709"/>
  <c r="AI709"/>
  <c r="AH709"/>
  <c r="AG709"/>
  <c r="AF709"/>
  <c r="AE709"/>
  <c r="AD709"/>
  <c r="AB709"/>
  <c r="AA709"/>
  <c r="Y709"/>
  <c r="AX708"/>
  <c r="AW708"/>
  <c r="AT708"/>
  <c r="AS708"/>
  <c r="AR708"/>
  <c r="AQ708"/>
  <c r="AI708"/>
  <c r="AH708"/>
  <c r="AG708"/>
  <c r="AF708"/>
  <c r="AE708"/>
  <c r="AD708"/>
  <c r="AB708"/>
  <c r="AA708"/>
  <c r="Y708"/>
  <c r="AX707"/>
  <c r="AW707"/>
  <c r="AT707"/>
  <c r="AS707"/>
  <c r="AR707"/>
  <c r="AQ707"/>
  <c r="AI707"/>
  <c r="AH707"/>
  <c r="AG707"/>
  <c r="AF707"/>
  <c r="AE707"/>
  <c r="AD707"/>
  <c r="AB707"/>
  <c r="AA707"/>
  <c r="Y707"/>
  <c r="AX706"/>
  <c r="AW706"/>
  <c r="AT706"/>
  <c r="AS706"/>
  <c r="AR706"/>
  <c r="AQ706"/>
  <c r="AI706"/>
  <c r="AH706"/>
  <c r="AG706"/>
  <c r="AF706"/>
  <c r="AE706"/>
  <c r="AD706"/>
  <c r="AB706"/>
  <c r="AA706"/>
  <c r="Y706"/>
  <c r="AX705"/>
  <c r="AW705"/>
  <c r="AT705"/>
  <c r="AS705"/>
  <c r="AR705"/>
  <c r="AQ705"/>
  <c r="AI705"/>
  <c r="AH705"/>
  <c r="AG705"/>
  <c r="AF705"/>
  <c r="AE705"/>
  <c r="AD705"/>
  <c r="AB705"/>
  <c r="AA705"/>
  <c r="Y705"/>
  <c r="AX704"/>
  <c r="AW704"/>
  <c r="AT704"/>
  <c r="AS704"/>
  <c r="AR704"/>
  <c r="AQ704"/>
  <c r="AI704"/>
  <c r="AH704"/>
  <c r="AG704"/>
  <c r="AF704"/>
  <c r="AE704"/>
  <c r="AD704"/>
  <c r="AB704"/>
  <c r="AA704"/>
  <c r="Y704"/>
  <c r="AX703"/>
  <c r="AW703"/>
  <c r="AT703"/>
  <c r="AS703"/>
  <c r="AR703"/>
  <c r="AQ703"/>
  <c r="AI703"/>
  <c r="AH703"/>
  <c r="AG703"/>
  <c r="AF703"/>
  <c r="AE703"/>
  <c r="AD703"/>
  <c r="AB703"/>
  <c r="AA703"/>
  <c r="Y703"/>
  <c r="AX702"/>
  <c r="AW702"/>
  <c r="AT702"/>
  <c r="AS702"/>
  <c r="AR702"/>
  <c r="AQ702"/>
  <c r="AI702"/>
  <c r="AH702"/>
  <c r="AG702"/>
  <c r="AF702"/>
  <c r="AE702"/>
  <c r="AD702"/>
  <c r="AB702"/>
  <c r="AA702"/>
  <c r="Y702"/>
  <c r="AX701"/>
  <c r="AW701"/>
  <c r="AT701"/>
  <c r="AS701"/>
  <c r="AR701"/>
  <c r="AQ701"/>
  <c r="AI701"/>
  <c r="AH701"/>
  <c r="AG701"/>
  <c r="AF701"/>
  <c r="AE701"/>
  <c r="AD701"/>
  <c r="AB701"/>
  <c r="AA701"/>
  <c r="Y701"/>
  <c r="AX700"/>
  <c r="AW700"/>
  <c r="AT700"/>
  <c r="AS700"/>
  <c r="AR700"/>
  <c r="AQ700"/>
  <c r="AI700"/>
  <c r="AH700"/>
  <c r="AG700"/>
  <c r="AF700"/>
  <c r="AE700"/>
  <c r="AD700"/>
  <c r="AB700"/>
  <c r="AA700"/>
  <c r="Y700"/>
  <c r="AX699"/>
  <c r="AW699"/>
  <c r="AT699"/>
  <c r="AS699"/>
  <c r="AR699"/>
  <c r="AQ699"/>
  <c r="AI699"/>
  <c r="AH699"/>
  <c r="AG699"/>
  <c r="AF699"/>
  <c r="AE699"/>
  <c r="AD699"/>
  <c r="AB699"/>
  <c r="AA699"/>
  <c r="Y699"/>
  <c r="AX698"/>
  <c r="AW698"/>
  <c r="AR698"/>
  <c r="AQ698"/>
  <c r="AI698"/>
  <c r="AH698"/>
  <c r="AG698"/>
  <c r="AF698"/>
  <c r="AE698"/>
  <c r="AD698"/>
  <c r="AB698"/>
  <c r="AA698"/>
  <c r="Y698"/>
  <c r="AX697"/>
  <c r="AW697"/>
  <c r="AT697"/>
  <c r="AR697"/>
  <c r="AS697" s="1"/>
  <c r="AQ697"/>
  <c r="AI697"/>
  <c r="AH697"/>
  <c r="AG697"/>
  <c r="AF697"/>
  <c r="AE697"/>
  <c r="AD697"/>
  <c r="AB697"/>
  <c r="AA697"/>
  <c r="Y697"/>
  <c r="AX696"/>
  <c r="AW696"/>
  <c r="AR696"/>
  <c r="AQ696"/>
  <c r="AI696"/>
  <c r="AH696"/>
  <c r="AG696"/>
  <c r="AF696"/>
  <c r="AE696"/>
  <c r="AD696"/>
  <c r="AB696"/>
  <c r="AA696"/>
  <c r="Y696"/>
  <c r="AX695"/>
  <c r="AW695"/>
  <c r="AT695"/>
  <c r="AR695"/>
  <c r="AS695" s="1"/>
  <c r="AQ695"/>
  <c r="AI695"/>
  <c r="AH695"/>
  <c r="AG695"/>
  <c r="AF695"/>
  <c r="AE695"/>
  <c r="AD695"/>
  <c r="AB695"/>
  <c r="AA695"/>
  <c r="Y695"/>
  <c r="AX694"/>
  <c r="AW694"/>
  <c r="AR694"/>
  <c r="AQ694"/>
  <c r="AI694"/>
  <c r="AH694"/>
  <c r="AG694"/>
  <c r="AF694"/>
  <c r="AE694"/>
  <c r="AD694"/>
  <c r="AB694"/>
  <c r="AA694"/>
  <c r="Y694"/>
  <c r="AX693"/>
  <c r="AW693"/>
  <c r="AT693"/>
  <c r="AR693"/>
  <c r="AS693" s="1"/>
  <c r="AQ693"/>
  <c r="AI693"/>
  <c r="AH693"/>
  <c r="AG693"/>
  <c r="AF693"/>
  <c r="AE693"/>
  <c r="AD693"/>
  <c r="AB693"/>
  <c r="AA693"/>
  <c r="Y693"/>
  <c r="AX692"/>
  <c r="AW692"/>
  <c r="AR692"/>
  <c r="AQ692"/>
  <c r="AI692"/>
  <c r="AH692"/>
  <c r="AG692"/>
  <c r="AF692"/>
  <c r="AE692"/>
  <c r="AD692"/>
  <c r="AB692"/>
  <c r="AA692"/>
  <c r="Y692"/>
  <c r="AX691"/>
  <c r="AW691"/>
  <c r="AT691"/>
  <c r="AR691"/>
  <c r="AS691" s="1"/>
  <c r="AQ691"/>
  <c r="AI691"/>
  <c r="AH691"/>
  <c r="AG691"/>
  <c r="AF691"/>
  <c r="AE691"/>
  <c r="AD691"/>
  <c r="AB691"/>
  <c r="AA691"/>
  <c r="Y691"/>
  <c r="AX690"/>
  <c r="AW690"/>
  <c r="AR690"/>
  <c r="AQ690"/>
  <c r="AI690"/>
  <c r="AH690"/>
  <c r="AG690"/>
  <c r="AF690"/>
  <c r="AE690"/>
  <c r="AD690"/>
  <c r="AB690"/>
  <c r="AA690"/>
  <c r="Y690"/>
  <c r="AX689"/>
  <c r="AW689"/>
  <c r="AT689"/>
  <c r="AR689"/>
  <c r="AS689" s="1"/>
  <c r="AQ689"/>
  <c r="AI689"/>
  <c r="AH689"/>
  <c r="AG689"/>
  <c r="AF689"/>
  <c r="AE689"/>
  <c r="AD689"/>
  <c r="AB689"/>
  <c r="AA689"/>
  <c r="Y689"/>
  <c r="AX688"/>
  <c r="AW688"/>
  <c r="AR688"/>
  <c r="AQ688"/>
  <c r="AI688"/>
  <c r="AH688"/>
  <c r="AG688"/>
  <c r="AF688"/>
  <c r="AE688"/>
  <c r="AD688"/>
  <c r="AB688"/>
  <c r="AA688"/>
  <c r="Y688"/>
  <c r="AX687"/>
  <c r="AW687"/>
  <c r="AT687"/>
  <c r="AR687"/>
  <c r="AS687" s="1"/>
  <c r="AQ687"/>
  <c r="AI687"/>
  <c r="AH687"/>
  <c r="AG687"/>
  <c r="AF687"/>
  <c r="AE687"/>
  <c r="AD687"/>
  <c r="AB687"/>
  <c r="AA687"/>
  <c r="Y687"/>
  <c r="AX686"/>
  <c r="AW686"/>
  <c r="AR686"/>
  <c r="AQ686"/>
  <c r="AI686"/>
  <c r="AH686"/>
  <c r="AG686"/>
  <c r="AF686"/>
  <c r="AE686"/>
  <c r="AD686"/>
  <c r="AB686"/>
  <c r="AA686"/>
  <c r="Y686"/>
  <c r="AX685"/>
  <c r="AW685"/>
  <c r="AT685"/>
  <c r="AR685"/>
  <c r="AS685" s="1"/>
  <c r="AQ685"/>
  <c r="AI685"/>
  <c r="AH685"/>
  <c r="AG685"/>
  <c r="AF685"/>
  <c r="AE685"/>
  <c r="AD685"/>
  <c r="AB685"/>
  <c r="AA685"/>
  <c r="Y685"/>
  <c r="AX684"/>
  <c r="AW684"/>
  <c r="AR684"/>
  <c r="AQ684"/>
  <c r="AI684"/>
  <c r="AH684"/>
  <c r="AG684"/>
  <c r="AF684"/>
  <c r="AE684"/>
  <c r="AD684"/>
  <c r="AB684"/>
  <c r="AA684"/>
  <c r="Y684"/>
  <c r="AX683"/>
  <c r="AW683"/>
  <c r="AT683"/>
  <c r="AR683"/>
  <c r="AS683" s="1"/>
  <c r="AQ683"/>
  <c r="AI683"/>
  <c r="AH683"/>
  <c r="AG683"/>
  <c r="AF683"/>
  <c r="AE683"/>
  <c r="AD683"/>
  <c r="AB683"/>
  <c r="AA683"/>
  <c r="Y683"/>
  <c r="AX682"/>
  <c r="AW682"/>
  <c r="AR682"/>
  <c r="AQ682"/>
  <c r="AI682"/>
  <c r="AH682"/>
  <c r="AG682"/>
  <c r="AF682"/>
  <c r="AE682"/>
  <c r="AD682"/>
  <c r="AB682"/>
  <c r="AA682"/>
  <c r="Y682"/>
  <c r="AX681"/>
  <c r="AW681"/>
  <c r="AT681"/>
  <c r="AR681"/>
  <c r="AS681" s="1"/>
  <c r="AQ681"/>
  <c r="AI681"/>
  <c r="AH681"/>
  <c r="AG681"/>
  <c r="AF681"/>
  <c r="AE681"/>
  <c r="AD681"/>
  <c r="AB681"/>
  <c r="AA681"/>
  <c r="Y681"/>
  <c r="AX680"/>
  <c r="AW680"/>
  <c r="AR680"/>
  <c r="AQ680"/>
  <c r="AI680"/>
  <c r="AH680"/>
  <c r="AG680"/>
  <c r="AF680"/>
  <c r="AE680"/>
  <c r="AD680"/>
  <c r="AB680"/>
  <c r="AA680"/>
  <c r="Y680"/>
  <c r="AX679"/>
  <c r="AW679"/>
  <c r="AT679"/>
  <c r="AR679"/>
  <c r="AS679" s="1"/>
  <c r="AQ679"/>
  <c r="AI679"/>
  <c r="AH679"/>
  <c r="AG679"/>
  <c r="AF679"/>
  <c r="AE679"/>
  <c r="AD679"/>
  <c r="AB679"/>
  <c r="AA679"/>
  <c r="Y679"/>
  <c r="AX678"/>
  <c r="AW678"/>
  <c r="AR678"/>
  <c r="AQ678"/>
  <c r="AI678"/>
  <c r="AH678"/>
  <c r="AG678"/>
  <c r="AF678"/>
  <c r="AE678"/>
  <c r="AD678"/>
  <c r="AB678"/>
  <c r="AA678"/>
  <c r="Y678"/>
  <c r="AX677"/>
  <c r="AW677"/>
  <c r="AT677"/>
  <c r="AR677"/>
  <c r="AS677" s="1"/>
  <c r="AQ677"/>
  <c r="AI677"/>
  <c r="AH677"/>
  <c r="AG677"/>
  <c r="AF677"/>
  <c r="AE677"/>
  <c r="AD677"/>
  <c r="AB677"/>
  <c r="AA677"/>
  <c r="Y677"/>
  <c r="AX676"/>
  <c r="AW676"/>
  <c r="AR676"/>
  <c r="AQ676"/>
  <c r="AI676"/>
  <c r="AH676"/>
  <c r="AG676"/>
  <c r="AF676"/>
  <c r="AE676"/>
  <c r="AD676"/>
  <c r="AB676"/>
  <c r="AA676"/>
  <c r="Y676"/>
  <c r="AX675"/>
  <c r="AW675"/>
  <c r="AT675"/>
  <c r="AR675"/>
  <c r="AS675" s="1"/>
  <c r="AQ675"/>
  <c r="AI675"/>
  <c r="AH675"/>
  <c r="AG675"/>
  <c r="AF675"/>
  <c r="AE675"/>
  <c r="AD675"/>
  <c r="AB675"/>
  <c r="AA675"/>
  <c r="Y675"/>
  <c r="AX674"/>
  <c r="AW674"/>
  <c r="AR674"/>
  <c r="AQ674"/>
  <c r="AI674"/>
  <c r="AH674"/>
  <c r="AG674"/>
  <c r="AF674"/>
  <c r="AE674"/>
  <c r="AD674"/>
  <c r="AB674"/>
  <c r="AA674"/>
  <c r="Y674"/>
  <c r="AX673"/>
  <c r="AW673"/>
  <c r="AT673"/>
  <c r="AR673"/>
  <c r="AS673" s="1"/>
  <c r="AQ673"/>
  <c r="AI673"/>
  <c r="AH673"/>
  <c r="AG673"/>
  <c r="AF673"/>
  <c r="AE673"/>
  <c r="AD673"/>
  <c r="AB673"/>
  <c r="AA673"/>
  <c r="Y673"/>
  <c r="AX672"/>
  <c r="AW672"/>
  <c r="AR672"/>
  <c r="AQ672"/>
  <c r="AI672"/>
  <c r="AH672"/>
  <c r="AG672"/>
  <c r="AF672"/>
  <c r="AE672"/>
  <c r="AD672"/>
  <c r="AB672"/>
  <c r="AA672"/>
  <c r="Y672"/>
  <c r="AX671"/>
  <c r="AW671"/>
  <c r="AT671"/>
  <c r="AR671"/>
  <c r="AS671" s="1"/>
  <c r="AQ671"/>
  <c r="AI671"/>
  <c r="AH671"/>
  <c r="AG671"/>
  <c r="AF671"/>
  <c r="AE671"/>
  <c r="AD671"/>
  <c r="AB671"/>
  <c r="AA671"/>
  <c r="Y671"/>
  <c r="AX670"/>
  <c r="AW670"/>
  <c r="AT670"/>
  <c r="AR670"/>
  <c r="AS670" s="1"/>
  <c r="AQ670"/>
  <c r="AI670"/>
  <c r="AH670"/>
  <c r="AG670"/>
  <c r="AF670"/>
  <c r="AE670"/>
  <c r="AD670"/>
  <c r="AB670"/>
  <c r="AA670"/>
  <c r="Y670"/>
  <c r="AX669"/>
  <c r="AW669"/>
  <c r="AT669"/>
  <c r="AR669"/>
  <c r="AS669" s="1"/>
  <c r="AQ669"/>
  <c r="AI669"/>
  <c r="AH669"/>
  <c r="AG669"/>
  <c r="AF669"/>
  <c r="AE669"/>
  <c r="AD669"/>
  <c r="AB669"/>
  <c r="AA669"/>
  <c r="Y669"/>
  <c r="AX668"/>
  <c r="AW668"/>
  <c r="AT668"/>
  <c r="AR668"/>
  <c r="AS668" s="1"/>
  <c r="AQ668"/>
  <c r="AI668"/>
  <c r="AH668"/>
  <c r="AG668"/>
  <c r="AF668"/>
  <c r="AE668"/>
  <c r="AD668"/>
  <c r="AB668"/>
  <c r="AA668"/>
  <c r="Y668"/>
  <c r="AX667"/>
  <c r="AW667"/>
  <c r="AT667"/>
  <c r="AR667"/>
  <c r="AS667" s="1"/>
  <c r="AQ667"/>
  <c r="AI667"/>
  <c r="AH667"/>
  <c r="AG667"/>
  <c r="AF667"/>
  <c r="AE667"/>
  <c r="AD667"/>
  <c r="AB667"/>
  <c r="AA667"/>
  <c r="Y667"/>
  <c r="AX666"/>
  <c r="AW666"/>
  <c r="AT666"/>
  <c r="AR666"/>
  <c r="AS666" s="1"/>
  <c r="AQ666"/>
  <c r="AI666"/>
  <c r="AH666"/>
  <c r="AG666"/>
  <c r="AF666"/>
  <c r="AE666"/>
  <c r="AD666"/>
  <c r="AB666"/>
  <c r="AA666"/>
  <c r="Y666"/>
  <c r="AX665"/>
  <c r="AW665"/>
  <c r="AT665"/>
  <c r="AR665"/>
  <c r="AS665" s="1"/>
  <c r="AQ665"/>
  <c r="AI665"/>
  <c r="AH665"/>
  <c r="AG665"/>
  <c r="AF665"/>
  <c r="AE665"/>
  <c r="AD665"/>
  <c r="AB665"/>
  <c r="AA665"/>
  <c r="Y665"/>
  <c r="AX664"/>
  <c r="AW664"/>
  <c r="AT664"/>
  <c r="AR664"/>
  <c r="AS664" s="1"/>
  <c r="AQ664"/>
  <c r="AI664"/>
  <c r="AH664"/>
  <c r="AG664"/>
  <c r="AF664"/>
  <c r="AE664"/>
  <c r="AD664"/>
  <c r="AB664"/>
  <c r="AA664"/>
  <c r="Y664"/>
  <c r="AX663"/>
  <c r="AW663"/>
  <c r="AT663"/>
  <c r="AR663"/>
  <c r="AS663" s="1"/>
  <c r="AQ663"/>
  <c r="AI663"/>
  <c r="AH663"/>
  <c r="AG663"/>
  <c r="AF663"/>
  <c r="AE663"/>
  <c r="AD663"/>
  <c r="AB663"/>
  <c r="AA663"/>
  <c r="Y663"/>
  <c r="AX662"/>
  <c r="AW662"/>
  <c r="AT662"/>
  <c r="AR662"/>
  <c r="AS662" s="1"/>
  <c r="AQ662"/>
  <c r="AI662"/>
  <c r="AH662"/>
  <c r="AG662"/>
  <c r="AF662"/>
  <c r="AE662"/>
  <c r="AD662"/>
  <c r="AB662"/>
  <c r="AA662"/>
  <c r="Y662"/>
  <c r="AX661"/>
  <c r="AW661"/>
  <c r="AT661"/>
  <c r="AR661"/>
  <c r="AS661" s="1"/>
  <c r="AQ661"/>
  <c r="AI661"/>
  <c r="AH661"/>
  <c r="AG661"/>
  <c r="AF661"/>
  <c r="AE661"/>
  <c r="AD661"/>
  <c r="AB661"/>
  <c r="AA661"/>
  <c r="Y661"/>
  <c r="AX660"/>
  <c r="AW660"/>
  <c r="AT660"/>
  <c r="AR660"/>
  <c r="AS660" s="1"/>
  <c r="AQ660"/>
  <c r="AI660"/>
  <c r="AH660"/>
  <c r="AG660"/>
  <c r="AF660"/>
  <c r="AE660"/>
  <c r="AD660"/>
  <c r="AB660"/>
  <c r="AA660"/>
  <c r="Y660"/>
  <c r="AX659"/>
  <c r="AW659"/>
  <c r="AT659"/>
  <c r="AR659"/>
  <c r="AS659" s="1"/>
  <c r="AQ659"/>
  <c r="AI659"/>
  <c r="AH659"/>
  <c r="AG659"/>
  <c r="AF659"/>
  <c r="AE659"/>
  <c r="AD659"/>
  <c r="AB659"/>
  <c r="AA659"/>
  <c r="Y659"/>
  <c r="AX658"/>
  <c r="AW658"/>
  <c r="AT658"/>
  <c r="AR658"/>
  <c r="AS658" s="1"/>
  <c r="AQ658"/>
  <c r="AI658"/>
  <c r="AH658"/>
  <c r="AG658"/>
  <c r="AF658"/>
  <c r="AE658"/>
  <c r="AD658"/>
  <c r="AB658"/>
  <c r="AA658"/>
  <c r="Y658"/>
  <c r="AX657"/>
  <c r="AW657"/>
  <c r="AT657"/>
  <c r="AR657"/>
  <c r="AS657" s="1"/>
  <c r="AQ657"/>
  <c r="AI657"/>
  <c r="AH657"/>
  <c r="AG657"/>
  <c r="AF657"/>
  <c r="AE657"/>
  <c r="AD657"/>
  <c r="AB657"/>
  <c r="AA657"/>
  <c r="Y657"/>
  <c r="AX656"/>
  <c r="AW656"/>
  <c r="AT656"/>
  <c r="AR656"/>
  <c r="AS656" s="1"/>
  <c r="AQ656"/>
  <c r="AI656"/>
  <c r="AH656"/>
  <c r="AG656"/>
  <c r="AF656"/>
  <c r="AE656"/>
  <c r="AD656"/>
  <c r="AB656"/>
  <c r="AA656"/>
  <c r="Y656"/>
  <c r="AX655"/>
  <c r="AW655"/>
  <c r="AT655"/>
  <c r="AU655" s="1"/>
  <c r="AR655"/>
  <c r="AS655" s="1"/>
  <c r="AQ655"/>
  <c r="AI655"/>
  <c r="AH655"/>
  <c r="AG655"/>
  <c r="AF655"/>
  <c r="AE655"/>
  <c r="AD655"/>
  <c r="AB655"/>
  <c r="AA655"/>
  <c r="Y655"/>
  <c r="AX654"/>
  <c r="AW654"/>
  <c r="AT654"/>
  <c r="AU654" s="1"/>
  <c r="AR654"/>
  <c r="AS654" s="1"/>
  <c r="AQ654"/>
  <c r="AI654"/>
  <c r="AH654"/>
  <c r="AG654"/>
  <c r="AF654"/>
  <c r="AE654"/>
  <c r="AD654"/>
  <c r="AB654"/>
  <c r="AA654"/>
  <c r="Y654"/>
  <c r="AX653"/>
  <c r="AW653"/>
  <c r="AV653"/>
  <c r="AT653"/>
  <c r="AU653" s="1"/>
  <c r="AR653"/>
  <c r="AS653" s="1"/>
  <c r="AQ653"/>
  <c r="AI653"/>
  <c r="AH653"/>
  <c r="AG653"/>
  <c r="AF653"/>
  <c r="AE653"/>
  <c r="AD653"/>
  <c r="AB653"/>
  <c r="AA653"/>
  <c r="Y653"/>
  <c r="AX652"/>
  <c r="AW652"/>
  <c r="AV652"/>
  <c r="AT652"/>
  <c r="AU652" s="1"/>
  <c r="AR652"/>
  <c r="AS652" s="1"/>
  <c r="AQ652"/>
  <c r="AI652"/>
  <c r="AH652"/>
  <c r="AG652"/>
  <c r="AF652"/>
  <c r="AE652"/>
  <c r="AD652"/>
  <c r="AB652"/>
  <c r="AA652"/>
  <c r="Y652"/>
  <c r="AX651"/>
  <c r="AW651"/>
  <c r="AV651"/>
  <c r="AT651"/>
  <c r="AU651" s="1"/>
  <c r="AR651"/>
  <c r="AS651" s="1"/>
  <c r="AQ651"/>
  <c r="AI651"/>
  <c r="AH651"/>
  <c r="AG651"/>
  <c r="AF651"/>
  <c r="AE651"/>
  <c r="AD651"/>
  <c r="AB651"/>
  <c r="AA651"/>
  <c r="Y651"/>
  <c r="AX650"/>
  <c r="AW650"/>
  <c r="AV650"/>
  <c r="AT650"/>
  <c r="AU650" s="1"/>
  <c r="AR650"/>
  <c r="AS650" s="1"/>
  <c r="AQ650"/>
  <c r="AI650"/>
  <c r="AH650"/>
  <c r="AG650"/>
  <c r="AF650"/>
  <c r="AE650"/>
  <c r="AD650"/>
  <c r="AB650"/>
  <c r="AA650"/>
  <c r="Y650"/>
  <c r="AX649"/>
  <c r="AW649"/>
  <c r="AV649"/>
  <c r="AT649"/>
  <c r="AU649" s="1"/>
  <c r="AR649"/>
  <c r="AS649" s="1"/>
  <c r="AQ649"/>
  <c r="AI649"/>
  <c r="AH649"/>
  <c r="AG649"/>
  <c r="AF649"/>
  <c r="AE649"/>
  <c r="AD649"/>
  <c r="AB649"/>
  <c r="AA649"/>
  <c r="Y649"/>
  <c r="AX648"/>
  <c r="AW648"/>
  <c r="AV648"/>
  <c r="AT648"/>
  <c r="AU648" s="1"/>
  <c r="AR648"/>
  <c r="AS648" s="1"/>
  <c r="AQ648"/>
  <c r="AI648"/>
  <c r="AH648"/>
  <c r="AG648"/>
  <c r="AF648"/>
  <c r="AE648"/>
  <c r="AD648"/>
  <c r="AB648"/>
  <c r="AA648"/>
  <c r="Y648"/>
  <c r="AX647"/>
  <c r="AW647"/>
  <c r="AV647"/>
  <c r="AT647"/>
  <c r="AU647" s="1"/>
  <c r="AR647"/>
  <c r="AS647" s="1"/>
  <c r="AQ647"/>
  <c r="AI647"/>
  <c r="AH647"/>
  <c r="AG647"/>
  <c r="AF647"/>
  <c r="AE647"/>
  <c r="AD647"/>
  <c r="AB647"/>
  <c r="AA647"/>
  <c r="Y647"/>
  <c r="AX646"/>
  <c r="AW646"/>
  <c r="AV646"/>
  <c r="AT646"/>
  <c r="AU646" s="1"/>
  <c r="AR646"/>
  <c r="AS646" s="1"/>
  <c r="AQ646"/>
  <c r="AI646"/>
  <c r="AH646"/>
  <c r="AG646"/>
  <c r="AF646"/>
  <c r="AE646"/>
  <c r="AD646"/>
  <c r="AB646"/>
  <c r="AA646"/>
  <c r="Y646"/>
  <c r="AX645"/>
  <c r="AW645"/>
  <c r="AV645"/>
  <c r="AT645"/>
  <c r="AU645" s="1"/>
  <c r="AR645"/>
  <c r="AS645" s="1"/>
  <c r="AQ645"/>
  <c r="AI645"/>
  <c r="AH645"/>
  <c r="AG645"/>
  <c r="AF645"/>
  <c r="AE645"/>
  <c r="AD645"/>
  <c r="AB645"/>
  <c r="AA645"/>
  <c r="Y645"/>
  <c r="AX644"/>
  <c r="AW644"/>
  <c r="AV644"/>
  <c r="AT644"/>
  <c r="AU644" s="1"/>
  <c r="AR644"/>
  <c r="AS644" s="1"/>
  <c r="AQ644"/>
  <c r="AI644"/>
  <c r="AH644"/>
  <c r="AG644"/>
  <c r="AF644"/>
  <c r="AE644"/>
  <c r="AD644"/>
  <c r="AB644"/>
  <c r="AA644"/>
  <c r="Y644"/>
  <c r="AX643"/>
  <c r="AW643"/>
  <c r="AV643"/>
  <c r="AT643"/>
  <c r="AU643" s="1"/>
  <c r="AR643"/>
  <c r="AS643" s="1"/>
  <c r="AQ643"/>
  <c r="AI643"/>
  <c r="AH643"/>
  <c r="AG643"/>
  <c r="AF643"/>
  <c r="AE643"/>
  <c r="AD643"/>
  <c r="AB643"/>
  <c r="AA643"/>
  <c r="Y643"/>
  <c r="AX642"/>
  <c r="AW642"/>
  <c r="AV642"/>
  <c r="AT642"/>
  <c r="AU642" s="1"/>
  <c r="AR642"/>
  <c r="AS642" s="1"/>
  <c r="AQ642"/>
  <c r="AI642"/>
  <c r="AH642"/>
  <c r="AG642"/>
  <c r="AF642"/>
  <c r="AE642"/>
  <c r="AD642"/>
  <c r="AB642"/>
  <c r="AA642"/>
  <c r="Y642"/>
  <c r="AX641"/>
  <c r="AW641"/>
  <c r="AV641"/>
  <c r="AT641"/>
  <c r="AU641" s="1"/>
  <c r="AR641"/>
  <c r="AS641" s="1"/>
  <c r="AQ641"/>
  <c r="AI641"/>
  <c r="AH641"/>
  <c r="AG641"/>
  <c r="AF641"/>
  <c r="AE641"/>
  <c r="AD641"/>
  <c r="AB641"/>
  <c r="AA641"/>
  <c r="Y641"/>
  <c r="AX640"/>
  <c r="AW640"/>
  <c r="AV640"/>
  <c r="AT640"/>
  <c r="AU640" s="1"/>
  <c r="AR640"/>
  <c r="AS640" s="1"/>
  <c r="AQ640"/>
  <c r="AI640"/>
  <c r="AH640"/>
  <c r="AG640"/>
  <c r="AF640"/>
  <c r="AE640"/>
  <c r="AD640"/>
  <c r="AB640"/>
  <c r="AA640"/>
  <c r="Y640"/>
  <c r="AX639"/>
  <c r="AW639"/>
  <c r="AV639"/>
  <c r="AT639"/>
  <c r="AU639" s="1"/>
  <c r="AR639"/>
  <c r="AS639" s="1"/>
  <c r="AQ639"/>
  <c r="AI639"/>
  <c r="AH639"/>
  <c r="AG639"/>
  <c r="AF639"/>
  <c r="AE639"/>
  <c r="AD639"/>
  <c r="AB639"/>
  <c r="AA639"/>
  <c r="Y639"/>
  <c r="AX638"/>
  <c r="AW638"/>
  <c r="AV638"/>
  <c r="AT638"/>
  <c r="AU638" s="1"/>
  <c r="AR638"/>
  <c r="AS638" s="1"/>
  <c r="AQ638"/>
  <c r="AI638"/>
  <c r="AH638"/>
  <c r="AG638"/>
  <c r="AF638"/>
  <c r="AE638"/>
  <c r="AD638"/>
  <c r="AB638"/>
  <c r="AA638"/>
  <c r="Y638"/>
  <c r="AX637"/>
  <c r="AW637"/>
  <c r="AV637"/>
  <c r="AT637"/>
  <c r="AU637" s="1"/>
  <c r="AR637"/>
  <c r="AS637" s="1"/>
  <c r="AQ637"/>
  <c r="AI637"/>
  <c r="AH637"/>
  <c r="AG637"/>
  <c r="AF637"/>
  <c r="AE637"/>
  <c r="AD637"/>
  <c r="AB637"/>
  <c r="AA637"/>
  <c r="Y637"/>
  <c r="AX636"/>
  <c r="AW636"/>
  <c r="AV636"/>
  <c r="AT636"/>
  <c r="AU636" s="1"/>
  <c r="AR636"/>
  <c r="AS636" s="1"/>
  <c r="AQ636"/>
  <c r="AI636"/>
  <c r="AH636"/>
  <c r="AG636"/>
  <c r="AF636"/>
  <c r="AE636"/>
  <c r="AD636"/>
  <c r="AB636"/>
  <c r="AA636"/>
  <c r="Y636"/>
  <c r="AX635"/>
  <c r="AW635"/>
  <c r="AV635"/>
  <c r="AT635"/>
  <c r="AU635" s="1"/>
  <c r="AR635"/>
  <c r="AS635" s="1"/>
  <c r="AQ635"/>
  <c r="AI635"/>
  <c r="AH635"/>
  <c r="AG635"/>
  <c r="AF635"/>
  <c r="AE635"/>
  <c r="AD635"/>
  <c r="AB635"/>
  <c r="AA635"/>
  <c r="Y635"/>
  <c r="AX634"/>
  <c r="AW634"/>
  <c r="AV634"/>
  <c r="AT634"/>
  <c r="AU634" s="1"/>
  <c r="AR634"/>
  <c r="AS634" s="1"/>
  <c r="AQ634"/>
  <c r="AI634"/>
  <c r="AH634"/>
  <c r="AG634"/>
  <c r="AF634"/>
  <c r="AE634"/>
  <c r="AD634"/>
  <c r="AB634"/>
  <c r="AA634"/>
  <c r="Y634"/>
  <c r="AX633"/>
  <c r="AW633"/>
  <c r="AV633"/>
  <c r="AT633"/>
  <c r="AU633" s="1"/>
  <c r="AR633"/>
  <c r="AS633" s="1"/>
  <c r="AQ633"/>
  <c r="AI633"/>
  <c r="AH633"/>
  <c r="AG633"/>
  <c r="AF633"/>
  <c r="AE633"/>
  <c r="AD633"/>
  <c r="AB633"/>
  <c r="AA633"/>
  <c r="Y633"/>
  <c r="AX632"/>
  <c r="AW632"/>
  <c r="AV632"/>
  <c r="AT632"/>
  <c r="AU632" s="1"/>
  <c r="AR632"/>
  <c r="AS632" s="1"/>
  <c r="AQ632"/>
  <c r="AI632"/>
  <c r="AH632"/>
  <c r="AG632"/>
  <c r="AF632"/>
  <c r="AE632"/>
  <c r="AD632"/>
  <c r="AB632"/>
  <c r="AA632"/>
  <c r="Y632"/>
  <c r="AX631"/>
  <c r="AW631"/>
  <c r="AV631"/>
  <c r="AT631"/>
  <c r="AU631" s="1"/>
  <c r="AR631"/>
  <c r="AS631" s="1"/>
  <c r="AQ631"/>
  <c r="AI631"/>
  <c r="AH631"/>
  <c r="AG631"/>
  <c r="AF631"/>
  <c r="AE631"/>
  <c r="AD631"/>
  <c r="AB631"/>
  <c r="AA631"/>
  <c r="Y631"/>
  <c r="AX630"/>
  <c r="AW630"/>
  <c r="AV630"/>
  <c r="AT630"/>
  <c r="AU630" s="1"/>
  <c r="AR630"/>
  <c r="AS630" s="1"/>
  <c r="AQ630"/>
  <c r="AI630"/>
  <c r="AH630"/>
  <c r="AG630"/>
  <c r="AF630"/>
  <c r="AE630"/>
  <c r="AD630"/>
  <c r="AB630"/>
  <c r="AA630"/>
  <c r="Y630"/>
  <c r="AX629"/>
  <c r="AW629"/>
  <c r="AV629"/>
  <c r="AT629"/>
  <c r="AU629" s="1"/>
  <c r="AR629"/>
  <c r="AS629" s="1"/>
  <c r="AQ629"/>
  <c r="AI629"/>
  <c r="AH629"/>
  <c r="AG629"/>
  <c r="AF629"/>
  <c r="AE629"/>
  <c r="AD629"/>
  <c r="AB629"/>
  <c r="AA629"/>
  <c r="Y629"/>
  <c r="AX628"/>
  <c r="AW628"/>
  <c r="AV628"/>
  <c r="AT628"/>
  <c r="AU628" s="1"/>
  <c r="AR628"/>
  <c r="AS628" s="1"/>
  <c r="AQ628"/>
  <c r="AI628"/>
  <c r="AH628"/>
  <c r="AG628"/>
  <c r="AF628"/>
  <c r="AE628"/>
  <c r="AD628"/>
  <c r="AB628"/>
  <c r="AA628"/>
  <c r="Y628"/>
  <c r="AX627"/>
  <c r="AW627"/>
  <c r="AV627"/>
  <c r="AT627"/>
  <c r="AU627" s="1"/>
  <c r="AR627"/>
  <c r="AS627" s="1"/>
  <c r="AQ627"/>
  <c r="AI627"/>
  <c r="AH627"/>
  <c r="AG627"/>
  <c r="AF627"/>
  <c r="AE627"/>
  <c r="AD627"/>
  <c r="AB627"/>
  <c r="AA627"/>
  <c r="Y627"/>
  <c r="AX626"/>
  <c r="AW626"/>
  <c r="AV626"/>
  <c r="AT626"/>
  <c r="AU626" s="1"/>
  <c r="AR626"/>
  <c r="AS626" s="1"/>
  <c r="AQ626"/>
  <c r="AI626"/>
  <c r="AH626"/>
  <c r="AG626"/>
  <c r="AF626"/>
  <c r="AE626"/>
  <c r="AD626"/>
  <c r="AB626"/>
  <c r="AA626"/>
  <c r="Y626"/>
  <c r="AX625"/>
  <c r="AW625"/>
  <c r="AV625"/>
  <c r="AT625"/>
  <c r="AU625" s="1"/>
  <c r="AR625"/>
  <c r="AS625" s="1"/>
  <c r="AQ625"/>
  <c r="AI625"/>
  <c r="AH625"/>
  <c r="AG625"/>
  <c r="AF625"/>
  <c r="AE625"/>
  <c r="AD625"/>
  <c r="AB625"/>
  <c r="AA625"/>
  <c r="Y625"/>
  <c r="AX624"/>
  <c r="AW624"/>
  <c r="AV624"/>
  <c r="AT624"/>
  <c r="AU624" s="1"/>
  <c r="AR624"/>
  <c r="AS624" s="1"/>
  <c r="AQ624"/>
  <c r="AI624"/>
  <c r="AH624"/>
  <c r="AG624"/>
  <c r="AF624"/>
  <c r="AE624"/>
  <c r="AD624"/>
  <c r="AB624"/>
  <c r="AA624"/>
  <c r="Y624"/>
  <c r="AX623"/>
  <c r="AW623"/>
  <c r="AV623"/>
  <c r="AT623"/>
  <c r="AU623" s="1"/>
  <c r="AR623"/>
  <c r="AS623" s="1"/>
  <c r="AQ623"/>
  <c r="AI623"/>
  <c r="AH623"/>
  <c r="AG623"/>
  <c r="AF623"/>
  <c r="AE623"/>
  <c r="AD623"/>
  <c r="AB623"/>
  <c r="AA623"/>
  <c r="Y623"/>
  <c r="AX622"/>
  <c r="AW622"/>
  <c r="AV622"/>
  <c r="AT622"/>
  <c r="AU622" s="1"/>
  <c r="AR622"/>
  <c r="AS622" s="1"/>
  <c r="AQ622"/>
  <c r="AI622"/>
  <c r="AH622"/>
  <c r="AG622"/>
  <c r="AF622"/>
  <c r="AE622"/>
  <c r="AD622"/>
  <c r="AB622"/>
  <c r="AA622"/>
  <c r="Y622"/>
  <c r="AX621"/>
  <c r="AW621"/>
  <c r="AV621"/>
  <c r="AT621"/>
  <c r="AU621" s="1"/>
  <c r="AR621"/>
  <c r="AS621" s="1"/>
  <c r="AQ621"/>
  <c r="AI621"/>
  <c r="AH621"/>
  <c r="AG621"/>
  <c r="AF621"/>
  <c r="AE621"/>
  <c r="AD621"/>
  <c r="AB621"/>
  <c r="AA621"/>
  <c r="Y621"/>
  <c r="AX620"/>
  <c r="AW620"/>
  <c r="AV620"/>
  <c r="AT620"/>
  <c r="AU620" s="1"/>
  <c r="AR620"/>
  <c r="AS620" s="1"/>
  <c r="AQ620"/>
  <c r="AI620"/>
  <c r="AH620"/>
  <c r="AG620"/>
  <c r="AF620"/>
  <c r="AE620"/>
  <c r="AD620"/>
  <c r="AB620"/>
  <c r="AA620"/>
  <c r="Y620"/>
  <c r="AX619"/>
  <c r="AW619"/>
  <c r="AV619"/>
  <c r="AT619"/>
  <c r="AU619" s="1"/>
  <c r="AR619"/>
  <c r="AS619" s="1"/>
  <c r="AQ619"/>
  <c r="AI619"/>
  <c r="AH619"/>
  <c r="AG619"/>
  <c r="AF619"/>
  <c r="AE619"/>
  <c r="AD619"/>
  <c r="AB619"/>
  <c r="AA619"/>
  <c r="Y619"/>
  <c r="AX618"/>
  <c r="AW618"/>
  <c r="AV618"/>
  <c r="AT618"/>
  <c r="AU618" s="1"/>
  <c r="AR618"/>
  <c r="AS618" s="1"/>
  <c r="AQ618"/>
  <c r="AI618"/>
  <c r="AH618"/>
  <c r="AG618"/>
  <c r="AF618"/>
  <c r="AE618"/>
  <c r="AD618"/>
  <c r="AB618"/>
  <c r="AA618"/>
  <c r="Y618"/>
  <c r="AX617"/>
  <c r="AW617"/>
  <c r="AV617"/>
  <c r="AT617"/>
  <c r="AU617" s="1"/>
  <c r="AR617"/>
  <c r="AS617" s="1"/>
  <c r="AQ617"/>
  <c r="AI617"/>
  <c r="AH617"/>
  <c r="AG617"/>
  <c r="AF617"/>
  <c r="AE617"/>
  <c r="AD617"/>
  <c r="AB617"/>
  <c r="AA617"/>
  <c r="Y617"/>
  <c r="AX616"/>
  <c r="AW616"/>
  <c r="AV616"/>
  <c r="AT616"/>
  <c r="AU616" s="1"/>
  <c r="AR616"/>
  <c r="AS616" s="1"/>
  <c r="AQ616"/>
  <c r="AI616"/>
  <c r="AH616"/>
  <c r="AG616"/>
  <c r="AF616"/>
  <c r="AE616"/>
  <c r="AD616"/>
  <c r="AB616"/>
  <c r="AA616"/>
  <c r="Y616"/>
  <c r="AX615"/>
  <c r="AW615"/>
  <c r="AV615"/>
  <c r="AT615"/>
  <c r="AU615" s="1"/>
  <c r="AR615"/>
  <c r="AS615" s="1"/>
  <c r="AQ615"/>
  <c r="AI615"/>
  <c r="AH615"/>
  <c r="AG615"/>
  <c r="AF615"/>
  <c r="AE615"/>
  <c r="AD615"/>
  <c r="AB615"/>
  <c r="AA615"/>
  <c r="Y615"/>
  <c r="AX614"/>
  <c r="AW614"/>
  <c r="AV614"/>
  <c r="AT614"/>
  <c r="AU614" s="1"/>
  <c r="AR614"/>
  <c r="AS614" s="1"/>
  <c r="AQ614"/>
  <c r="AI614"/>
  <c r="AH614"/>
  <c r="AG614"/>
  <c r="AF614"/>
  <c r="AE614"/>
  <c r="AD614"/>
  <c r="AB614"/>
  <c r="AA614"/>
  <c r="Y614"/>
  <c r="AX613"/>
  <c r="AW613"/>
  <c r="AV613"/>
  <c r="AT613"/>
  <c r="AU613" s="1"/>
  <c r="AR613"/>
  <c r="AS613" s="1"/>
  <c r="AQ613"/>
  <c r="AI613"/>
  <c r="AH613"/>
  <c r="AG613"/>
  <c r="AF613"/>
  <c r="AE613"/>
  <c r="AD613"/>
  <c r="AB613"/>
  <c r="AA613"/>
  <c r="Y613"/>
  <c r="AX612"/>
  <c r="AW612"/>
  <c r="AV612"/>
  <c r="AT612"/>
  <c r="AU612" s="1"/>
  <c r="AR612"/>
  <c r="AS612" s="1"/>
  <c r="AQ612"/>
  <c r="AI612"/>
  <c r="AH612"/>
  <c r="AG612"/>
  <c r="AF612"/>
  <c r="AE612"/>
  <c r="AD612"/>
  <c r="AB612"/>
  <c r="AA612"/>
  <c r="Y612"/>
  <c r="AX611"/>
  <c r="AW611"/>
  <c r="AV611"/>
  <c r="AT611"/>
  <c r="AU611" s="1"/>
  <c r="AR611"/>
  <c r="AS611" s="1"/>
  <c r="AQ611"/>
  <c r="AI611"/>
  <c r="AH611"/>
  <c r="AG611"/>
  <c r="AF611"/>
  <c r="AE611"/>
  <c r="AD611"/>
  <c r="AB611"/>
  <c r="AA611"/>
  <c r="Y611"/>
  <c r="AX610"/>
  <c r="AW610"/>
  <c r="AV610"/>
  <c r="AT610"/>
  <c r="AU610" s="1"/>
  <c r="AR610"/>
  <c r="AS610" s="1"/>
  <c r="AQ610"/>
  <c r="AI610"/>
  <c r="AH610"/>
  <c r="AG610"/>
  <c r="AF610"/>
  <c r="AE610"/>
  <c r="AD610"/>
  <c r="AB610"/>
  <c r="AA610"/>
  <c r="Y610"/>
  <c r="AX609"/>
  <c r="AW609"/>
  <c r="AV609"/>
  <c r="AT609"/>
  <c r="AU609" s="1"/>
  <c r="AR609"/>
  <c r="AS609" s="1"/>
  <c r="AQ609"/>
  <c r="AI609"/>
  <c r="AH609"/>
  <c r="AG609"/>
  <c r="AF609"/>
  <c r="AE609"/>
  <c r="AD609"/>
  <c r="AB609"/>
  <c r="AA609"/>
  <c r="Y609"/>
  <c r="AX608"/>
  <c r="AW608"/>
  <c r="AV608"/>
  <c r="AT608"/>
  <c r="AU608" s="1"/>
  <c r="AR608"/>
  <c r="AS608" s="1"/>
  <c r="AQ608"/>
  <c r="AI608"/>
  <c r="AH608"/>
  <c r="AG608"/>
  <c r="AF608"/>
  <c r="AE608"/>
  <c r="AD608"/>
  <c r="AB608"/>
  <c r="AA608"/>
  <c r="Y608"/>
  <c r="AX607"/>
  <c r="AW607"/>
  <c r="AV607"/>
  <c r="AT607"/>
  <c r="AU607" s="1"/>
  <c r="AR607"/>
  <c r="AS607" s="1"/>
  <c r="AQ607"/>
  <c r="AI607"/>
  <c r="AH607"/>
  <c r="AG607"/>
  <c r="AF607"/>
  <c r="AE607"/>
  <c r="AD607"/>
  <c r="AB607"/>
  <c r="AA607"/>
  <c r="Y607"/>
  <c r="AX606"/>
  <c r="AW606"/>
  <c r="AV606"/>
  <c r="AT606"/>
  <c r="AU606" s="1"/>
  <c r="AR606"/>
  <c r="AS606" s="1"/>
  <c r="AQ606"/>
  <c r="AI606"/>
  <c r="AH606"/>
  <c r="AG606"/>
  <c r="AF606"/>
  <c r="AE606"/>
  <c r="AD606"/>
  <c r="AB606"/>
  <c r="AA606"/>
  <c r="Y606"/>
  <c r="AX605"/>
  <c r="AW605"/>
  <c r="AV605"/>
  <c r="AT605"/>
  <c r="AU605" s="1"/>
  <c r="AR605"/>
  <c r="AS605" s="1"/>
  <c r="AQ605"/>
  <c r="AI605"/>
  <c r="AH605"/>
  <c r="AG605"/>
  <c r="AF605"/>
  <c r="AE605"/>
  <c r="AD605"/>
  <c r="AB605"/>
  <c r="AA605"/>
  <c r="Y605"/>
  <c r="AX604"/>
  <c r="AW604"/>
  <c r="AV604"/>
  <c r="AT604"/>
  <c r="AU604" s="1"/>
  <c r="AR604"/>
  <c r="AS604" s="1"/>
  <c r="AQ604"/>
  <c r="AI604"/>
  <c r="AH604"/>
  <c r="AG604"/>
  <c r="AF604"/>
  <c r="AE604"/>
  <c r="AD604"/>
  <c r="AB604"/>
  <c r="AA604"/>
  <c r="Y604"/>
  <c r="AX603"/>
  <c r="AW603"/>
  <c r="AV603"/>
  <c r="AT603"/>
  <c r="AU603" s="1"/>
  <c r="AR603"/>
  <c r="AS603" s="1"/>
  <c r="AQ603"/>
  <c r="AI603"/>
  <c r="AH603"/>
  <c r="AG603"/>
  <c r="AF603"/>
  <c r="AE603"/>
  <c r="AD603"/>
  <c r="AB603"/>
  <c r="AA603"/>
  <c r="Y603"/>
  <c r="AX602"/>
  <c r="AW602"/>
  <c r="AV602"/>
  <c r="AT602"/>
  <c r="AU602" s="1"/>
  <c r="AR602"/>
  <c r="AS602" s="1"/>
  <c r="AQ602"/>
  <c r="AI602"/>
  <c r="AH602"/>
  <c r="AG602"/>
  <c r="AF602"/>
  <c r="AE602"/>
  <c r="AD602"/>
  <c r="AB602"/>
  <c r="AA602"/>
  <c r="Y602"/>
  <c r="AX601"/>
  <c r="AW601"/>
  <c r="AV601"/>
  <c r="AT601"/>
  <c r="AU601" s="1"/>
  <c r="AR601"/>
  <c r="AS601" s="1"/>
  <c r="AQ601"/>
  <c r="AI601"/>
  <c r="AH601"/>
  <c r="AG601"/>
  <c r="AF601"/>
  <c r="AE601"/>
  <c r="AD601"/>
  <c r="AB601"/>
  <c r="AA601"/>
  <c r="Y601"/>
  <c r="AX600"/>
  <c r="AW600"/>
  <c r="AV600"/>
  <c r="AT600"/>
  <c r="AU600" s="1"/>
  <c r="AR600"/>
  <c r="AS600" s="1"/>
  <c r="AQ600"/>
  <c r="AI600"/>
  <c r="AH600"/>
  <c r="AG600"/>
  <c r="AF600"/>
  <c r="AE600"/>
  <c r="AD600"/>
  <c r="AB600"/>
  <c r="AA600"/>
  <c r="Y600"/>
  <c r="AX599"/>
  <c r="AW599"/>
  <c r="AV599"/>
  <c r="AT599"/>
  <c r="AU599" s="1"/>
  <c r="AR599"/>
  <c r="AS599" s="1"/>
  <c r="AQ599"/>
  <c r="AI599"/>
  <c r="AH599"/>
  <c r="AG599"/>
  <c r="AF599"/>
  <c r="AE599"/>
  <c r="AD599"/>
  <c r="AB599"/>
  <c r="AA599"/>
  <c r="Y599"/>
  <c r="AX598"/>
  <c r="AW598"/>
  <c r="AV598"/>
  <c r="AT598"/>
  <c r="AU598" s="1"/>
  <c r="AR598"/>
  <c r="AS598" s="1"/>
  <c r="AQ598"/>
  <c r="AI598"/>
  <c r="AH598"/>
  <c r="AG598"/>
  <c r="AF598"/>
  <c r="AE598"/>
  <c r="AD598"/>
  <c r="AB598"/>
  <c r="AA598"/>
  <c r="Y598"/>
  <c r="AX597"/>
  <c r="AW597"/>
  <c r="AV597"/>
  <c r="AT597"/>
  <c r="AU597" s="1"/>
  <c r="AR597"/>
  <c r="AS597" s="1"/>
  <c r="AQ597"/>
  <c r="AI597"/>
  <c r="AH597"/>
  <c r="AG597"/>
  <c r="AF597"/>
  <c r="AE597"/>
  <c r="AD597"/>
  <c r="AB597"/>
  <c r="AA597"/>
  <c r="Y597"/>
  <c r="AX596"/>
  <c r="AW596"/>
  <c r="AV596"/>
  <c r="AT596"/>
  <c r="AU596" s="1"/>
  <c r="AR596"/>
  <c r="AS596" s="1"/>
  <c r="AQ596"/>
  <c r="AI596"/>
  <c r="AH596"/>
  <c r="AG596"/>
  <c r="AF596"/>
  <c r="AE596"/>
  <c r="AD596"/>
  <c r="AB596"/>
  <c r="AA596"/>
  <c r="Y596"/>
  <c r="AX595"/>
  <c r="AW595"/>
  <c r="AV595"/>
  <c r="AT595"/>
  <c r="AU595" s="1"/>
  <c r="AR595"/>
  <c r="AS595" s="1"/>
  <c r="AQ595"/>
  <c r="AI595"/>
  <c r="AH595"/>
  <c r="AG595"/>
  <c r="AF595"/>
  <c r="AE595"/>
  <c r="AD595"/>
  <c r="AB595"/>
  <c r="AA595"/>
  <c r="Y595"/>
  <c r="AX594"/>
  <c r="AW594"/>
  <c r="AV594"/>
  <c r="AT594"/>
  <c r="AU594" s="1"/>
  <c r="AR594"/>
  <c r="AS594" s="1"/>
  <c r="AQ594"/>
  <c r="AI594"/>
  <c r="AH594"/>
  <c r="AG594"/>
  <c r="AF594"/>
  <c r="AE594"/>
  <c r="AD594"/>
  <c r="AB594"/>
  <c r="AA594"/>
  <c r="Y594"/>
  <c r="AX593"/>
  <c r="AW593"/>
  <c r="AV593"/>
  <c r="AT593"/>
  <c r="AU593" s="1"/>
  <c r="AR593"/>
  <c r="AS593" s="1"/>
  <c r="AQ593"/>
  <c r="AI593"/>
  <c r="AH593"/>
  <c r="AG593"/>
  <c r="AF593"/>
  <c r="AE593"/>
  <c r="AD593"/>
  <c r="AB593"/>
  <c r="AA593"/>
  <c r="Y593"/>
  <c r="AX592"/>
  <c r="AW592"/>
  <c r="AV592"/>
  <c r="AT592"/>
  <c r="AU592" s="1"/>
  <c r="AR592"/>
  <c r="AS592" s="1"/>
  <c r="AQ592"/>
  <c r="AI592"/>
  <c r="AH592"/>
  <c r="AG592"/>
  <c r="AF592"/>
  <c r="AE592"/>
  <c r="AD592"/>
  <c r="AB592"/>
  <c r="AA592"/>
  <c r="Y592"/>
  <c r="AX591"/>
  <c r="AW591"/>
  <c r="AV591"/>
  <c r="AT591"/>
  <c r="AU591" s="1"/>
  <c r="AR591"/>
  <c r="AS591" s="1"/>
  <c r="AQ591"/>
  <c r="AI591"/>
  <c r="AH591"/>
  <c r="AG591"/>
  <c r="AF591"/>
  <c r="AE591"/>
  <c r="AD591"/>
  <c r="AB591"/>
  <c r="AA591"/>
  <c r="Y591"/>
  <c r="AX590"/>
  <c r="AW590"/>
  <c r="AV590"/>
  <c r="AT590"/>
  <c r="AU590" s="1"/>
  <c r="AR590"/>
  <c r="AS590" s="1"/>
  <c r="AQ590"/>
  <c r="AI590"/>
  <c r="AH590"/>
  <c r="AG590"/>
  <c r="AF590"/>
  <c r="AE590"/>
  <c r="AD590"/>
  <c r="AB590"/>
  <c r="AA590"/>
  <c r="Y590"/>
  <c r="AX589"/>
  <c r="AW589"/>
  <c r="AV589"/>
  <c r="AT589"/>
  <c r="AU589" s="1"/>
  <c r="AR589"/>
  <c r="AS589" s="1"/>
  <c r="AQ589"/>
  <c r="AI589"/>
  <c r="AH589"/>
  <c r="AG589"/>
  <c r="AF589"/>
  <c r="AE589"/>
  <c r="AD589"/>
  <c r="AB589"/>
  <c r="AA589"/>
  <c r="Y589"/>
  <c r="AX588"/>
  <c r="AW588"/>
  <c r="AV588"/>
  <c r="AT588"/>
  <c r="AU588" s="1"/>
  <c r="AR588"/>
  <c r="AS588" s="1"/>
  <c r="AQ588"/>
  <c r="AI588"/>
  <c r="AH588"/>
  <c r="AG588"/>
  <c r="AF588"/>
  <c r="AE588"/>
  <c r="AD588"/>
  <c r="AB588"/>
  <c r="AA588"/>
  <c r="Y588"/>
  <c r="AX587"/>
  <c r="AW587"/>
  <c r="AV587"/>
  <c r="AT587"/>
  <c r="AU587" s="1"/>
  <c r="AR587"/>
  <c r="AS587" s="1"/>
  <c r="AQ587"/>
  <c r="AI587"/>
  <c r="AH587"/>
  <c r="AG587"/>
  <c r="AF587"/>
  <c r="AE587"/>
  <c r="AD587"/>
  <c r="AB587"/>
  <c r="AA587"/>
  <c r="Y587"/>
  <c r="AX586"/>
  <c r="AW586"/>
  <c r="AV586"/>
  <c r="AT586"/>
  <c r="AU586" s="1"/>
  <c r="AR586"/>
  <c r="AS586" s="1"/>
  <c r="AQ586"/>
  <c r="AI586"/>
  <c r="AH586"/>
  <c r="AG586"/>
  <c r="AF586"/>
  <c r="AE586"/>
  <c r="AD586"/>
  <c r="AB586"/>
  <c r="AA586"/>
  <c r="Y586"/>
  <c r="AX585"/>
  <c r="AW585"/>
  <c r="AV585"/>
  <c r="AT585"/>
  <c r="AU585" s="1"/>
  <c r="AR585"/>
  <c r="AS585" s="1"/>
  <c r="AQ585"/>
  <c r="AI585"/>
  <c r="AH585"/>
  <c r="AG585"/>
  <c r="AF585"/>
  <c r="AE585"/>
  <c r="AD585"/>
  <c r="AB585"/>
  <c r="AA585"/>
  <c r="Y585"/>
  <c r="AX584"/>
  <c r="AW584"/>
  <c r="AV584"/>
  <c r="AT584"/>
  <c r="AU584" s="1"/>
  <c r="AR584"/>
  <c r="AS584" s="1"/>
  <c r="AQ584"/>
  <c r="AI584"/>
  <c r="AH584"/>
  <c r="AG584"/>
  <c r="AF584"/>
  <c r="AE584"/>
  <c r="AD584"/>
  <c r="AB584"/>
  <c r="AA584"/>
  <c r="Y584"/>
  <c r="AX583"/>
  <c r="AW583"/>
  <c r="AV583"/>
  <c r="AT583"/>
  <c r="AU583" s="1"/>
  <c r="AR583"/>
  <c r="AS583" s="1"/>
  <c r="AQ583"/>
  <c r="AI583"/>
  <c r="AH583"/>
  <c r="AG583"/>
  <c r="AF583"/>
  <c r="AE583"/>
  <c r="AD583"/>
  <c r="AB583"/>
  <c r="AA583"/>
  <c r="Y583"/>
  <c r="AX582"/>
  <c r="AW582"/>
  <c r="AV582"/>
  <c r="AT582"/>
  <c r="AU582" s="1"/>
  <c r="AR582"/>
  <c r="AS582" s="1"/>
  <c r="AQ582"/>
  <c r="AI582"/>
  <c r="AH582"/>
  <c r="AG582"/>
  <c r="AF582"/>
  <c r="AE582"/>
  <c r="AD582"/>
  <c r="AB582"/>
  <c r="AA582"/>
  <c r="Y582"/>
  <c r="AX581"/>
  <c r="AW581"/>
  <c r="AV581"/>
  <c r="AT581"/>
  <c r="AU581" s="1"/>
  <c r="AR581"/>
  <c r="AS581" s="1"/>
  <c r="AQ581"/>
  <c r="AI581"/>
  <c r="AH581"/>
  <c r="AG581"/>
  <c r="AF581"/>
  <c r="AE581"/>
  <c r="AD581"/>
  <c r="AB581"/>
  <c r="AA581"/>
  <c r="Y581"/>
  <c r="AX580"/>
  <c r="AW580"/>
  <c r="AV580"/>
  <c r="AT580"/>
  <c r="AU580" s="1"/>
  <c r="AR580"/>
  <c r="AS580" s="1"/>
  <c r="AQ580"/>
  <c r="AI580"/>
  <c r="AH580"/>
  <c r="AG580"/>
  <c r="AF580"/>
  <c r="AE580"/>
  <c r="AD580"/>
  <c r="AB580"/>
  <c r="AA580"/>
  <c r="Y580"/>
  <c r="AX579"/>
  <c r="AW579"/>
  <c r="AV579"/>
  <c r="AT579"/>
  <c r="AU579" s="1"/>
  <c r="AR579"/>
  <c r="AS579" s="1"/>
  <c r="AQ579"/>
  <c r="AI579"/>
  <c r="AH579"/>
  <c r="AG579"/>
  <c r="AF579"/>
  <c r="AE579"/>
  <c r="AD579"/>
  <c r="AB579"/>
  <c r="AA579"/>
  <c r="Y579"/>
  <c r="AX578"/>
  <c r="AW578"/>
  <c r="AV578"/>
  <c r="AT578"/>
  <c r="AU578" s="1"/>
  <c r="AR578"/>
  <c r="AS578" s="1"/>
  <c r="AQ578"/>
  <c r="AI578"/>
  <c r="AH578"/>
  <c r="AG578"/>
  <c r="AF578"/>
  <c r="AE578"/>
  <c r="AD578"/>
  <c r="AB578"/>
  <c r="AA578"/>
  <c r="Y578"/>
  <c r="AX577"/>
  <c r="AW577"/>
  <c r="AV577"/>
  <c r="AT577"/>
  <c r="AU577" s="1"/>
  <c r="AR577"/>
  <c r="AS577" s="1"/>
  <c r="AQ577"/>
  <c r="AI577"/>
  <c r="AH577"/>
  <c r="AG577"/>
  <c r="AF577"/>
  <c r="AE577"/>
  <c r="AD577"/>
  <c r="AB577"/>
  <c r="AA577"/>
  <c r="Y577"/>
  <c r="AX576"/>
  <c r="AW576"/>
  <c r="AV576"/>
  <c r="AT576"/>
  <c r="AU576" s="1"/>
  <c r="AR576"/>
  <c r="AS576" s="1"/>
  <c r="AQ576"/>
  <c r="AI576"/>
  <c r="AH576"/>
  <c r="AG576"/>
  <c r="AF576"/>
  <c r="AE576"/>
  <c r="AD576"/>
  <c r="AB576"/>
  <c r="AA576"/>
  <c r="Y576"/>
  <c r="AX575"/>
  <c r="AW575"/>
  <c r="AV575"/>
  <c r="AT575"/>
  <c r="AU575" s="1"/>
  <c r="AR575"/>
  <c r="AS575" s="1"/>
  <c r="AQ575"/>
  <c r="AI575"/>
  <c r="AH575"/>
  <c r="AG575"/>
  <c r="AF575"/>
  <c r="AE575"/>
  <c r="AD575"/>
  <c r="AB575"/>
  <c r="AA575"/>
  <c r="Y575"/>
  <c r="AX574"/>
  <c r="AW574"/>
  <c r="AV574"/>
  <c r="AT574"/>
  <c r="AU574" s="1"/>
  <c r="AR574"/>
  <c r="AS574" s="1"/>
  <c r="AQ574"/>
  <c r="AI574"/>
  <c r="AH574"/>
  <c r="AG574"/>
  <c r="AF574"/>
  <c r="AE574"/>
  <c r="AD574"/>
  <c r="AB574"/>
  <c r="AA574"/>
  <c r="Y574"/>
  <c r="AX573"/>
  <c r="AW573"/>
  <c r="AV573"/>
  <c r="AT573"/>
  <c r="AU573" s="1"/>
  <c r="AR573"/>
  <c r="AS573" s="1"/>
  <c r="AQ573"/>
  <c r="AI573"/>
  <c r="AH573"/>
  <c r="AG573"/>
  <c r="AF573"/>
  <c r="AE573"/>
  <c r="AD573"/>
  <c r="AB573"/>
  <c r="AA573"/>
  <c r="Y573"/>
  <c r="AX572"/>
  <c r="AW572"/>
  <c r="AV572"/>
  <c r="AT572"/>
  <c r="AU572" s="1"/>
  <c r="AR572"/>
  <c r="AS572" s="1"/>
  <c r="AQ572"/>
  <c r="AI572"/>
  <c r="AH572"/>
  <c r="AG572"/>
  <c r="AF572"/>
  <c r="AE572"/>
  <c r="AD572"/>
  <c r="AB572"/>
  <c r="AA572"/>
  <c r="Y572"/>
  <c r="AX571"/>
  <c r="AW571"/>
  <c r="AV571"/>
  <c r="AT571"/>
  <c r="AU571" s="1"/>
  <c r="AR571"/>
  <c r="AS571" s="1"/>
  <c r="AQ571"/>
  <c r="AI571"/>
  <c r="AH571"/>
  <c r="AG571"/>
  <c r="AF571"/>
  <c r="AE571"/>
  <c r="AD571"/>
  <c r="AB571"/>
  <c r="AA571"/>
  <c r="Y571"/>
  <c r="AX570"/>
  <c r="AW570"/>
  <c r="AV570"/>
  <c r="AT570"/>
  <c r="AU570" s="1"/>
  <c r="AR570"/>
  <c r="AS570" s="1"/>
  <c r="AQ570"/>
  <c r="AI570"/>
  <c r="AH570"/>
  <c r="AG570"/>
  <c r="AF570"/>
  <c r="AE570"/>
  <c r="AD570"/>
  <c r="AB570"/>
  <c r="AA570"/>
  <c r="Y570"/>
  <c r="AX569"/>
  <c r="AW569"/>
  <c r="AV569"/>
  <c r="AT569"/>
  <c r="AU569" s="1"/>
  <c r="AR569"/>
  <c r="AS569" s="1"/>
  <c r="AQ569"/>
  <c r="AI569"/>
  <c r="AH569"/>
  <c r="AG569"/>
  <c r="AF569"/>
  <c r="AE569"/>
  <c r="AD569"/>
  <c r="AB569"/>
  <c r="AA569"/>
  <c r="Y569"/>
  <c r="AX568"/>
  <c r="AW568"/>
  <c r="AV568"/>
  <c r="AT568"/>
  <c r="AU568" s="1"/>
  <c r="AR568"/>
  <c r="AS568" s="1"/>
  <c r="AQ568"/>
  <c r="AI568"/>
  <c r="AH568"/>
  <c r="AG568"/>
  <c r="AF568"/>
  <c r="AE568"/>
  <c r="AD568"/>
  <c r="AB568"/>
  <c r="AA568"/>
  <c r="Y568"/>
  <c r="AX567"/>
  <c r="AW567"/>
  <c r="AV567"/>
  <c r="AT567"/>
  <c r="AU567" s="1"/>
  <c r="AR567"/>
  <c r="AS567" s="1"/>
  <c r="AQ567"/>
  <c r="AI567"/>
  <c r="AH567"/>
  <c r="AG567"/>
  <c r="AF567"/>
  <c r="AE567"/>
  <c r="AD567"/>
  <c r="AB567"/>
  <c r="AA567"/>
  <c r="Y567"/>
  <c r="AX566"/>
  <c r="AW566"/>
  <c r="AV566"/>
  <c r="AT566"/>
  <c r="AU566" s="1"/>
  <c r="AR566"/>
  <c r="AS566" s="1"/>
  <c r="AQ566"/>
  <c r="AI566"/>
  <c r="AH566"/>
  <c r="AG566"/>
  <c r="AF566"/>
  <c r="AE566"/>
  <c r="AD566"/>
  <c r="AB566"/>
  <c r="AA566"/>
  <c r="Y566"/>
  <c r="AX565"/>
  <c r="AW565"/>
  <c r="AV565"/>
  <c r="AT565"/>
  <c r="AU565" s="1"/>
  <c r="AR565"/>
  <c r="AS565" s="1"/>
  <c r="AQ565"/>
  <c r="AI565"/>
  <c r="AH565"/>
  <c r="AG565"/>
  <c r="AF565"/>
  <c r="AE565"/>
  <c r="AD565"/>
  <c r="AB565"/>
  <c r="AA565"/>
  <c r="Y565"/>
  <c r="AX564"/>
  <c r="AW564"/>
  <c r="AV564"/>
  <c r="AT564"/>
  <c r="AU564" s="1"/>
  <c r="AR564"/>
  <c r="AS564" s="1"/>
  <c r="AQ564"/>
  <c r="AI564"/>
  <c r="AH564"/>
  <c r="AG564"/>
  <c r="AF564"/>
  <c r="AE564"/>
  <c r="AD564"/>
  <c r="AB564"/>
  <c r="AA564"/>
  <c r="Y564"/>
  <c r="AX563"/>
  <c r="AW563"/>
  <c r="AV563"/>
  <c r="AT563"/>
  <c r="AU563" s="1"/>
  <c r="AR563"/>
  <c r="AS563" s="1"/>
  <c r="AQ563"/>
  <c r="AI563"/>
  <c r="AH563"/>
  <c r="AG563"/>
  <c r="AF563"/>
  <c r="AE563"/>
  <c r="AD563"/>
  <c r="AB563"/>
  <c r="AA563"/>
  <c r="Y563"/>
  <c r="AX562"/>
  <c r="AW562"/>
  <c r="AV562"/>
  <c r="AT562"/>
  <c r="AU562" s="1"/>
  <c r="AR562"/>
  <c r="AS562" s="1"/>
  <c r="AQ562"/>
  <c r="AI562"/>
  <c r="AH562"/>
  <c r="AG562"/>
  <c r="AF562"/>
  <c r="AE562"/>
  <c r="AD562"/>
  <c r="AB562"/>
  <c r="AA562"/>
  <c r="Y562"/>
  <c r="AX561"/>
  <c r="AW561"/>
  <c r="AV561"/>
  <c r="AT561"/>
  <c r="AU561" s="1"/>
  <c r="AR561"/>
  <c r="AS561" s="1"/>
  <c r="AQ561"/>
  <c r="AI561"/>
  <c r="AH561"/>
  <c r="AG561"/>
  <c r="AF561"/>
  <c r="AE561"/>
  <c r="AD561"/>
  <c r="AB561"/>
  <c r="AA561"/>
  <c r="Y561"/>
  <c r="AX560"/>
  <c r="AW560"/>
  <c r="AV560"/>
  <c r="AT560"/>
  <c r="AU560" s="1"/>
  <c r="AR560"/>
  <c r="AS560" s="1"/>
  <c r="AQ560"/>
  <c r="AI560"/>
  <c r="AH560"/>
  <c r="AG560"/>
  <c r="AF560"/>
  <c r="AE560"/>
  <c r="AD560"/>
  <c r="AB560"/>
  <c r="AA560"/>
  <c r="Y560"/>
  <c r="AX559"/>
  <c r="AW559"/>
  <c r="AV559"/>
  <c r="AT559"/>
  <c r="AU559" s="1"/>
  <c r="AR559"/>
  <c r="AS559" s="1"/>
  <c r="AQ559"/>
  <c r="AI559"/>
  <c r="AH559"/>
  <c r="AG559"/>
  <c r="AF559"/>
  <c r="AE559"/>
  <c r="AD559"/>
  <c r="AB559"/>
  <c r="AA559"/>
  <c r="Y559"/>
  <c r="AX558"/>
  <c r="AW558"/>
  <c r="AV558"/>
  <c r="AT558"/>
  <c r="AU558" s="1"/>
  <c r="AR558"/>
  <c r="AS558" s="1"/>
  <c r="AQ558"/>
  <c r="AI558"/>
  <c r="AH558"/>
  <c r="AG558"/>
  <c r="AF558"/>
  <c r="AE558"/>
  <c r="AD558"/>
  <c r="AB558"/>
  <c r="AA558"/>
  <c r="Y558"/>
  <c r="AX557"/>
  <c r="AW557"/>
  <c r="AV557"/>
  <c r="AT557"/>
  <c r="AU557" s="1"/>
  <c r="AR557"/>
  <c r="AS557" s="1"/>
  <c r="AQ557"/>
  <c r="AI557"/>
  <c r="AH557"/>
  <c r="AG557"/>
  <c r="AF557"/>
  <c r="AE557"/>
  <c r="AD557"/>
  <c r="AB557"/>
  <c r="AA557"/>
  <c r="Y557"/>
  <c r="AX556"/>
  <c r="AW556"/>
  <c r="AV556"/>
  <c r="AT556"/>
  <c r="AU556" s="1"/>
  <c r="AR556"/>
  <c r="AS556" s="1"/>
  <c r="AQ556"/>
  <c r="AI556"/>
  <c r="AH556"/>
  <c r="AG556"/>
  <c r="AF556"/>
  <c r="AE556"/>
  <c r="AD556"/>
  <c r="AB556"/>
  <c r="AA556"/>
  <c r="Y556"/>
  <c r="AX555"/>
  <c r="AW555"/>
  <c r="AV555"/>
  <c r="AT555"/>
  <c r="AU555" s="1"/>
  <c r="AR555"/>
  <c r="AS555" s="1"/>
  <c r="AQ555"/>
  <c r="AI555"/>
  <c r="AH555"/>
  <c r="AG555"/>
  <c r="AF555"/>
  <c r="AE555"/>
  <c r="AD555"/>
  <c r="AB555"/>
  <c r="AA555"/>
  <c r="Y555"/>
  <c r="AX554"/>
  <c r="AW554"/>
  <c r="AV554"/>
  <c r="AT554"/>
  <c r="AU554" s="1"/>
  <c r="AR554"/>
  <c r="AS554" s="1"/>
  <c r="AQ554"/>
  <c r="AI554"/>
  <c r="AH554"/>
  <c r="AG554"/>
  <c r="AF554"/>
  <c r="AE554"/>
  <c r="AD554"/>
  <c r="AB554"/>
  <c r="AA554"/>
  <c r="Y554"/>
  <c r="AX553"/>
  <c r="AW553"/>
  <c r="AV553"/>
  <c r="AT553"/>
  <c r="AU553" s="1"/>
  <c r="AR553"/>
  <c r="AS553" s="1"/>
  <c r="AQ553"/>
  <c r="AI553"/>
  <c r="AH553"/>
  <c r="AG553"/>
  <c r="AF553"/>
  <c r="AE553"/>
  <c r="AD553"/>
  <c r="AB553"/>
  <c r="AA553"/>
  <c r="Y553"/>
  <c r="AX552"/>
  <c r="AW552"/>
  <c r="AV552"/>
  <c r="AT552"/>
  <c r="AU552" s="1"/>
  <c r="AR552"/>
  <c r="AS552" s="1"/>
  <c r="AQ552"/>
  <c r="AI552"/>
  <c r="AH552"/>
  <c r="AG552"/>
  <c r="AF552"/>
  <c r="AE552"/>
  <c r="AD552"/>
  <c r="AB552"/>
  <c r="AA552"/>
  <c r="Y552"/>
  <c r="AX551"/>
  <c r="AW551"/>
  <c r="AV551"/>
  <c r="AT551"/>
  <c r="AU551" s="1"/>
  <c r="AR551"/>
  <c r="AS551" s="1"/>
  <c r="AQ551"/>
  <c r="AI551"/>
  <c r="AH551"/>
  <c r="AG551"/>
  <c r="AF551"/>
  <c r="AE551"/>
  <c r="AD551"/>
  <c r="AB551"/>
  <c r="AA551"/>
  <c r="Y551"/>
  <c r="AX550"/>
  <c r="AW550"/>
  <c r="AV550"/>
  <c r="AT550"/>
  <c r="AU550" s="1"/>
  <c r="AR550"/>
  <c r="AS550" s="1"/>
  <c r="AQ550"/>
  <c r="AI550"/>
  <c r="AH550"/>
  <c r="AG550"/>
  <c r="AF550"/>
  <c r="AE550"/>
  <c r="AD550"/>
  <c r="AB550"/>
  <c r="AA550"/>
  <c r="Y550"/>
  <c r="AX549"/>
  <c r="AW549"/>
  <c r="AV549"/>
  <c r="AT549"/>
  <c r="AU549" s="1"/>
  <c r="AR549"/>
  <c r="AS549" s="1"/>
  <c r="AQ549"/>
  <c r="AI549"/>
  <c r="AH549"/>
  <c r="AG549"/>
  <c r="AF549"/>
  <c r="AE549"/>
  <c r="AD549"/>
  <c r="AB549"/>
  <c r="AA549"/>
  <c r="Y549"/>
  <c r="AX548"/>
  <c r="AW548"/>
  <c r="AV548"/>
  <c r="AT548"/>
  <c r="AU548" s="1"/>
  <c r="AR548"/>
  <c r="AS548" s="1"/>
  <c r="AQ548"/>
  <c r="AI548"/>
  <c r="AH548"/>
  <c r="AG548"/>
  <c r="AF548"/>
  <c r="AE548"/>
  <c r="AD548"/>
  <c r="AB548"/>
  <c r="AA548"/>
  <c r="Y548"/>
  <c r="AX547"/>
  <c r="AW547"/>
  <c r="AV547"/>
  <c r="AT547"/>
  <c r="AU547" s="1"/>
  <c r="AR547"/>
  <c r="AS547" s="1"/>
  <c r="AQ547"/>
  <c r="AI547"/>
  <c r="AH547"/>
  <c r="AG547"/>
  <c r="AF547"/>
  <c r="AE547"/>
  <c r="AD547"/>
  <c r="AB547"/>
  <c r="AA547"/>
  <c r="Y547"/>
  <c r="AX546"/>
  <c r="AW546"/>
  <c r="AV546"/>
  <c r="AT546"/>
  <c r="AU546" s="1"/>
  <c r="AR546"/>
  <c r="AS546" s="1"/>
  <c r="AQ546"/>
  <c r="AI546"/>
  <c r="AH546"/>
  <c r="AG546"/>
  <c r="AF546"/>
  <c r="AE546"/>
  <c r="AD546"/>
  <c r="AB546"/>
  <c r="AA546"/>
  <c r="Y546"/>
  <c r="AX545"/>
  <c r="AW545"/>
  <c r="AV545"/>
  <c r="AT545"/>
  <c r="AU545" s="1"/>
  <c r="AR545"/>
  <c r="AS545" s="1"/>
  <c r="AQ545"/>
  <c r="AI545"/>
  <c r="AH545"/>
  <c r="AG545"/>
  <c r="AF545"/>
  <c r="AE545"/>
  <c r="AD545"/>
  <c r="AB545"/>
  <c r="AA545"/>
  <c r="Y545"/>
  <c r="AX544"/>
  <c r="AW544"/>
  <c r="AV544"/>
  <c r="AT544"/>
  <c r="AU544" s="1"/>
  <c r="AR544"/>
  <c r="AS544" s="1"/>
  <c r="AQ544"/>
  <c r="AI544"/>
  <c r="AH544"/>
  <c r="AG544"/>
  <c r="AF544"/>
  <c r="AE544"/>
  <c r="AD544"/>
  <c r="AB544"/>
  <c r="AA544"/>
  <c r="Y544"/>
  <c r="AX543"/>
  <c r="AW543"/>
  <c r="AV543"/>
  <c r="AT543"/>
  <c r="AU543" s="1"/>
  <c r="AR543"/>
  <c r="AS543" s="1"/>
  <c r="AQ543"/>
  <c r="AI543"/>
  <c r="AH543"/>
  <c r="AG543"/>
  <c r="AF543"/>
  <c r="AE543"/>
  <c r="AD543"/>
  <c r="AB543"/>
  <c r="AA543"/>
  <c r="Y543"/>
  <c r="AX542"/>
  <c r="AW542"/>
  <c r="AV542"/>
  <c r="AT542"/>
  <c r="AU542" s="1"/>
  <c r="AR542"/>
  <c r="AS542" s="1"/>
  <c r="AQ542"/>
  <c r="AI542"/>
  <c r="AH542"/>
  <c r="AG542"/>
  <c r="AF542"/>
  <c r="AE542"/>
  <c r="AD542"/>
  <c r="AB542"/>
  <c r="AA542"/>
  <c r="Y542"/>
  <c r="AX541"/>
  <c r="AW541"/>
  <c r="AV541"/>
  <c r="AT541"/>
  <c r="AU541" s="1"/>
  <c r="AR541"/>
  <c r="AS541" s="1"/>
  <c r="AQ541"/>
  <c r="AI541"/>
  <c r="AH541"/>
  <c r="AG541"/>
  <c r="AF541"/>
  <c r="AE541"/>
  <c r="AD541"/>
  <c r="AB541"/>
  <c r="AA541"/>
  <c r="Y541"/>
  <c r="AX540"/>
  <c r="AW540"/>
  <c r="AV540"/>
  <c r="AT540"/>
  <c r="AU540" s="1"/>
  <c r="AR540"/>
  <c r="AS540" s="1"/>
  <c r="AQ540"/>
  <c r="AI540"/>
  <c r="AH540"/>
  <c r="AG540"/>
  <c r="AF540"/>
  <c r="AE540"/>
  <c r="AD540"/>
  <c r="AB540"/>
  <c r="AA540"/>
  <c r="Y540"/>
  <c r="AX539"/>
  <c r="AW539"/>
  <c r="AV539"/>
  <c r="AT539"/>
  <c r="AU539" s="1"/>
  <c r="AR539"/>
  <c r="AS539" s="1"/>
  <c r="AQ539"/>
  <c r="AI539"/>
  <c r="AH539"/>
  <c r="AG539"/>
  <c r="AF539"/>
  <c r="AE539"/>
  <c r="AD539"/>
  <c r="AB539"/>
  <c r="AA539"/>
  <c r="Y539"/>
  <c r="AX538"/>
  <c r="AW538"/>
  <c r="AV538"/>
  <c r="AT538"/>
  <c r="AU538" s="1"/>
  <c r="AR538"/>
  <c r="AS538" s="1"/>
  <c r="AQ538"/>
  <c r="AI538"/>
  <c r="AH538"/>
  <c r="AG538"/>
  <c r="AF538"/>
  <c r="AE538"/>
  <c r="AD538"/>
  <c r="AB538"/>
  <c r="AA538"/>
  <c r="Y538"/>
  <c r="AX537"/>
  <c r="AW537"/>
  <c r="AV537"/>
  <c r="AT537"/>
  <c r="AU537" s="1"/>
  <c r="AR537"/>
  <c r="AS537" s="1"/>
  <c r="AQ537"/>
  <c r="AI537"/>
  <c r="AH537"/>
  <c r="AG537"/>
  <c r="AF537"/>
  <c r="AE537"/>
  <c r="AD537"/>
  <c r="AB537"/>
  <c r="AA537"/>
  <c r="Y537"/>
  <c r="AX536"/>
  <c r="AW536"/>
  <c r="AV536"/>
  <c r="AT536"/>
  <c r="AU536" s="1"/>
  <c r="AR536"/>
  <c r="AS536" s="1"/>
  <c r="AQ536"/>
  <c r="AI536"/>
  <c r="AH536"/>
  <c r="AG536"/>
  <c r="AF536"/>
  <c r="AE536"/>
  <c r="AD536"/>
  <c r="AB536"/>
  <c r="AA536"/>
  <c r="Y536"/>
  <c r="AX535"/>
  <c r="AW535"/>
  <c r="AV535"/>
  <c r="AT535"/>
  <c r="AU535" s="1"/>
  <c r="AR535"/>
  <c r="AS535" s="1"/>
  <c r="AQ535"/>
  <c r="AI535"/>
  <c r="AH535"/>
  <c r="AG535"/>
  <c r="AF535"/>
  <c r="AE535"/>
  <c r="AD535"/>
  <c r="AB535"/>
  <c r="AA535"/>
  <c r="Y535"/>
  <c r="AX534"/>
  <c r="AW534"/>
  <c r="AV534"/>
  <c r="AT534"/>
  <c r="AU534" s="1"/>
  <c r="AR534"/>
  <c r="AS534" s="1"/>
  <c r="AQ534"/>
  <c r="AI534"/>
  <c r="AH534"/>
  <c r="AG534"/>
  <c r="AF534"/>
  <c r="AE534"/>
  <c r="AD534"/>
  <c r="AB534"/>
  <c r="AA534"/>
  <c r="Y534"/>
  <c r="AX533"/>
  <c r="AW533"/>
  <c r="AV533"/>
  <c r="AT533"/>
  <c r="AU533" s="1"/>
  <c r="AR533"/>
  <c r="AS533" s="1"/>
  <c r="AQ533"/>
  <c r="AI533"/>
  <c r="AH533"/>
  <c r="AG533"/>
  <c r="AF533"/>
  <c r="AE533"/>
  <c r="AD533"/>
  <c r="AB533"/>
  <c r="AA533"/>
  <c r="Y533"/>
  <c r="AX532"/>
  <c r="AW532"/>
  <c r="AV532"/>
  <c r="AT532"/>
  <c r="AU532" s="1"/>
  <c r="AR532"/>
  <c r="AS532" s="1"/>
  <c r="AQ532"/>
  <c r="AI532"/>
  <c r="AH532"/>
  <c r="AG532"/>
  <c r="AF532"/>
  <c r="AE532"/>
  <c r="AD532"/>
  <c r="AB532"/>
  <c r="AA532"/>
  <c r="Y532"/>
  <c r="AX531"/>
  <c r="AW531"/>
  <c r="AV531"/>
  <c r="AT531"/>
  <c r="AU531" s="1"/>
  <c r="AR531"/>
  <c r="AS531" s="1"/>
  <c r="AQ531"/>
  <c r="AI531"/>
  <c r="AH531"/>
  <c r="AG531"/>
  <c r="AF531"/>
  <c r="AE531"/>
  <c r="AD531"/>
  <c r="AB531"/>
  <c r="AA531"/>
  <c r="Y531"/>
  <c r="AX530"/>
  <c r="AW530"/>
  <c r="AV530"/>
  <c r="AT530"/>
  <c r="AU530" s="1"/>
  <c r="AR530"/>
  <c r="AS530" s="1"/>
  <c r="AQ530"/>
  <c r="AI530"/>
  <c r="AH530"/>
  <c r="AG530"/>
  <c r="AF530"/>
  <c r="AE530"/>
  <c r="AD530"/>
  <c r="AB530"/>
  <c r="AA530"/>
  <c r="Y530"/>
  <c r="AX529"/>
  <c r="AW529"/>
  <c r="AV529"/>
  <c r="AT529"/>
  <c r="AU529" s="1"/>
  <c r="AR529"/>
  <c r="AS529" s="1"/>
  <c r="AQ529"/>
  <c r="AI529"/>
  <c r="AH529"/>
  <c r="AG529"/>
  <c r="AF529"/>
  <c r="AE529"/>
  <c r="AD529"/>
  <c r="AB529"/>
  <c r="AA529"/>
  <c r="Y529"/>
  <c r="AX528"/>
  <c r="AW528"/>
  <c r="AV528"/>
  <c r="AT528"/>
  <c r="AU528" s="1"/>
  <c r="AR528"/>
  <c r="AS528" s="1"/>
  <c r="AQ528"/>
  <c r="AI528"/>
  <c r="AH528"/>
  <c r="AG528"/>
  <c r="AF528"/>
  <c r="AE528"/>
  <c r="AD528"/>
  <c r="AB528"/>
  <c r="AA528"/>
  <c r="Y528"/>
  <c r="AX527"/>
  <c r="AW527"/>
  <c r="AV527"/>
  <c r="AT527"/>
  <c r="AU527" s="1"/>
  <c r="AR527"/>
  <c r="AS527" s="1"/>
  <c r="AQ527"/>
  <c r="AI527"/>
  <c r="AH527"/>
  <c r="AG527"/>
  <c r="AF527"/>
  <c r="AE527"/>
  <c r="AD527"/>
  <c r="AB527"/>
  <c r="AA527"/>
  <c r="Y527"/>
  <c r="AX526"/>
  <c r="AW526"/>
  <c r="AV526"/>
  <c r="AT526"/>
  <c r="AU526" s="1"/>
  <c r="AR526"/>
  <c r="AS526" s="1"/>
  <c r="AQ526"/>
  <c r="AI526"/>
  <c r="AH526"/>
  <c r="AG526"/>
  <c r="AF526"/>
  <c r="AE526"/>
  <c r="AD526"/>
  <c r="AB526"/>
  <c r="AA526"/>
  <c r="Y526"/>
  <c r="AX525"/>
  <c r="AW525"/>
  <c r="AV525"/>
  <c r="AT525"/>
  <c r="AU525" s="1"/>
  <c r="AR525"/>
  <c r="AS525" s="1"/>
  <c r="AQ525"/>
  <c r="AI525"/>
  <c r="AH525"/>
  <c r="AG525"/>
  <c r="AF525"/>
  <c r="AE525"/>
  <c r="AD525"/>
  <c r="AB525"/>
  <c r="AA525"/>
  <c r="Y525"/>
  <c r="AX524"/>
  <c r="AW524"/>
  <c r="AV524"/>
  <c r="AT524"/>
  <c r="AU524" s="1"/>
  <c r="AR524"/>
  <c r="AS524" s="1"/>
  <c r="AQ524"/>
  <c r="AI524"/>
  <c r="AH524"/>
  <c r="AG524"/>
  <c r="AF524"/>
  <c r="AE524"/>
  <c r="AD524"/>
  <c r="AB524"/>
  <c r="AA524"/>
  <c r="Y524"/>
  <c r="AX523"/>
  <c r="AW523"/>
  <c r="AV523"/>
  <c r="AT523"/>
  <c r="AU523" s="1"/>
  <c r="AR523"/>
  <c r="AS523" s="1"/>
  <c r="AQ523"/>
  <c r="AI523"/>
  <c r="AH523"/>
  <c r="AG523"/>
  <c r="AF523"/>
  <c r="AE523"/>
  <c r="AD523"/>
  <c r="AB523"/>
  <c r="AA523"/>
  <c r="Y523"/>
  <c r="AX522"/>
  <c r="AW522"/>
  <c r="AV522"/>
  <c r="AT522"/>
  <c r="AU522" s="1"/>
  <c r="AR522"/>
  <c r="AS522" s="1"/>
  <c r="AQ522"/>
  <c r="AI522"/>
  <c r="AH522"/>
  <c r="AG522"/>
  <c r="AF522"/>
  <c r="AE522"/>
  <c r="AD522"/>
  <c r="AB522"/>
  <c r="AA522"/>
  <c r="Y522"/>
  <c r="AX521"/>
  <c r="AW521"/>
  <c r="AV521"/>
  <c r="AT521"/>
  <c r="AU521" s="1"/>
  <c r="AR521"/>
  <c r="AS521" s="1"/>
  <c r="AQ521"/>
  <c r="AI521"/>
  <c r="AH521"/>
  <c r="AG521"/>
  <c r="AF521"/>
  <c r="AE521"/>
  <c r="AD521"/>
  <c r="AB521"/>
  <c r="AA521"/>
  <c r="Y521"/>
  <c r="AX520"/>
  <c r="AW520"/>
  <c r="AV520"/>
  <c r="AT520"/>
  <c r="AU520" s="1"/>
  <c r="AR520"/>
  <c r="AS520" s="1"/>
  <c r="AQ520"/>
  <c r="AI520"/>
  <c r="AH520"/>
  <c r="AG520"/>
  <c r="AF520"/>
  <c r="AE520"/>
  <c r="AD520"/>
  <c r="AB520"/>
  <c r="AA520"/>
  <c r="Y520"/>
  <c r="AX519"/>
  <c r="AW519"/>
  <c r="AT519"/>
  <c r="AS519"/>
  <c r="AR519"/>
  <c r="AQ519"/>
  <c r="AI519"/>
  <c r="AH519"/>
  <c r="AG519"/>
  <c r="AF519"/>
  <c r="AE519"/>
  <c r="AD519"/>
  <c r="AB519"/>
  <c r="AA519"/>
  <c r="Y519"/>
  <c r="AX518"/>
  <c r="AW518"/>
  <c r="AV518"/>
  <c r="AT518"/>
  <c r="AU518" s="1"/>
  <c r="AR518"/>
  <c r="AS518" s="1"/>
  <c r="AQ518"/>
  <c r="AI518"/>
  <c r="AH518"/>
  <c r="AG518"/>
  <c r="AF518"/>
  <c r="AE518"/>
  <c r="AD518"/>
  <c r="AB518"/>
  <c r="AA518"/>
  <c r="Y518"/>
  <c r="AX517"/>
  <c r="AW517"/>
  <c r="AT517"/>
  <c r="AS517"/>
  <c r="AR517"/>
  <c r="AQ517"/>
  <c r="AI517"/>
  <c r="AH517"/>
  <c r="AG517"/>
  <c r="AF517"/>
  <c r="AE517"/>
  <c r="AD517"/>
  <c r="AB517"/>
  <c r="AA517"/>
  <c r="Y517"/>
  <c r="AX516"/>
  <c r="AW516"/>
  <c r="AR516"/>
  <c r="AQ516"/>
  <c r="AI516"/>
  <c r="AH516"/>
  <c r="AG516"/>
  <c r="AF516"/>
  <c r="AE516"/>
  <c r="AD516"/>
  <c r="AB516"/>
  <c r="AA516"/>
  <c r="Y516"/>
  <c r="AX515"/>
  <c r="AW515"/>
  <c r="AR515"/>
  <c r="AQ515"/>
  <c r="AI515"/>
  <c r="AH515"/>
  <c r="AG515"/>
  <c r="AF515"/>
  <c r="AE515"/>
  <c r="AD515"/>
  <c r="AB515"/>
  <c r="AA515"/>
  <c r="Y515"/>
  <c r="AX514"/>
  <c r="AW514"/>
  <c r="AT514"/>
  <c r="AR514"/>
  <c r="AS514" s="1"/>
  <c r="AQ514"/>
  <c r="AI514"/>
  <c r="AH514"/>
  <c r="AG514"/>
  <c r="AF514"/>
  <c r="AE514"/>
  <c r="AD514"/>
  <c r="AB514"/>
  <c r="AA514"/>
  <c r="Y514"/>
  <c r="AX513"/>
  <c r="AW513"/>
  <c r="AS513"/>
  <c r="AR513"/>
  <c r="AT513" s="1"/>
  <c r="AQ513"/>
  <c r="AI513"/>
  <c r="AH513"/>
  <c r="AG513"/>
  <c r="AF513"/>
  <c r="AE513"/>
  <c r="AD513"/>
  <c r="AB513"/>
  <c r="AA513"/>
  <c r="Y513"/>
  <c r="AX512"/>
  <c r="AW512"/>
  <c r="AV512"/>
  <c r="AT512"/>
  <c r="AU512" s="1"/>
  <c r="AR512"/>
  <c r="AS512" s="1"/>
  <c r="AQ512"/>
  <c r="AI512"/>
  <c r="AH512"/>
  <c r="AG512"/>
  <c r="AF512"/>
  <c r="AE512"/>
  <c r="AD512"/>
  <c r="AB512"/>
  <c r="AA512"/>
  <c r="Y512"/>
  <c r="AX511"/>
  <c r="AW511"/>
  <c r="AT511"/>
  <c r="AS511"/>
  <c r="AR511"/>
  <c r="AQ511"/>
  <c r="AI511"/>
  <c r="AH511"/>
  <c r="AG511"/>
  <c r="AF511"/>
  <c r="AE511"/>
  <c r="AD511"/>
  <c r="AB511"/>
  <c r="AA511"/>
  <c r="Y511"/>
  <c r="AX510"/>
  <c r="AW510"/>
  <c r="AV510"/>
  <c r="AT510"/>
  <c r="AU510" s="1"/>
  <c r="AR510"/>
  <c r="AS510" s="1"/>
  <c r="AQ510"/>
  <c r="AI510"/>
  <c r="AH510"/>
  <c r="AG510"/>
  <c r="AF510"/>
  <c r="AE510"/>
  <c r="AD510"/>
  <c r="AB510"/>
  <c r="AA510"/>
  <c r="Y510"/>
  <c r="AX509"/>
  <c r="AW509"/>
  <c r="AT509"/>
  <c r="AS509"/>
  <c r="AR509"/>
  <c r="AQ509"/>
  <c r="AI509"/>
  <c r="AH509"/>
  <c r="AG509"/>
  <c r="AF509"/>
  <c r="AE509"/>
  <c r="AD509"/>
  <c r="AB509"/>
  <c r="AA509"/>
  <c r="Y509"/>
  <c r="AX508"/>
  <c r="AW508"/>
  <c r="AR508"/>
  <c r="AQ508"/>
  <c r="AI508"/>
  <c r="AH508"/>
  <c r="AG508"/>
  <c r="AF508"/>
  <c r="AE508"/>
  <c r="AD508"/>
  <c r="AB508"/>
  <c r="AA508"/>
  <c r="Y508"/>
  <c r="AX507"/>
  <c r="AW507"/>
  <c r="AR507"/>
  <c r="AQ507"/>
  <c r="AI507"/>
  <c r="AH507"/>
  <c r="AG507"/>
  <c r="AF507"/>
  <c r="AE507"/>
  <c r="AD507"/>
  <c r="AB507"/>
  <c r="AA507"/>
  <c r="Y507"/>
  <c r="AX506"/>
  <c r="AW506"/>
  <c r="AT506"/>
  <c r="AR506"/>
  <c r="AS506" s="1"/>
  <c r="AQ506"/>
  <c r="AI506"/>
  <c r="AH506"/>
  <c r="AG506"/>
  <c r="AF506"/>
  <c r="AE506"/>
  <c r="AD506"/>
  <c r="AB506"/>
  <c r="AA506"/>
  <c r="Y506"/>
  <c r="AX505"/>
  <c r="AW505"/>
  <c r="AS505"/>
  <c r="AR505"/>
  <c r="AT505" s="1"/>
  <c r="AQ505"/>
  <c r="AI505"/>
  <c r="AH505"/>
  <c r="AG505"/>
  <c r="AF505"/>
  <c r="AE505"/>
  <c r="AD505"/>
  <c r="AB505"/>
  <c r="AA505"/>
  <c r="Y505"/>
  <c r="AX504"/>
  <c r="AW504"/>
  <c r="AV504"/>
  <c r="AT504"/>
  <c r="AU504" s="1"/>
  <c r="AR504"/>
  <c r="AS504" s="1"/>
  <c r="AQ504"/>
  <c r="AI504"/>
  <c r="AH504"/>
  <c r="AG504"/>
  <c r="AF504"/>
  <c r="AE504"/>
  <c r="AD504"/>
  <c r="AB504"/>
  <c r="AA504"/>
  <c r="Y504"/>
  <c r="AX503"/>
  <c r="AW503"/>
  <c r="AT503"/>
  <c r="AS503"/>
  <c r="AR503"/>
  <c r="AQ503"/>
  <c r="AI503"/>
  <c r="AH503"/>
  <c r="AG503"/>
  <c r="AF503"/>
  <c r="AE503"/>
  <c r="AD503"/>
  <c r="AB503"/>
  <c r="AA503"/>
  <c r="Y503"/>
  <c r="AX502"/>
  <c r="AW502"/>
  <c r="AV502"/>
  <c r="AT502"/>
  <c r="AU502" s="1"/>
  <c r="AR502"/>
  <c r="AS502" s="1"/>
  <c r="AQ502"/>
  <c r="AI502"/>
  <c r="AH502"/>
  <c r="AG502"/>
  <c r="AF502"/>
  <c r="AE502"/>
  <c r="AD502"/>
  <c r="AB502"/>
  <c r="AA502"/>
  <c r="Y502"/>
  <c r="AX501"/>
  <c r="AW501"/>
  <c r="AT501"/>
  <c r="AS501"/>
  <c r="AR501"/>
  <c r="AQ501"/>
  <c r="AI501"/>
  <c r="AH501"/>
  <c r="AG501"/>
  <c r="AF501"/>
  <c r="AE501"/>
  <c r="AD501"/>
  <c r="AB501"/>
  <c r="AA501"/>
  <c r="Y501"/>
  <c r="AX500"/>
  <c r="AW500"/>
  <c r="AR500"/>
  <c r="AQ500"/>
  <c r="AI500"/>
  <c r="AH500"/>
  <c r="AG500"/>
  <c r="AF500"/>
  <c r="AE500"/>
  <c r="AD500"/>
  <c r="AB500"/>
  <c r="AA500"/>
  <c r="Y500"/>
  <c r="AX499"/>
  <c r="AW499"/>
  <c r="AR499"/>
  <c r="AQ499"/>
  <c r="AI499"/>
  <c r="AH499"/>
  <c r="AG499"/>
  <c r="AF499"/>
  <c r="AE499"/>
  <c r="AD499"/>
  <c r="AB499"/>
  <c r="AA499"/>
  <c r="Y499"/>
  <c r="AX498"/>
  <c r="AW498"/>
  <c r="AT498"/>
  <c r="AR498"/>
  <c r="AS498" s="1"/>
  <c r="AQ498"/>
  <c r="AI498"/>
  <c r="AH498"/>
  <c r="AG498"/>
  <c r="AF498"/>
  <c r="AE498"/>
  <c r="AD498"/>
  <c r="AB498"/>
  <c r="AA498"/>
  <c r="Y498"/>
  <c r="AX497"/>
  <c r="AW497"/>
  <c r="AS497"/>
  <c r="AR497"/>
  <c r="AT497" s="1"/>
  <c r="AQ497"/>
  <c r="AI497"/>
  <c r="AH497"/>
  <c r="AG497"/>
  <c r="AF497"/>
  <c r="AE497"/>
  <c r="AD497"/>
  <c r="AB497"/>
  <c r="AA497"/>
  <c r="Y497"/>
  <c r="AX496"/>
  <c r="AW496"/>
  <c r="AV496"/>
  <c r="AT496"/>
  <c r="AU496" s="1"/>
  <c r="AR496"/>
  <c r="AS496" s="1"/>
  <c r="AQ496"/>
  <c r="AI496"/>
  <c r="AH496"/>
  <c r="AG496"/>
  <c r="AF496"/>
  <c r="AE496"/>
  <c r="AD496"/>
  <c r="AB496"/>
  <c r="AA496"/>
  <c r="Y496"/>
  <c r="AX495"/>
  <c r="AW495"/>
  <c r="AT495"/>
  <c r="AS495"/>
  <c r="AR495"/>
  <c r="AQ495"/>
  <c r="AI495"/>
  <c r="AH495"/>
  <c r="AG495"/>
  <c r="AF495"/>
  <c r="AE495"/>
  <c r="AD495"/>
  <c r="AB495"/>
  <c r="AA495"/>
  <c r="Y495"/>
  <c r="AX494"/>
  <c r="AW494"/>
  <c r="AV494"/>
  <c r="AT494"/>
  <c r="AU494" s="1"/>
  <c r="AR494"/>
  <c r="AS494" s="1"/>
  <c r="AQ494"/>
  <c r="AI494"/>
  <c r="AH494"/>
  <c r="AG494"/>
  <c r="AF494"/>
  <c r="AE494"/>
  <c r="AD494"/>
  <c r="AB494"/>
  <c r="AA494"/>
  <c r="Y494"/>
  <c r="AX493"/>
  <c r="AW493"/>
  <c r="AT493"/>
  <c r="AS493"/>
  <c r="AR493"/>
  <c r="AQ493"/>
  <c r="AI493"/>
  <c r="AH493"/>
  <c r="AG493"/>
  <c r="AF493"/>
  <c r="AE493"/>
  <c r="AD493"/>
  <c r="AB493"/>
  <c r="AA493"/>
  <c r="Y493"/>
  <c r="AX492"/>
  <c r="AW492"/>
  <c r="AR492"/>
  <c r="AQ492"/>
  <c r="AI492"/>
  <c r="AH492"/>
  <c r="AG492"/>
  <c r="AF492"/>
  <c r="AE492"/>
  <c r="AD492"/>
  <c r="AB492"/>
  <c r="AA492"/>
  <c r="Y492"/>
  <c r="AX491"/>
  <c r="AW491"/>
  <c r="AR491"/>
  <c r="AQ491"/>
  <c r="AI491"/>
  <c r="AH491"/>
  <c r="AG491"/>
  <c r="AF491"/>
  <c r="AE491"/>
  <c r="AD491"/>
  <c r="AB491"/>
  <c r="AA491"/>
  <c r="Y491"/>
  <c r="AX490"/>
  <c r="AW490"/>
  <c r="AT490"/>
  <c r="AR490"/>
  <c r="AS490" s="1"/>
  <c r="AQ490"/>
  <c r="AI490"/>
  <c r="AH490"/>
  <c r="AG490"/>
  <c r="AF490"/>
  <c r="AE490"/>
  <c r="AD490"/>
  <c r="AB490"/>
  <c r="AA490"/>
  <c r="Y490"/>
  <c r="AX489"/>
  <c r="AW489"/>
  <c r="AS489"/>
  <c r="AR489"/>
  <c r="AT489" s="1"/>
  <c r="AQ489"/>
  <c r="AI489"/>
  <c r="AH489"/>
  <c r="AG489"/>
  <c r="AF489"/>
  <c r="AE489"/>
  <c r="AD489"/>
  <c r="AB489"/>
  <c r="AA489"/>
  <c r="Y489"/>
  <c r="AX488"/>
  <c r="AW488"/>
  <c r="AV488"/>
  <c r="AT488"/>
  <c r="AU488" s="1"/>
  <c r="AR488"/>
  <c r="AS488" s="1"/>
  <c r="AQ488"/>
  <c r="AI488"/>
  <c r="AH488"/>
  <c r="AG488"/>
  <c r="AF488"/>
  <c r="AE488"/>
  <c r="AD488"/>
  <c r="AB488"/>
  <c r="AA488"/>
  <c r="Y488"/>
  <c r="AX487"/>
  <c r="AW487"/>
  <c r="AT487"/>
  <c r="AS487"/>
  <c r="AR487"/>
  <c r="AQ487"/>
  <c r="AI487"/>
  <c r="AH487"/>
  <c r="AG487"/>
  <c r="AF487"/>
  <c r="AE487"/>
  <c r="AD487"/>
  <c r="AB487"/>
  <c r="AA487"/>
  <c r="Y487"/>
  <c r="AX486"/>
  <c r="AW486"/>
  <c r="AV486"/>
  <c r="AT486"/>
  <c r="AU486" s="1"/>
  <c r="AR486"/>
  <c r="AS486" s="1"/>
  <c r="AQ486"/>
  <c r="AI486"/>
  <c r="AH486"/>
  <c r="AG486"/>
  <c r="AF486"/>
  <c r="AE486"/>
  <c r="AD486"/>
  <c r="AB486"/>
  <c r="AA486"/>
  <c r="Y486"/>
  <c r="AX485"/>
  <c r="AW485"/>
  <c r="AT485"/>
  <c r="AS485"/>
  <c r="AR485"/>
  <c r="AQ485"/>
  <c r="AI485"/>
  <c r="AH485"/>
  <c r="AG485"/>
  <c r="AF485"/>
  <c r="AE485"/>
  <c r="AD485"/>
  <c r="AB485"/>
  <c r="AA485"/>
  <c r="Y485"/>
  <c r="AX484"/>
  <c r="AW484"/>
  <c r="AR484"/>
  <c r="AQ484"/>
  <c r="AI484"/>
  <c r="AH484"/>
  <c r="AG484"/>
  <c r="AF484"/>
  <c r="AE484"/>
  <c r="AD484"/>
  <c r="AB484"/>
  <c r="AA484"/>
  <c r="Y484"/>
  <c r="AX483"/>
  <c r="AW483"/>
  <c r="AR483"/>
  <c r="AQ483"/>
  <c r="AI483"/>
  <c r="AH483"/>
  <c r="AG483"/>
  <c r="AF483"/>
  <c r="AE483"/>
  <c r="AD483"/>
  <c r="AB483"/>
  <c r="AA483"/>
  <c r="Y483"/>
  <c r="AX482"/>
  <c r="AW482"/>
  <c r="AT482"/>
  <c r="AR482"/>
  <c r="AS482" s="1"/>
  <c r="AQ482"/>
  <c r="AI482"/>
  <c r="AH482"/>
  <c r="AG482"/>
  <c r="AF482"/>
  <c r="AE482"/>
  <c r="AD482"/>
  <c r="AB482"/>
  <c r="AA482"/>
  <c r="Y482"/>
  <c r="AX481"/>
  <c r="AW481"/>
  <c r="AS481"/>
  <c r="AR481"/>
  <c r="AT481" s="1"/>
  <c r="AQ481"/>
  <c r="AI481"/>
  <c r="AH481"/>
  <c r="AG481"/>
  <c r="AF481"/>
  <c r="AE481"/>
  <c r="AD481"/>
  <c r="AB481"/>
  <c r="AA481"/>
  <c r="Y481"/>
  <c r="AX480"/>
  <c r="AW480"/>
  <c r="AV480"/>
  <c r="AT480"/>
  <c r="AU480" s="1"/>
  <c r="AR480"/>
  <c r="AS480" s="1"/>
  <c r="AQ480"/>
  <c r="AI480"/>
  <c r="AH480"/>
  <c r="AG480"/>
  <c r="AF480"/>
  <c r="AE480"/>
  <c r="AD480"/>
  <c r="AB480"/>
  <c r="AA480"/>
  <c r="Y480"/>
  <c r="AX479"/>
  <c r="AW479"/>
  <c r="AT479"/>
  <c r="AS479"/>
  <c r="AR479"/>
  <c r="AQ479"/>
  <c r="AI479"/>
  <c r="AH479"/>
  <c r="AG479"/>
  <c r="AF479"/>
  <c r="AE479"/>
  <c r="AD479"/>
  <c r="AB479"/>
  <c r="AA479"/>
  <c r="Y479"/>
  <c r="AX478"/>
  <c r="AW478"/>
  <c r="AV478"/>
  <c r="AT478"/>
  <c r="AU478" s="1"/>
  <c r="AR478"/>
  <c r="AS478" s="1"/>
  <c r="AQ478"/>
  <c r="AI478"/>
  <c r="AH478"/>
  <c r="AG478"/>
  <c r="AF478"/>
  <c r="AE478"/>
  <c r="AD478"/>
  <c r="AB478"/>
  <c r="AA478"/>
  <c r="Y478"/>
  <c r="AX477"/>
  <c r="AW477"/>
  <c r="AT477"/>
  <c r="AS477"/>
  <c r="AR477"/>
  <c r="AQ477"/>
  <c r="AI477"/>
  <c r="AH477"/>
  <c r="AG477"/>
  <c r="AF477"/>
  <c r="AE477"/>
  <c r="AD477"/>
  <c r="AB477"/>
  <c r="AA477"/>
  <c r="Y477"/>
  <c r="AX476"/>
  <c r="AW476"/>
  <c r="AR476"/>
  <c r="AQ476"/>
  <c r="AI476"/>
  <c r="AH476"/>
  <c r="AG476"/>
  <c r="AF476"/>
  <c r="AE476"/>
  <c r="AD476"/>
  <c r="AB476"/>
  <c r="AA476"/>
  <c r="Y476"/>
  <c r="AX475"/>
  <c r="AW475"/>
  <c r="AR475"/>
  <c r="AQ475"/>
  <c r="AI475"/>
  <c r="AH475"/>
  <c r="AG475"/>
  <c r="AF475"/>
  <c r="AE475"/>
  <c r="AD475"/>
  <c r="AB475"/>
  <c r="AA475"/>
  <c r="Y475"/>
  <c r="AX474"/>
  <c r="AW474"/>
  <c r="AT474"/>
  <c r="AR474"/>
  <c r="AS474" s="1"/>
  <c r="AQ474"/>
  <c r="AI474"/>
  <c r="AH474"/>
  <c r="AG474"/>
  <c r="AF474"/>
  <c r="AE474"/>
  <c r="AD474"/>
  <c r="AB474"/>
  <c r="AA474"/>
  <c r="Y474"/>
  <c r="AX473"/>
  <c r="AW473"/>
  <c r="AS473"/>
  <c r="AR473"/>
  <c r="AT473" s="1"/>
  <c r="AQ473"/>
  <c r="AI473"/>
  <c r="AH473"/>
  <c r="AG473"/>
  <c r="AF473"/>
  <c r="AE473"/>
  <c r="AD473"/>
  <c r="AB473"/>
  <c r="AA473"/>
  <c r="Y473"/>
  <c r="AX472"/>
  <c r="AW472"/>
  <c r="AV472"/>
  <c r="AT472"/>
  <c r="AU472" s="1"/>
  <c r="AR472"/>
  <c r="AS472" s="1"/>
  <c r="AQ472"/>
  <c r="AI472"/>
  <c r="AH472"/>
  <c r="AG472"/>
  <c r="AF472"/>
  <c r="AE472"/>
  <c r="AD472"/>
  <c r="AB472"/>
  <c r="AA472"/>
  <c r="Y472"/>
  <c r="AX471"/>
  <c r="AW471"/>
  <c r="AT471"/>
  <c r="AS471"/>
  <c r="AR471"/>
  <c r="AQ471"/>
  <c r="AI471"/>
  <c r="AH471"/>
  <c r="AG471"/>
  <c r="AF471"/>
  <c r="AE471"/>
  <c r="AD471"/>
  <c r="AB471"/>
  <c r="AA471"/>
  <c r="Y471"/>
  <c r="AX470"/>
  <c r="AW470"/>
  <c r="AV470"/>
  <c r="AT470"/>
  <c r="AU470" s="1"/>
  <c r="AR470"/>
  <c r="AS470" s="1"/>
  <c r="AQ470"/>
  <c r="AI470"/>
  <c r="AH470"/>
  <c r="AG470"/>
  <c r="AF470"/>
  <c r="AE470"/>
  <c r="AD470"/>
  <c r="AB470"/>
  <c r="AA470"/>
  <c r="Y470"/>
  <c r="AX469"/>
  <c r="AW469"/>
  <c r="AT469"/>
  <c r="AS469"/>
  <c r="AR469"/>
  <c r="AQ469"/>
  <c r="AI469"/>
  <c r="AH469"/>
  <c r="AG469"/>
  <c r="AF469"/>
  <c r="AE469"/>
  <c r="AD469"/>
  <c r="AB469"/>
  <c r="AA469"/>
  <c r="Y469"/>
  <c r="AX468"/>
  <c r="AW468"/>
  <c r="AR468"/>
  <c r="AQ468"/>
  <c r="AI468"/>
  <c r="AH468"/>
  <c r="AG468"/>
  <c r="AF468"/>
  <c r="AE468"/>
  <c r="AD468"/>
  <c r="AB468"/>
  <c r="AA468"/>
  <c r="Y468"/>
  <c r="AX467"/>
  <c r="AW467"/>
  <c r="AR467"/>
  <c r="AQ467"/>
  <c r="AI467"/>
  <c r="AH467"/>
  <c r="AG467"/>
  <c r="AF467"/>
  <c r="AE467"/>
  <c r="AD467"/>
  <c r="AB467"/>
  <c r="AA467"/>
  <c r="Y467"/>
  <c r="AX466"/>
  <c r="AW466"/>
  <c r="AT466"/>
  <c r="AR466"/>
  <c r="AS466" s="1"/>
  <c r="AQ466"/>
  <c r="AI466"/>
  <c r="AH466"/>
  <c r="AG466"/>
  <c r="AF466"/>
  <c r="AE466"/>
  <c r="AD466"/>
  <c r="AB466"/>
  <c r="AA466"/>
  <c r="Y466"/>
  <c r="AX465"/>
  <c r="AW465"/>
  <c r="AS465"/>
  <c r="AR465"/>
  <c r="AT465" s="1"/>
  <c r="AQ465"/>
  <c r="AI465"/>
  <c r="AH465"/>
  <c r="AG465"/>
  <c r="AF465"/>
  <c r="AE465"/>
  <c r="AD465"/>
  <c r="AB465"/>
  <c r="AA465"/>
  <c r="Y465"/>
  <c r="AX464"/>
  <c r="AW464"/>
  <c r="AV464"/>
  <c r="AT464"/>
  <c r="AU464" s="1"/>
  <c r="AR464"/>
  <c r="AS464" s="1"/>
  <c r="AQ464"/>
  <c r="AI464"/>
  <c r="AH464"/>
  <c r="AG464"/>
  <c r="AF464"/>
  <c r="AE464"/>
  <c r="AD464"/>
  <c r="AB464"/>
  <c r="AA464"/>
  <c r="Y464"/>
  <c r="AX463"/>
  <c r="AW463"/>
  <c r="AT463"/>
  <c r="AS463"/>
  <c r="AR463"/>
  <c r="AQ463"/>
  <c r="AI463"/>
  <c r="AH463"/>
  <c r="AG463"/>
  <c r="AF463"/>
  <c r="AE463"/>
  <c r="AD463"/>
  <c r="AB463"/>
  <c r="AA463"/>
  <c r="Y463"/>
  <c r="AX462"/>
  <c r="AW462"/>
  <c r="AV462"/>
  <c r="AT462"/>
  <c r="AU462" s="1"/>
  <c r="AR462"/>
  <c r="AS462" s="1"/>
  <c r="AQ462"/>
  <c r="AI462"/>
  <c r="AH462"/>
  <c r="AG462"/>
  <c r="AF462"/>
  <c r="AE462"/>
  <c r="AD462"/>
  <c r="AB462"/>
  <c r="AA462"/>
  <c r="Y462"/>
  <c r="AX461"/>
  <c r="AW461"/>
  <c r="AT461"/>
  <c r="AS461"/>
  <c r="AR461"/>
  <c r="AQ461"/>
  <c r="AI461"/>
  <c r="AH461"/>
  <c r="AG461"/>
  <c r="AF461"/>
  <c r="AE461"/>
  <c r="AD461"/>
  <c r="AB461"/>
  <c r="AA461"/>
  <c r="Y461"/>
  <c r="AX460"/>
  <c r="AW460"/>
  <c r="AR460"/>
  <c r="AQ460"/>
  <c r="AI460"/>
  <c r="AH460"/>
  <c r="AG460"/>
  <c r="AF460"/>
  <c r="AE460"/>
  <c r="AD460"/>
  <c r="AB460"/>
  <c r="AA460"/>
  <c r="Y460"/>
  <c r="AX459"/>
  <c r="AW459"/>
  <c r="AR459"/>
  <c r="AQ459"/>
  <c r="AI459"/>
  <c r="AH459"/>
  <c r="AG459"/>
  <c r="AF459"/>
  <c r="AE459"/>
  <c r="AD459"/>
  <c r="AB459"/>
  <c r="AA459"/>
  <c r="Y459"/>
  <c r="AX458"/>
  <c r="AW458"/>
  <c r="AT458"/>
  <c r="AR458"/>
  <c r="AS458" s="1"/>
  <c r="AQ458"/>
  <c r="AI458"/>
  <c r="AH458"/>
  <c r="AG458"/>
  <c r="AF458"/>
  <c r="AE458"/>
  <c r="AD458"/>
  <c r="AB458"/>
  <c r="AA458"/>
  <c r="Y458"/>
  <c r="AX457"/>
  <c r="AW457"/>
  <c r="AS457"/>
  <c r="AR457"/>
  <c r="AT457" s="1"/>
  <c r="AQ457"/>
  <c r="AI457"/>
  <c r="AH457"/>
  <c r="AG457"/>
  <c r="AF457"/>
  <c r="AE457"/>
  <c r="AD457"/>
  <c r="AB457"/>
  <c r="AA457"/>
  <c r="Y457"/>
  <c r="AX456"/>
  <c r="AW456"/>
  <c r="AV456"/>
  <c r="AT456"/>
  <c r="AU456" s="1"/>
  <c r="AS456"/>
  <c r="AR456"/>
  <c r="AQ456"/>
  <c r="AI456"/>
  <c r="AH456"/>
  <c r="AG456"/>
  <c r="AF456"/>
  <c r="AE456"/>
  <c r="AD456"/>
  <c r="AB456"/>
  <c r="AA456"/>
  <c r="Y456"/>
  <c r="AX455"/>
  <c r="AW455"/>
  <c r="AS455"/>
  <c r="AR455"/>
  <c r="AT455" s="1"/>
  <c r="AQ455"/>
  <c r="AI455"/>
  <c r="AH455"/>
  <c r="AG455"/>
  <c r="AF455"/>
  <c r="AE455"/>
  <c r="AD455"/>
  <c r="AB455"/>
  <c r="AA455"/>
  <c r="Y455"/>
  <c r="AX454"/>
  <c r="AW454"/>
  <c r="AV454"/>
  <c r="AT454"/>
  <c r="AU454" s="1"/>
  <c r="AS454"/>
  <c r="AR454"/>
  <c r="AQ454"/>
  <c r="AI454"/>
  <c r="AH454"/>
  <c r="AG454"/>
  <c r="AF454"/>
  <c r="AE454"/>
  <c r="AD454"/>
  <c r="AB454"/>
  <c r="AA454"/>
  <c r="Y454"/>
  <c r="AX453"/>
  <c r="AW453"/>
  <c r="AS453"/>
  <c r="AR453"/>
  <c r="AT453" s="1"/>
  <c r="AQ453"/>
  <c r="AI453"/>
  <c r="AH453"/>
  <c r="AG453"/>
  <c r="AF453"/>
  <c r="AE453"/>
  <c r="AD453"/>
  <c r="AB453"/>
  <c r="AA453"/>
  <c r="Y453"/>
  <c r="AX452"/>
  <c r="AW452"/>
  <c r="AV452"/>
  <c r="AT452"/>
  <c r="AU452" s="1"/>
  <c r="AS452"/>
  <c r="AR452"/>
  <c r="AQ452"/>
  <c r="AI452"/>
  <c r="AH452"/>
  <c r="AG452"/>
  <c r="AF452"/>
  <c r="AE452"/>
  <c r="AD452"/>
  <c r="AB452"/>
  <c r="AA452"/>
  <c r="Y452"/>
  <c r="AX451"/>
  <c r="AW451"/>
  <c r="AS451"/>
  <c r="AR451"/>
  <c r="AT451" s="1"/>
  <c r="AQ451"/>
  <c r="AI451"/>
  <c r="AH451"/>
  <c r="AG451"/>
  <c r="AF451"/>
  <c r="AE451"/>
  <c r="AD451"/>
  <c r="AB451"/>
  <c r="AA451"/>
  <c r="Y451"/>
  <c r="AX450"/>
  <c r="AW450"/>
  <c r="AV450"/>
  <c r="AT450"/>
  <c r="AU450" s="1"/>
  <c r="AS450"/>
  <c r="AR450"/>
  <c r="AQ450"/>
  <c r="AI450"/>
  <c r="AH450"/>
  <c r="AG450"/>
  <c r="AF450"/>
  <c r="AE450"/>
  <c r="AD450"/>
  <c r="AB450"/>
  <c r="AA450"/>
  <c r="Y450"/>
  <c r="AX449"/>
  <c r="AW449"/>
  <c r="AS449"/>
  <c r="AR449"/>
  <c r="AT449" s="1"/>
  <c r="AQ449"/>
  <c r="AI449"/>
  <c r="AH449"/>
  <c r="AG449"/>
  <c r="AF449"/>
  <c r="AE449"/>
  <c r="AD449"/>
  <c r="AB449"/>
  <c r="AA449"/>
  <c r="Y449"/>
  <c r="AX448"/>
  <c r="AW448"/>
  <c r="AV448"/>
  <c r="AT448"/>
  <c r="AU448" s="1"/>
  <c r="AS448"/>
  <c r="AR448"/>
  <c r="AQ448"/>
  <c r="AI448"/>
  <c r="AH448"/>
  <c r="AG448"/>
  <c r="AF448"/>
  <c r="AE448"/>
  <c r="AD448"/>
  <c r="AB448"/>
  <c r="AA448"/>
  <c r="Y448"/>
  <c r="AX447"/>
  <c r="AW447"/>
  <c r="AS447"/>
  <c r="AR447"/>
  <c r="AT447" s="1"/>
  <c r="AQ447"/>
  <c r="AI447"/>
  <c r="AH447"/>
  <c r="AG447"/>
  <c r="AF447"/>
  <c r="AE447"/>
  <c r="AD447"/>
  <c r="AB447"/>
  <c r="AA447"/>
  <c r="Y447"/>
  <c r="AX446"/>
  <c r="AW446"/>
  <c r="AV446"/>
  <c r="AT446"/>
  <c r="AU446" s="1"/>
  <c r="AS446"/>
  <c r="AR446"/>
  <c r="AQ446"/>
  <c r="AI446"/>
  <c r="AH446"/>
  <c r="AG446"/>
  <c r="AF446"/>
  <c r="AE446"/>
  <c r="AD446"/>
  <c r="AB446"/>
  <c r="AA446"/>
  <c r="Y446"/>
  <c r="AX445"/>
  <c r="AW445"/>
  <c r="AR445"/>
  <c r="AT445" s="1"/>
  <c r="AQ445"/>
  <c r="AI445"/>
  <c r="AH445"/>
  <c r="AG445"/>
  <c r="AF445"/>
  <c r="AE445"/>
  <c r="AD445"/>
  <c r="AB445"/>
  <c r="AA445"/>
  <c r="Y445"/>
  <c r="AX444"/>
  <c r="AW444"/>
  <c r="AT444"/>
  <c r="AU444" s="1"/>
  <c r="AR444"/>
  <c r="AS444" s="1"/>
  <c r="AQ444"/>
  <c r="AI444"/>
  <c r="AH444"/>
  <c r="AG444"/>
  <c r="AF444"/>
  <c r="AE444"/>
  <c r="AD444"/>
  <c r="AB444"/>
  <c r="AA444"/>
  <c r="Y444"/>
  <c r="AX443"/>
  <c r="AW443"/>
  <c r="AR443"/>
  <c r="AT443" s="1"/>
  <c r="AQ443"/>
  <c r="AI443"/>
  <c r="AH443"/>
  <c r="AG443"/>
  <c r="AF443"/>
  <c r="AE443"/>
  <c r="AD443"/>
  <c r="AB443"/>
  <c r="AA443"/>
  <c r="Y443"/>
  <c r="AX442"/>
  <c r="AW442"/>
  <c r="AT442"/>
  <c r="AU442" s="1"/>
  <c r="AR442"/>
  <c r="AS442" s="1"/>
  <c r="AQ442"/>
  <c r="AI442"/>
  <c r="AH442"/>
  <c r="AG442"/>
  <c r="AF442"/>
  <c r="AE442"/>
  <c r="AD442"/>
  <c r="AB442"/>
  <c r="AA442"/>
  <c r="Y442"/>
  <c r="AX441"/>
  <c r="AW441"/>
  <c r="AS441"/>
  <c r="AR441"/>
  <c r="AT441" s="1"/>
  <c r="AQ441"/>
  <c r="AI441"/>
  <c r="AH441"/>
  <c r="AG441"/>
  <c r="AF441"/>
  <c r="AE441"/>
  <c r="AD441"/>
  <c r="AB441"/>
  <c r="AA441"/>
  <c r="Y441"/>
  <c r="AX440"/>
  <c r="AW440"/>
  <c r="AR440"/>
  <c r="AS440" s="1"/>
  <c r="AQ440"/>
  <c r="AI440"/>
  <c r="AH440"/>
  <c r="AG440"/>
  <c r="AF440"/>
  <c r="AE440"/>
  <c r="AD440"/>
  <c r="AB440"/>
  <c r="AA440"/>
  <c r="Y440"/>
  <c r="AX439"/>
  <c r="AW439"/>
  <c r="AR439"/>
  <c r="AS439" s="1"/>
  <c r="AQ439"/>
  <c r="AI439"/>
  <c r="AH439"/>
  <c r="AG439"/>
  <c r="AF439"/>
  <c r="AE439"/>
  <c r="AD439"/>
  <c r="AB439"/>
  <c r="AA439"/>
  <c r="Y439"/>
  <c r="AX438"/>
  <c r="AW438"/>
  <c r="AR438"/>
  <c r="AS438" s="1"/>
  <c r="AQ438"/>
  <c r="AI438"/>
  <c r="AH438"/>
  <c r="AG438"/>
  <c r="AF438"/>
  <c r="AE438"/>
  <c r="AD438"/>
  <c r="AB438"/>
  <c r="AA438"/>
  <c r="Y438"/>
  <c r="AX437"/>
  <c r="AW437"/>
  <c r="AR437"/>
  <c r="AS437" s="1"/>
  <c r="AQ437"/>
  <c r="AI437"/>
  <c r="AH437"/>
  <c r="AG437"/>
  <c r="AF437"/>
  <c r="AE437"/>
  <c r="AD437"/>
  <c r="AB437"/>
  <c r="AA437"/>
  <c r="Y437"/>
  <c r="AX436"/>
  <c r="AW436"/>
  <c r="AT436"/>
  <c r="AU436" s="1"/>
  <c r="AR436"/>
  <c r="AS436" s="1"/>
  <c r="AQ436"/>
  <c r="AI436"/>
  <c r="AH436"/>
  <c r="AG436"/>
  <c r="AF436"/>
  <c r="AE436"/>
  <c r="AD436"/>
  <c r="AB436"/>
  <c r="AA436"/>
  <c r="Y436"/>
  <c r="AX435"/>
  <c r="AW435"/>
  <c r="AT435"/>
  <c r="AS435"/>
  <c r="AR435"/>
  <c r="AQ435"/>
  <c r="AI435"/>
  <c r="AH435"/>
  <c r="AG435"/>
  <c r="AF435"/>
  <c r="AE435"/>
  <c r="AD435"/>
  <c r="AB435"/>
  <c r="AA435"/>
  <c r="Y435"/>
  <c r="AX434"/>
  <c r="AW434"/>
  <c r="AV434"/>
  <c r="AT434"/>
  <c r="AU434" s="1"/>
  <c r="AR434"/>
  <c r="AS434" s="1"/>
  <c r="AQ434"/>
  <c r="AI434"/>
  <c r="AH434"/>
  <c r="AG434"/>
  <c r="AF434"/>
  <c r="AE434"/>
  <c r="AD434"/>
  <c r="AB434"/>
  <c r="AA434"/>
  <c r="Y434"/>
  <c r="AX433"/>
  <c r="AW433"/>
  <c r="AT433"/>
  <c r="AS433"/>
  <c r="AR433"/>
  <c r="AQ433"/>
  <c r="AI433"/>
  <c r="AH433"/>
  <c r="AG433"/>
  <c r="AF433"/>
  <c r="AE433"/>
  <c r="AD433"/>
  <c r="AB433"/>
  <c r="AA433"/>
  <c r="Y433"/>
  <c r="AX432"/>
  <c r="AW432"/>
  <c r="AR432"/>
  <c r="AS432" s="1"/>
  <c r="AQ432"/>
  <c r="AI432"/>
  <c r="AH432"/>
  <c r="AG432"/>
  <c r="AF432"/>
  <c r="AE432"/>
  <c r="AD432"/>
  <c r="AB432"/>
  <c r="AA432"/>
  <c r="Y432"/>
  <c r="AX431"/>
  <c r="AW431"/>
  <c r="AR431"/>
  <c r="AS431" s="1"/>
  <c r="AQ431"/>
  <c r="AI431"/>
  <c r="AH431"/>
  <c r="AG431"/>
  <c r="AF431"/>
  <c r="AE431"/>
  <c r="AD431"/>
  <c r="AB431"/>
  <c r="AA431"/>
  <c r="Y431"/>
  <c r="AX430"/>
  <c r="AW430"/>
  <c r="AT430"/>
  <c r="AU430" s="1"/>
  <c r="AR430"/>
  <c r="AS430" s="1"/>
  <c r="AQ430"/>
  <c r="AI430"/>
  <c r="AH430"/>
  <c r="AG430"/>
  <c r="AF430"/>
  <c r="AE430"/>
  <c r="AD430"/>
  <c r="AB430"/>
  <c r="AA430"/>
  <c r="Y430"/>
  <c r="AX429"/>
  <c r="AW429"/>
  <c r="AS429"/>
  <c r="AR429"/>
  <c r="AT429" s="1"/>
  <c r="AQ429"/>
  <c r="AI429"/>
  <c r="AH429"/>
  <c r="AG429"/>
  <c r="AF429"/>
  <c r="AE429"/>
  <c r="AD429"/>
  <c r="AB429"/>
  <c r="AA429"/>
  <c r="Y429"/>
  <c r="AX428"/>
  <c r="AW428"/>
  <c r="AT428"/>
  <c r="AU428" s="1"/>
  <c r="AR428"/>
  <c r="AS428" s="1"/>
  <c r="AQ428"/>
  <c r="AI428"/>
  <c r="AH428"/>
  <c r="AG428"/>
  <c r="AF428"/>
  <c r="AE428"/>
  <c r="AD428"/>
  <c r="AB428"/>
  <c r="AA428"/>
  <c r="Y428"/>
  <c r="AX427"/>
  <c r="AW427"/>
  <c r="AT427"/>
  <c r="AS427"/>
  <c r="AR427"/>
  <c r="AQ427"/>
  <c r="AI427"/>
  <c r="AH427"/>
  <c r="AG427"/>
  <c r="AF427"/>
  <c r="AE427"/>
  <c r="AD427"/>
  <c r="AB427"/>
  <c r="AA427"/>
  <c r="Y427"/>
  <c r="AX426"/>
  <c r="AW426"/>
  <c r="AV426"/>
  <c r="AT426"/>
  <c r="AU426" s="1"/>
  <c r="AR426"/>
  <c r="AS426" s="1"/>
  <c r="AQ426"/>
  <c r="AI426"/>
  <c r="AH426"/>
  <c r="AG426"/>
  <c r="AF426"/>
  <c r="AE426"/>
  <c r="AD426"/>
  <c r="AB426"/>
  <c r="AA426"/>
  <c r="Y426"/>
  <c r="AX425"/>
  <c r="AW425"/>
  <c r="AT425"/>
  <c r="AS425"/>
  <c r="AR425"/>
  <c r="AQ425"/>
  <c r="AI425"/>
  <c r="AH425"/>
  <c r="AG425"/>
  <c r="AF425"/>
  <c r="AE425"/>
  <c r="AD425"/>
  <c r="AB425"/>
  <c r="AA425"/>
  <c r="Y425"/>
  <c r="AX424"/>
  <c r="AW424"/>
  <c r="AR424"/>
  <c r="AS424" s="1"/>
  <c r="AQ424"/>
  <c r="AI424"/>
  <c r="AH424"/>
  <c r="AG424"/>
  <c r="AF424"/>
  <c r="AE424"/>
  <c r="AD424"/>
  <c r="AB424"/>
  <c r="AA424"/>
  <c r="Y424"/>
  <c r="AX423"/>
  <c r="AW423"/>
  <c r="AR423"/>
  <c r="AS423" s="1"/>
  <c r="AQ423"/>
  <c r="AI423"/>
  <c r="AH423"/>
  <c r="AG423"/>
  <c r="AF423"/>
  <c r="AE423"/>
  <c r="AD423"/>
  <c r="AB423"/>
  <c r="AA423"/>
  <c r="Y423"/>
  <c r="AX422"/>
  <c r="AW422"/>
  <c r="AT422"/>
  <c r="AU422" s="1"/>
  <c r="AR422"/>
  <c r="AS422" s="1"/>
  <c r="AQ422"/>
  <c r="AI422"/>
  <c r="AH422"/>
  <c r="AG422"/>
  <c r="AF422"/>
  <c r="AE422"/>
  <c r="AD422"/>
  <c r="AB422"/>
  <c r="AA422"/>
  <c r="Y422"/>
  <c r="AX421"/>
  <c r="AW421"/>
  <c r="AS421"/>
  <c r="AR421"/>
  <c r="AT421" s="1"/>
  <c r="AQ421"/>
  <c r="AI421"/>
  <c r="AH421"/>
  <c r="AG421"/>
  <c r="AF421"/>
  <c r="AE421"/>
  <c r="AD421"/>
  <c r="AB421"/>
  <c r="AA421"/>
  <c r="Y421"/>
  <c r="AX420"/>
  <c r="AW420"/>
  <c r="AV420"/>
  <c r="AT420"/>
  <c r="AU420" s="1"/>
  <c r="AR420"/>
  <c r="AS420" s="1"/>
  <c r="AQ420"/>
  <c r="AI420"/>
  <c r="AH420"/>
  <c r="AG420"/>
  <c r="AF420"/>
  <c r="AE420"/>
  <c r="AD420"/>
  <c r="AB420"/>
  <c r="AA420"/>
  <c r="Y420"/>
  <c r="AX419"/>
  <c r="AW419"/>
  <c r="AT419"/>
  <c r="AS419"/>
  <c r="AR419"/>
  <c r="AQ419"/>
  <c r="AI419"/>
  <c r="AH419"/>
  <c r="AG419"/>
  <c r="AF419"/>
  <c r="AE419"/>
  <c r="AD419"/>
  <c r="AB419"/>
  <c r="AA419"/>
  <c r="Y419"/>
  <c r="AX418"/>
  <c r="AW418"/>
  <c r="AV418"/>
  <c r="AT418"/>
  <c r="AU418" s="1"/>
  <c r="AR418"/>
  <c r="AS418" s="1"/>
  <c r="AQ418"/>
  <c r="AI418"/>
  <c r="AH418"/>
  <c r="AG418"/>
  <c r="AF418"/>
  <c r="AE418"/>
  <c r="AD418"/>
  <c r="AB418"/>
  <c r="AA418"/>
  <c r="Y418"/>
  <c r="AX417"/>
  <c r="AW417"/>
  <c r="AT417"/>
  <c r="AS417"/>
  <c r="AR417"/>
  <c r="AQ417"/>
  <c r="AI417"/>
  <c r="AH417"/>
  <c r="AG417"/>
  <c r="AF417"/>
  <c r="AE417"/>
  <c r="AD417"/>
  <c r="AB417"/>
  <c r="AA417"/>
  <c r="Y417"/>
  <c r="AX416"/>
  <c r="AW416"/>
  <c r="AR416"/>
  <c r="AS416" s="1"/>
  <c r="AQ416"/>
  <c r="AI416"/>
  <c r="AH416"/>
  <c r="AG416"/>
  <c r="AF416"/>
  <c r="AE416"/>
  <c r="AD416"/>
  <c r="AB416"/>
  <c r="AA416"/>
  <c r="Y416"/>
  <c r="AX415"/>
  <c r="AW415"/>
  <c r="AR415"/>
  <c r="AS415" s="1"/>
  <c r="AQ415"/>
  <c r="AI415"/>
  <c r="AH415"/>
  <c r="AG415"/>
  <c r="AF415"/>
  <c r="AE415"/>
  <c r="AD415"/>
  <c r="AB415"/>
  <c r="AA415"/>
  <c r="Y415"/>
  <c r="AX414"/>
  <c r="AW414"/>
  <c r="AT414"/>
  <c r="AU414" s="1"/>
  <c r="AR414"/>
  <c r="AS414" s="1"/>
  <c r="AQ414"/>
  <c r="AI414"/>
  <c r="AH414"/>
  <c r="AG414"/>
  <c r="AF414"/>
  <c r="AE414"/>
  <c r="AD414"/>
  <c r="AB414"/>
  <c r="AA414"/>
  <c r="Y414"/>
  <c r="AX413"/>
  <c r="AW413"/>
  <c r="AS413"/>
  <c r="AR413"/>
  <c r="AT413" s="1"/>
  <c r="AQ413"/>
  <c r="AI413"/>
  <c r="AH413"/>
  <c r="AG413"/>
  <c r="AF413"/>
  <c r="AE413"/>
  <c r="AD413"/>
  <c r="AB413"/>
  <c r="AA413"/>
  <c r="Y413"/>
  <c r="AX412"/>
  <c r="AW412"/>
  <c r="AV412"/>
  <c r="AT412"/>
  <c r="AU412" s="1"/>
  <c r="AR412"/>
  <c r="AS412" s="1"/>
  <c r="AQ412"/>
  <c r="AI412"/>
  <c r="AH412"/>
  <c r="AG412"/>
  <c r="AF412"/>
  <c r="AE412"/>
  <c r="AD412"/>
  <c r="AB412"/>
  <c r="AA412"/>
  <c r="Y412"/>
  <c r="AX411"/>
  <c r="AW411"/>
  <c r="AT411"/>
  <c r="AS411"/>
  <c r="AR411"/>
  <c r="AQ411"/>
  <c r="AI411"/>
  <c r="AH411"/>
  <c r="AG411"/>
  <c r="AF411"/>
  <c r="AE411"/>
  <c r="AD411"/>
  <c r="AB411"/>
  <c r="AA411"/>
  <c r="Y411"/>
  <c r="AX410"/>
  <c r="AW410"/>
  <c r="AV410"/>
  <c r="AT410"/>
  <c r="AU410" s="1"/>
  <c r="AR410"/>
  <c r="AS410" s="1"/>
  <c r="AQ410"/>
  <c r="AI410"/>
  <c r="AH410"/>
  <c r="AG410"/>
  <c r="AF410"/>
  <c r="AE410"/>
  <c r="AD410"/>
  <c r="AB410"/>
  <c r="AA410"/>
  <c r="Y410"/>
  <c r="AX409"/>
  <c r="AW409"/>
  <c r="AT409"/>
  <c r="AS409"/>
  <c r="AR409"/>
  <c r="AQ409"/>
  <c r="AI409"/>
  <c r="AH409"/>
  <c r="AG409"/>
  <c r="AF409"/>
  <c r="AE409"/>
  <c r="AD409"/>
  <c r="AB409"/>
  <c r="AA409"/>
  <c r="Y409"/>
  <c r="AX408"/>
  <c r="AW408"/>
  <c r="AR408"/>
  <c r="AS408" s="1"/>
  <c r="AQ408"/>
  <c r="AI408"/>
  <c r="AH408"/>
  <c r="AG408"/>
  <c r="AF408"/>
  <c r="AE408"/>
  <c r="AD408"/>
  <c r="AB408"/>
  <c r="AA408"/>
  <c r="Y408"/>
  <c r="AX407"/>
  <c r="AW407"/>
  <c r="AR407"/>
  <c r="AS407" s="1"/>
  <c r="AQ407"/>
  <c r="AI407"/>
  <c r="AH407"/>
  <c r="AG407"/>
  <c r="AF407"/>
  <c r="AE407"/>
  <c r="AD407"/>
  <c r="AB407"/>
  <c r="AA407"/>
  <c r="Y407"/>
  <c r="AX406"/>
  <c r="AW406"/>
  <c r="AT406"/>
  <c r="AU406" s="1"/>
  <c r="AR406"/>
  <c r="AS406" s="1"/>
  <c r="AQ406"/>
  <c r="AI406"/>
  <c r="AH406"/>
  <c r="AG406"/>
  <c r="AF406"/>
  <c r="AE406"/>
  <c r="AD406"/>
  <c r="AB406"/>
  <c r="AA406"/>
  <c r="Y406"/>
  <c r="AX405"/>
  <c r="AW405"/>
  <c r="AS405"/>
  <c r="AR405"/>
  <c r="AT405" s="1"/>
  <c r="AQ405"/>
  <c r="AI405"/>
  <c r="AH405"/>
  <c r="AG405"/>
  <c r="AF405"/>
  <c r="AE405"/>
  <c r="AD405"/>
  <c r="AB405"/>
  <c r="AA405"/>
  <c r="Y405"/>
  <c r="AX404"/>
  <c r="AW404"/>
  <c r="AV404"/>
  <c r="AT404"/>
  <c r="AU404" s="1"/>
  <c r="AR404"/>
  <c r="AS404" s="1"/>
  <c r="AQ404"/>
  <c r="AI404"/>
  <c r="AH404"/>
  <c r="AG404"/>
  <c r="AF404"/>
  <c r="AE404"/>
  <c r="AD404"/>
  <c r="AB404"/>
  <c r="AA404"/>
  <c r="Y404"/>
  <c r="AX403"/>
  <c r="AW403"/>
  <c r="AT403"/>
  <c r="AS403"/>
  <c r="AR403"/>
  <c r="AQ403"/>
  <c r="AI403"/>
  <c r="AH403"/>
  <c r="AG403"/>
  <c r="AF403"/>
  <c r="AE403"/>
  <c r="AD403"/>
  <c r="AB403"/>
  <c r="AA403"/>
  <c r="Y403"/>
  <c r="AX402"/>
  <c r="AW402"/>
  <c r="AV402"/>
  <c r="AT402"/>
  <c r="AU402" s="1"/>
  <c r="AR402"/>
  <c r="AS402" s="1"/>
  <c r="AQ402"/>
  <c r="AI402"/>
  <c r="AH402"/>
  <c r="AG402"/>
  <c r="AF402"/>
  <c r="AE402"/>
  <c r="AD402"/>
  <c r="AB402"/>
  <c r="AA402"/>
  <c r="Y402"/>
  <c r="AX401"/>
  <c r="AW401"/>
  <c r="AT401"/>
  <c r="AS401"/>
  <c r="AR401"/>
  <c r="AQ401"/>
  <c r="AI401"/>
  <c r="AH401"/>
  <c r="AG401"/>
  <c r="AF401"/>
  <c r="AE401"/>
  <c r="AD401"/>
  <c r="AB401"/>
  <c r="AA401"/>
  <c r="Y401"/>
  <c r="AX400"/>
  <c r="AW400"/>
  <c r="AR400"/>
  <c r="AS400" s="1"/>
  <c r="AQ400"/>
  <c r="AI400"/>
  <c r="AH400"/>
  <c r="AG400"/>
  <c r="AF400"/>
  <c r="AE400"/>
  <c r="AD400"/>
  <c r="AB400"/>
  <c r="AA400"/>
  <c r="Y400"/>
  <c r="AX399"/>
  <c r="AW399"/>
  <c r="AR399"/>
  <c r="AS399" s="1"/>
  <c r="AQ399"/>
  <c r="AI399"/>
  <c r="AH399"/>
  <c r="AG399"/>
  <c r="AF399"/>
  <c r="AE399"/>
  <c r="AD399"/>
  <c r="AB399"/>
  <c r="AA399"/>
  <c r="Y399"/>
  <c r="AX398"/>
  <c r="AW398"/>
  <c r="AT398"/>
  <c r="AU398" s="1"/>
  <c r="AR398"/>
  <c r="AS398" s="1"/>
  <c r="AQ398"/>
  <c r="AI398"/>
  <c r="AH398"/>
  <c r="AG398"/>
  <c r="AF398"/>
  <c r="AE398"/>
  <c r="AD398"/>
  <c r="AB398"/>
  <c r="AA398"/>
  <c r="Y398"/>
  <c r="AX397"/>
  <c r="AW397"/>
  <c r="AS397"/>
  <c r="AR397"/>
  <c r="AT397" s="1"/>
  <c r="AQ397"/>
  <c r="AI397"/>
  <c r="AH397"/>
  <c r="AG397"/>
  <c r="AF397"/>
  <c r="AE397"/>
  <c r="AD397"/>
  <c r="AB397"/>
  <c r="AA397"/>
  <c r="Y397"/>
  <c r="AX396"/>
  <c r="AW396"/>
  <c r="AV396"/>
  <c r="AT396"/>
  <c r="AU396" s="1"/>
  <c r="AR396"/>
  <c r="AS396" s="1"/>
  <c r="AQ396"/>
  <c r="AI396"/>
  <c r="AH396"/>
  <c r="AG396"/>
  <c r="AF396"/>
  <c r="AE396"/>
  <c r="AD396"/>
  <c r="AB396"/>
  <c r="AA396"/>
  <c r="Y396"/>
  <c r="AX395"/>
  <c r="AW395"/>
  <c r="AT395"/>
  <c r="AS395"/>
  <c r="AR395"/>
  <c r="AQ395"/>
  <c r="AI395"/>
  <c r="AH395"/>
  <c r="AG395"/>
  <c r="AF395"/>
  <c r="AE395"/>
  <c r="AD395"/>
  <c r="AB395"/>
  <c r="AA395"/>
  <c r="Y395"/>
  <c r="AX394"/>
  <c r="AW394"/>
  <c r="AV394"/>
  <c r="AT394"/>
  <c r="AU394" s="1"/>
  <c r="AR394"/>
  <c r="AS394" s="1"/>
  <c r="AQ394"/>
  <c r="AI394"/>
  <c r="AH394"/>
  <c r="AG394"/>
  <c r="AF394"/>
  <c r="AE394"/>
  <c r="AD394"/>
  <c r="AB394"/>
  <c r="AA394"/>
  <c r="Y394"/>
  <c r="AX393"/>
  <c r="AW393"/>
  <c r="AT393"/>
  <c r="AS393"/>
  <c r="AR393"/>
  <c r="AQ393"/>
  <c r="AI393"/>
  <c r="AH393"/>
  <c r="AG393"/>
  <c r="AF393"/>
  <c r="AE393"/>
  <c r="AD393"/>
  <c r="AB393"/>
  <c r="AA393"/>
  <c r="Y393"/>
  <c r="AX392"/>
  <c r="AW392"/>
  <c r="AR392"/>
  <c r="AS392" s="1"/>
  <c r="AQ392"/>
  <c r="AI392"/>
  <c r="AH392"/>
  <c r="AG392"/>
  <c r="AF392"/>
  <c r="AE392"/>
  <c r="AD392"/>
  <c r="AB392"/>
  <c r="AA392"/>
  <c r="Y392"/>
  <c r="AX391"/>
  <c r="AW391"/>
  <c r="AR391"/>
  <c r="AS391" s="1"/>
  <c r="AQ391"/>
  <c r="AI391"/>
  <c r="AH391"/>
  <c r="AG391"/>
  <c r="AF391"/>
  <c r="AE391"/>
  <c r="AD391"/>
  <c r="AB391"/>
  <c r="AA391"/>
  <c r="Y391"/>
  <c r="AX390"/>
  <c r="AW390"/>
  <c r="AT390"/>
  <c r="AU390" s="1"/>
  <c r="AR390"/>
  <c r="AS390" s="1"/>
  <c r="AQ390"/>
  <c r="AI390"/>
  <c r="AH390"/>
  <c r="AG390"/>
  <c r="AF390"/>
  <c r="AE390"/>
  <c r="AD390"/>
  <c r="AB390"/>
  <c r="AA390"/>
  <c r="Y390"/>
  <c r="AX389"/>
  <c r="AW389"/>
  <c r="AS389"/>
  <c r="AR389"/>
  <c r="AT389" s="1"/>
  <c r="AQ389"/>
  <c r="AI389"/>
  <c r="AH389"/>
  <c r="AG389"/>
  <c r="AF389"/>
  <c r="AE389"/>
  <c r="AD389"/>
  <c r="AB389"/>
  <c r="AA389"/>
  <c r="Y389"/>
  <c r="AX388"/>
  <c r="AW388"/>
  <c r="AV388"/>
  <c r="AT388"/>
  <c r="AU388" s="1"/>
  <c r="AR388"/>
  <c r="AS388" s="1"/>
  <c r="AQ388"/>
  <c r="AI388"/>
  <c r="AH388"/>
  <c r="AG388"/>
  <c r="AF388"/>
  <c r="AE388"/>
  <c r="AD388"/>
  <c r="AB388"/>
  <c r="AA388"/>
  <c r="Y388"/>
  <c r="AX387"/>
  <c r="AW387"/>
  <c r="AT387"/>
  <c r="AS387"/>
  <c r="AR387"/>
  <c r="AQ387"/>
  <c r="AI387"/>
  <c r="AH387"/>
  <c r="AG387"/>
  <c r="AF387"/>
  <c r="AE387"/>
  <c r="AD387"/>
  <c r="AB387"/>
  <c r="AA387"/>
  <c r="Y387"/>
  <c r="AX386"/>
  <c r="AW386"/>
  <c r="AV386"/>
  <c r="AT386"/>
  <c r="AU386" s="1"/>
  <c r="AR386"/>
  <c r="AS386" s="1"/>
  <c r="AQ386"/>
  <c r="AI386"/>
  <c r="AH386"/>
  <c r="AG386"/>
  <c r="AF386"/>
  <c r="AE386"/>
  <c r="AD386"/>
  <c r="AB386"/>
  <c r="AA386"/>
  <c r="Y386"/>
  <c r="AX385"/>
  <c r="AW385"/>
  <c r="AT385"/>
  <c r="AS385"/>
  <c r="AR385"/>
  <c r="AQ385"/>
  <c r="AI385"/>
  <c r="AH385"/>
  <c r="AG385"/>
  <c r="AF385"/>
  <c r="AE385"/>
  <c r="AD385"/>
  <c r="AB385"/>
  <c r="AA385"/>
  <c r="Y385"/>
  <c r="AX384"/>
  <c r="AW384"/>
  <c r="AR384"/>
  <c r="AS384" s="1"/>
  <c r="AQ384"/>
  <c r="AI384"/>
  <c r="AH384"/>
  <c r="AG384"/>
  <c r="AF384"/>
  <c r="AE384"/>
  <c r="AD384"/>
  <c r="AB384"/>
  <c r="AA384"/>
  <c r="Y384"/>
  <c r="AX383"/>
  <c r="AW383"/>
  <c r="AR383"/>
  <c r="AS383" s="1"/>
  <c r="AQ383"/>
  <c r="AI383"/>
  <c r="AH383"/>
  <c r="AG383"/>
  <c r="AF383"/>
  <c r="AE383"/>
  <c r="AD383"/>
  <c r="AB383"/>
  <c r="AA383"/>
  <c r="Y383"/>
  <c r="AX382"/>
  <c r="AW382"/>
  <c r="AT382"/>
  <c r="AU382" s="1"/>
  <c r="AR382"/>
  <c r="AS382" s="1"/>
  <c r="AQ382"/>
  <c r="AI382"/>
  <c r="AH382"/>
  <c r="AG382"/>
  <c r="AF382"/>
  <c r="AE382"/>
  <c r="AD382"/>
  <c r="AB382"/>
  <c r="AA382"/>
  <c r="Y382"/>
  <c r="AX381"/>
  <c r="AW381"/>
  <c r="AS381"/>
  <c r="AR381"/>
  <c r="AT381" s="1"/>
  <c r="AQ381"/>
  <c r="AI381"/>
  <c r="AH381"/>
  <c r="AG381"/>
  <c r="AF381"/>
  <c r="AE381"/>
  <c r="AD381"/>
  <c r="AB381"/>
  <c r="AA381"/>
  <c r="Y381"/>
  <c r="AX380"/>
  <c r="AW380"/>
  <c r="AV380"/>
  <c r="AT380"/>
  <c r="AU380" s="1"/>
  <c r="AR380"/>
  <c r="AS380" s="1"/>
  <c r="AQ380"/>
  <c r="AI380"/>
  <c r="AH380"/>
  <c r="AG380"/>
  <c r="AF380"/>
  <c r="AE380"/>
  <c r="AD380"/>
  <c r="AB380"/>
  <c r="AA380"/>
  <c r="Y380"/>
  <c r="AX379"/>
  <c r="AW379"/>
  <c r="AT379"/>
  <c r="AS379"/>
  <c r="AR379"/>
  <c r="AQ379"/>
  <c r="AI379"/>
  <c r="AH379"/>
  <c r="AG379"/>
  <c r="AF379"/>
  <c r="AE379"/>
  <c r="AD379"/>
  <c r="AB379"/>
  <c r="AA379"/>
  <c r="Y379"/>
  <c r="AX378"/>
  <c r="AW378"/>
  <c r="AV378"/>
  <c r="AT378"/>
  <c r="AU378" s="1"/>
  <c r="AR378"/>
  <c r="AS378" s="1"/>
  <c r="AQ378"/>
  <c r="AI378"/>
  <c r="AH378"/>
  <c r="AG378"/>
  <c r="AF378"/>
  <c r="AE378"/>
  <c r="AD378"/>
  <c r="AB378"/>
  <c r="AA378"/>
  <c r="Y378"/>
  <c r="AX377"/>
  <c r="AW377"/>
  <c r="AT377"/>
  <c r="AS377"/>
  <c r="AR377"/>
  <c r="AQ377"/>
  <c r="AI377"/>
  <c r="AH377"/>
  <c r="AG377"/>
  <c r="AF377"/>
  <c r="AE377"/>
  <c r="AD377"/>
  <c r="AB377"/>
  <c r="AA377"/>
  <c r="Y377"/>
  <c r="AX376"/>
  <c r="AW376"/>
  <c r="AR376"/>
  <c r="AS376" s="1"/>
  <c r="AQ376"/>
  <c r="AI376"/>
  <c r="AH376"/>
  <c r="AG376"/>
  <c r="AF376"/>
  <c r="AE376"/>
  <c r="AD376"/>
  <c r="AB376"/>
  <c r="AA376"/>
  <c r="Y376"/>
  <c r="AX375"/>
  <c r="AW375"/>
  <c r="AR375"/>
  <c r="AS375" s="1"/>
  <c r="AQ375"/>
  <c r="AI375"/>
  <c r="AH375"/>
  <c r="AG375"/>
  <c r="AF375"/>
  <c r="AE375"/>
  <c r="AD375"/>
  <c r="AB375"/>
  <c r="AA375"/>
  <c r="Y375"/>
  <c r="AX374"/>
  <c r="AW374"/>
  <c r="AT374"/>
  <c r="AU374" s="1"/>
  <c r="AR374"/>
  <c r="AS374" s="1"/>
  <c r="AQ374"/>
  <c r="AI374"/>
  <c r="AH374"/>
  <c r="AG374"/>
  <c r="AF374"/>
  <c r="AE374"/>
  <c r="AD374"/>
  <c r="AB374"/>
  <c r="AA374"/>
  <c r="Y374"/>
  <c r="AX373"/>
  <c r="AW373"/>
  <c r="AS373"/>
  <c r="AR373"/>
  <c r="AT373" s="1"/>
  <c r="AQ373"/>
  <c r="AI373"/>
  <c r="AH373"/>
  <c r="AG373"/>
  <c r="AF373"/>
  <c r="AE373"/>
  <c r="AD373"/>
  <c r="AB373"/>
  <c r="AA373"/>
  <c r="Y373"/>
  <c r="AX372"/>
  <c r="AW372"/>
  <c r="AV372"/>
  <c r="AT372"/>
  <c r="AU372" s="1"/>
  <c r="AR372"/>
  <c r="AS372" s="1"/>
  <c r="AQ372"/>
  <c r="AI372"/>
  <c r="AH372"/>
  <c r="AG372"/>
  <c r="AF372"/>
  <c r="AE372"/>
  <c r="AD372"/>
  <c r="AB372"/>
  <c r="AA372"/>
  <c r="Y372"/>
  <c r="AX371"/>
  <c r="AW371"/>
  <c r="AT371"/>
  <c r="AS371"/>
  <c r="AR371"/>
  <c r="AQ371"/>
  <c r="AI371"/>
  <c r="AH371"/>
  <c r="AG371"/>
  <c r="AF371"/>
  <c r="AE371"/>
  <c r="AD371"/>
  <c r="AB371"/>
  <c r="AA371"/>
  <c r="Y371"/>
  <c r="AX370"/>
  <c r="AW370"/>
  <c r="AV370"/>
  <c r="AT370"/>
  <c r="AU370" s="1"/>
  <c r="AR370"/>
  <c r="AS370" s="1"/>
  <c r="AQ370"/>
  <c r="AI370"/>
  <c r="AH370"/>
  <c r="AG370"/>
  <c r="AF370"/>
  <c r="AE370"/>
  <c r="AD370"/>
  <c r="AB370"/>
  <c r="AA370"/>
  <c r="Y370"/>
  <c r="AX369"/>
  <c r="AW369"/>
  <c r="AT369"/>
  <c r="AS369"/>
  <c r="AR369"/>
  <c r="AQ369"/>
  <c r="AI369"/>
  <c r="AH369"/>
  <c r="AG369"/>
  <c r="AF369"/>
  <c r="AE369"/>
  <c r="AD369"/>
  <c r="AB369"/>
  <c r="AA369"/>
  <c r="Y369"/>
  <c r="AX368"/>
  <c r="AW368"/>
  <c r="AR368"/>
  <c r="AS368" s="1"/>
  <c r="AQ368"/>
  <c r="AI368"/>
  <c r="AH368"/>
  <c r="AG368"/>
  <c r="AF368"/>
  <c r="AE368"/>
  <c r="AD368"/>
  <c r="AB368"/>
  <c r="AA368"/>
  <c r="Y368"/>
  <c r="AX367"/>
  <c r="AW367"/>
  <c r="AR367"/>
  <c r="AS367" s="1"/>
  <c r="AQ367"/>
  <c r="AI367"/>
  <c r="AH367"/>
  <c r="AG367"/>
  <c r="AF367"/>
  <c r="AE367"/>
  <c r="AD367"/>
  <c r="AB367"/>
  <c r="AA367"/>
  <c r="Y367"/>
  <c r="AX366"/>
  <c r="AW366"/>
  <c r="AT366"/>
  <c r="AU366" s="1"/>
  <c r="AR366"/>
  <c r="AS366" s="1"/>
  <c r="AQ366"/>
  <c r="AI366"/>
  <c r="AH366"/>
  <c r="AG366"/>
  <c r="AF366"/>
  <c r="AE366"/>
  <c r="AD366"/>
  <c r="AB366"/>
  <c r="AA366"/>
  <c r="Y366"/>
  <c r="AX365"/>
  <c r="AW365"/>
  <c r="AS365"/>
  <c r="AR365"/>
  <c r="AT365" s="1"/>
  <c r="AQ365"/>
  <c r="AI365"/>
  <c r="AH365"/>
  <c r="AG365"/>
  <c r="AF365"/>
  <c r="AE365"/>
  <c r="AD365"/>
  <c r="AB365"/>
  <c r="AA365"/>
  <c r="Y365"/>
  <c r="AX364"/>
  <c r="AW364"/>
  <c r="AV364"/>
  <c r="AT364"/>
  <c r="AU364" s="1"/>
  <c r="AR364"/>
  <c r="AS364" s="1"/>
  <c r="AQ364"/>
  <c r="AI364"/>
  <c r="AH364"/>
  <c r="AG364"/>
  <c r="AF364"/>
  <c r="AE364"/>
  <c r="AD364"/>
  <c r="AB364"/>
  <c r="AA364"/>
  <c r="Y364"/>
  <c r="AX363"/>
  <c r="AW363"/>
  <c r="AT363"/>
  <c r="AS363"/>
  <c r="AR363"/>
  <c r="AQ363"/>
  <c r="AI363"/>
  <c r="AH363"/>
  <c r="AG363"/>
  <c r="AF363"/>
  <c r="AE363"/>
  <c r="AD363"/>
  <c r="AB363"/>
  <c r="AA363"/>
  <c r="Y363"/>
  <c r="AX362"/>
  <c r="AW362"/>
  <c r="AV362"/>
  <c r="AT362"/>
  <c r="AU362" s="1"/>
  <c r="AR362"/>
  <c r="AS362" s="1"/>
  <c r="AQ362"/>
  <c r="AI362"/>
  <c r="AH362"/>
  <c r="AG362"/>
  <c r="AF362"/>
  <c r="AE362"/>
  <c r="AD362"/>
  <c r="AB362"/>
  <c r="AA362"/>
  <c r="Y362"/>
  <c r="AX361"/>
  <c r="AW361"/>
  <c r="AT361"/>
  <c r="AS361"/>
  <c r="AR361"/>
  <c r="AQ361"/>
  <c r="AI361"/>
  <c r="AH361"/>
  <c r="AG361"/>
  <c r="AF361"/>
  <c r="AE361"/>
  <c r="AD361"/>
  <c r="AB361"/>
  <c r="AA361"/>
  <c r="Y361"/>
  <c r="AX360"/>
  <c r="AW360"/>
  <c r="AR360"/>
  <c r="AS360" s="1"/>
  <c r="AQ360"/>
  <c r="AI360"/>
  <c r="AH360"/>
  <c r="AG360"/>
  <c r="AF360"/>
  <c r="AE360"/>
  <c r="AD360"/>
  <c r="AB360"/>
  <c r="AA360"/>
  <c r="Y360"/>
  <c r="AX359"/>
  <c r="AW359"/>
  <c r="AR359"/>
  <c r="AS359" s="1"/>
  <c r="AQ359"/>
  <c r="AI359"/>
  <c r="AH359"/>
  <c r="AG359"/>
  <c r="AF359"/>
  <c r="AE359"/>
  <c r="AD359"/>
  <c r="AB359"/>
  <c r="AA359"/>
  <c r="Y359"/>
  <c r="AX358"/>
  <c r="AW358"/>
  <c r="AT358"/>
  <c r="AU358" s="1"/>
  <c r="AR358"/>
  <c r="AS358" s="1"/>
  <c r="AQ358"/>
  <c r="AI358"/>
  <c r="AH358"/>
  <c r="AG358"/>
  <c r="AF358"/>
  <c r="AE358"/>
  <c r="AD358"/>
  <c r="AB358"/>
  <c r="AA358"/>
  <c r="Y358"/>
  <c r="AX357"/>
  <c r="AW357"/>
  <c r="AS357"/>
  <c r="AR357"/>
  <c r="AT357" s="1"/>
  <c r="AQ357"/>
  <c r="AI357"/>
  <c r="AH357"/>
  <c r="AG357"/>
  <c r="AF357"/>
  <c r="AE357"/>
  <c r="AD357"/>
  <c r="AB357"/>
  <c r="AA357"/>
  <c r="Y357"/>
  <c r="AX356"/>
  <c r="AW356"/>
  <c r="AV356"/>
  <c r="AT356"/>
  <c r="AU356" s="1"/>
  <c r="AR356"/>
  <c r="AS356" s="1"/>
  <c r="AQ356"/>
  <c r="AI356"/>
  <c r="AH356"/>
  <c r="AG356"/>
  <c r="AF356"/>
  <c r="AE356"/>
  <c r="AD356"/>
  <c r="AB356"/>
  <c r="AA356"/>
  <c r="Y356"/>
  <c r="AX355"/>
  <c r="AW355"/>
  <c r="AT355"/>
  <c r="AS355"/>
  <c r="AR355"/>
  <c r="AQ355"/>
  <c r="AI355"/>
  <c r="AH355"/>
  <c r="AG355"/>
  <c r="AF355"/>
  <c r="AE355"/>
  <c r="AD355"/>
  <c r="AB355"/>
  <c r="AA355"/>
  <c r="Y355"/>
  <c r="AX354"/>
  <c r="AW354"/>
  <c r="AV354"/>
  <c r="AT354"/>
  <c r="AU354" s="1"/>
  <c r="AR354"/>
  <c r="AS354" s="1"/>
  <c r="AQ354"/>
  <c r="AI354"/>
  <c r="AH354"/>
  <c r="AG354"/>
  <c r="AF354"/>
  <c r="AE354"/>
  <c r="AD354"/>
  <c r="AB354"/>
  <c r="AA354"/>
  <c r="Y354"/>
  <c r="AX353"/>
  <c r="AW353"/>
  <c r="AT353"/>
  <c r="AS353"/>
  <c r="AR353"/>
  <c r="AQ353"/>
  <c r="AI353"/>
  <c r="AH353"/>
  <c r="AG353"/>
  <c r="AF353"/>
  <c r="AE353"/>
  <c r="AD353"/>
  <c r="AB353"/>
  <c r="AA353"/>
  <c r="Y353"/>
  <c r="AX352"/>
  <c r="AW352"/>
  <c r="AR352"/>
  <c r="AS352" s="1"/>
  <c r="AQ352"/>
  <c r="AI352"/>
  <c r="AH352"/>
  <c r="AG352"/>
  <c r="AF352"/>
  <c r="AE352"/>
  <c r="AD352"/>
  <c r="AB352"/>
  <c r="AA352"/>
  <c r="Y352"/>
  <c r="AX351"/>
  <c r="AW351"/>
  <c r="AR351"/>
  <c r="AS351" s="1"/>
  <c r="AQ351"/>
  <c r="AI351"/>
  <c r="AH351"/>
  <c r="AG351"/>
  <c r="AF351"/>
  <c r="AE351"/>
  <c r="AD351"/>
  <c r="AB351"/>
  <c r="AA351"/>
  <c r="Y351"/>
  <c r="AX350"/>
  <c r="AW350"/>
  <c r="AT350"/>
  <c r="AU350" s="1"/>
  <c r="AR350"/>
  <c r="AS350" s="1"/>
  <c r="AQ350"/>
  <c r="AI350"/>
  <c r="AH350"/>
  <c r="AG350"/>
  <c r="AF350"/>
  <c r="AE350"/>
  <c r="AD350"/>
  <c r="AB350"/>
  <c r="AA350"/>
  <c r="Y350"/>
  <c r="AX349"/>
  <c r="AW349"/>
  <c r="AS349"/>
  <c r="AR349"/>
  <c r="AT349" s="1"/>
  <c r="AQ349"/>
  <c r="AI349"/>
  <c r="AH349"/>
  <c r="AG349"/>
  <c r="AF349"/>
  <c r="AE349"/>
  <c r="AD349"/>
  <c r="AB349"/>
  <c r="AA349"/>
  <c r="Y349"/>
  <c r="AX348"/>
  <c r="AW348"/>
  <c r="AT348"/>
  <c r="AU348" s="1"/>
  <c r="AR348"/>
  <c r="AS348" s="1"/>
  <c r="AQ348"/>
  <c r="AI348"/>
  <c r="AH348"/>
  <c r="AG348"/>
  <c r="AF348"/>
  <c r="AE348"/>
  <c r="AD348"/>
  <c r="AB348"/>
  <c r="AA348"/>
  <c r="Y348"/>
  <c r="AX347"/>
  <c r="AW347"/>
  <c r="AT347"/>
  <c r="AS347"/>
  <c r="AR347"/>
  <c r="AQ347"/>
  <c r="AI347"/>
  <c r="AH347"/>
  <c r="AG347"/>
  <c r="AF347"/>
  <c r="AE347"/>
  <c r="AD347"/>
  <c r="AB347"/>
  <c r="AA347"/>
  <c r="Y347"/>
  <c r="AX346"/>
  <c r="AW346"/>
  <c r="AV346"/>
  <c r="AT346"/>
  <c r="AU346" s="1"/>
  <c r="AR346"/>
  <c r="AS346" s="1"/>
  <c r="AQ346"/>
  <c r="AI346"/>
  <c r="AH346"/>
  <c r="AG346"/>
  <c r="AF346"/>
  <c r="AE346"/>
  <c r="AD346"/>
  <c r="AB346"/>
  <c r="AA346"/>
  <c r="Y346"/>
  <c r="AX345"/>
  <c r="AW345"/>
  <c r="AT345"/>
  <c r="AS345"/>
  <c r="AR345"/>
  <c r="AQ345"/>
  <c r="AI345"/>
  <c r="AH345"/>
  <c r="AG345"/>
  <c r="AF345"/>
  <c r="AE345"/>
  <c r="AD345"/>
  <c r="AB345"/>
  <c r="AA345"/>
  <c r="Y345"/>
  <c r="AX344"/>
  <c r="AW344"/>
  <c r="AR344"/>
  <c r="AS344" s="1"/>
  <c r="AQ344"/>
  <c r="AI344"/>
  <c r="AH344"/>
  <c r="AG344"/>
  <c r="AF344"/>
  <c r="AE344"/>
  <c r="AD344"/>
  <c r="AB344"/>
  <c r="AA344"/>
  <c r="Y344"/>
  <c r="AX343"/>
  <c r="AW343"/>
  <c r="AR343"/>
  <c r="AS343" s="1"/>
  <c r="AQ343"/>
  <c r="AI343"/>
  <c r="AH343"/>
  <c r="AG343"/>
  <c r="AF343"/>
  <c r="AE343"/>
  <c r="AD343"/>
  <c r="AB343"/>
  <c r="AA343"/>
  <c r="Y343"/>
  <c r="AX342"/>
  <c r="AW342"/>
  <c r="AT342"/>
  <c r="AU342" s="1"/>
  <c r="AR342"/>
  <c r="AS342" s="1"/>
  <c r="AQ342"/>
  <c r="AI342"/>
  <c r="AH342"/>
  <c r="AG342"/>
  <c r="AF342"/>
  <c r="AE342"/>
  <c r="AD342"/>
  <c r="AB342"/>
  <c r="AA342"/>
  <c r="Y342"/>
  <c r="AX341"/>
  <c r="AW341"/>
  <c r="AS341"/>
  <c r="AR341"/>
  <c r="AT341" s="1"/>
  <c r="AQ341"/>
  <c r="AI341"/>
  <c r="AH341"/>
  <c r="AG341"/>
  <c r="AF341"/>
  <c r="AE341"/>
  <c r="AD341"/>
  <c r="AB341"/>
  <c r="AA341"/>
  <c r="Y341"/>
  <c r="AX340"/>
  <c r="AW340"/>
  <c r="AV340"/>
  <c r="AT340"/>
  <c r="AU340" s="1"/>
  <c r="AR340"/>
  <c r="AS340" s="1"/>
  <c r="AQ340"/>
  <c r="AI340"/>
  <c r="AH340"/>
  <c r="AG340"/>
  <c r="AF340"/>
  <c r="AE340"/>
  <c r="AD340"/>
  <c r="AB340"/>
  <c r="AA340"/>
  <c r="Y340"/>
  <c r="AX339"/>
  <c r="AW339"/>
  <c r="AT339"/>
  <c r="AS339"/>
  <c r="AR339"/>
  <c r="AQ339"/>
  <c r="AI339"/>
  <c r="AH339"/>
  <c r="AG339"/>
  <c r="AF339"/>
  <c r="AE339"/>
  <c r="AD339"/>
  <c r="AB339"/>
  <c r="AA339"/>
  <c r="Y339"/>
  <c r="AX338"/>
  <c r="AW338"/>
  <c r="AV338"/>
  <c r="AT338"/>
  <c r="AU338" s="1"/>
  <c r="AR338"/>
  <c r="AS338" s="1"/>
  <c r="AQ338"/>
  <c r="AI338"/>
  <c r="AH338"/>
  <c r="AG338"/>
  <c r="AF338"/>
  <c r="AE338"/>
  <c r="AD338"/>
  <c r="AB338"/>
  <c r="AA338"/>
  <c r="Y338"/>
  <c r="AX337"/>
  <c r="AW337"/>
  <c r="AT337"/>
  <c r="AS337"/>
  <c r="AR337"/>
  <c r="AQ337"/>
  <c r="AI337"/>
  <c r="AH337"/>
  <c r="AG337"/>
  <c r="AF337"/>
  <c r="AE337"/>
  <c r="AD337"/>
  <c r="AB337"/>
  <c r="AA337"/>
  <c r="Y337"/>
  <c r="AX336"/>
  <c r="AW336"/>
  <c r="AR336"/>
  <c r="AS336" s="1"/>
  <c r="AQ336"/>
  <c r="AI336"/>
  <c r="AH336"/>
  <c r="AG336"/>
  <c r="AF336"/>
  <c r="AE336"/>
  <c r="AD336"/>
  <c r="AB336"/>
  <c r="AA336"/>
  <c r="Y336"/>
  <c r="AX335"/>
  <c r="AW335"/>
  <c r="AR335"/>
  <c r="AS335" s="1"/>
  <c r="AQ335"/>
  <c r="AI335"/>
  <c r="AH335"/>
  <c r="AG335"/>
  <c r="AF335"/>
  <c r="AE335"/>
  <c r="AD335"/>
  <c r="AB335"/>
  <c r="AA335"/>
  <c r="Y335"/>
  <c r="AX334"/>
  <c r="AW334"/>
  <c r="AT334"/>
  <c r="AU334" s="1"/>
  <c r="AR334"/>
  <c r="AS334" s="1"/>
  <c r="AQ334"/>
  <c r="AI334"/>
  <c r="AH334"/>
  <c r="AG334"/>
  <c r="AF334"/>
  <c r="AE334"/>
  <c r="AD334"/>
  <c r="AB334"/>
  <c r="AA334"/>
  <c r="Y334"/>
  <c r="AX333"/>
  <c r="AW333"/>
  <c r="AS333"/>
  <c r="AR333"/>
  <c r="AT333" s="1"/>
  <c r="AQ333"/>
  <c r="AI333"/>
  <c r="AH333"/>
  <c r="AG333"/>
  <c r="AF333"/>
  <c r="AE333"/>
  <c r="AD333"/>
  <c r="AB333"/>
  <c r="AA333"/>
  <c r="Y333"/>
  <c r="AX332"/>
  <c r="AW332"/>
  <c r="AV332"/>
  <c r="AT332"/>
  <c r="AU332" s="1"/>
  <c r="AR332"/>
  <c r="AS332" s="1"/>
  <c r="AQ332"/>
  <c r="AI332"/>
  <c r="AH332"/>
  <c r="AG332"/>
  <c r="AF332"/>
  <c r="AE332"/>
  <c r="AD332"/>
  <c r="AB332"/>
  <c r="AA332"/>
  <c r="Y332"/>
  <c r="AX331"/>
  <c r="AW331"/>
  <c r="AT331"/>
  <c r="AS331"/>
  <c r="AR331"/>
  <c r="AQ331"/>
  <c r="AI331"/>
  <c r="AH331"/>
  <c r="AG331"/>
  <c r="AF331"/>
  <c r="AE331"/>
  <c r="AD331"/>
  <c r="AB331"/>
  <c r="AA331"/>
  <c r="Y331"/>
  <c r="AX330"/>
  <c r="AW330"/>
  <c r="AV330"/>
  <c r="AT330"/>
  <c r="AU330" s="1"/>
  <c r="AR330"/>
  <c r="AS330" s="1"/>
  <c r="AQ330"/>
  <c r="AI330"/>
  <c r="AH330"/>
  <c r="AG330"/>
  <c r="AF330"/>
  <c r="AE330"/>
  <c r="AD330"/>
  <c r="AB330"/>
  <c r="AA330"/>
  <c r="Y330"/>
  <c r="AX329"/>
  <c r="AW329"/>
  <c r="AT329"/>
  <c r="AS329"/>
  <c r="AR329"/>
  <c r="AQ329"/>
  <c r="AI329"/>
  <c r="AH329"/>
  <c r="AG329"/>
  <c r="AF329"/>
  <c r="AE329"/>
  <c r="AD329"/>
  <c r="AB329"/>
  <c r="AA329"/>
  <c r="Y329"/>
  <c r="AX328"/>
  <c r="AW328"/>
  <c r="AR328"/>
  <c r="AS328" s="1"/>
  <c r="AQ328"/>
  <c r="AI328"/>
  <c r="AH328"/>
  <c r="AG328"/>
  <c r="AF328"/>
  <c r="AE328"/>
  <c r="AD328"/>
  <c r="AB328"/>
  <c r="AA328"/>
  <c r="Y328"/>
  <c r="AX327"/>
  <c r="AW327"/>
  <c r="AR327"/>
  <c r="AS327" s="1"/>
  <c r="AQ327"/>
  <c r="AI327"/>
  <c r="AH327"/>
  <c r="AG327"/>
  <c r="AF327"/>
  <c r="AE327"/>
  <c r="AD327"/>
  <c r="AB327"/>
  <c r="AA327"/>
  <c r="Y327"/>
  <c r="AX326"/>
  <c r="AW326"/>
  <c r="AR326"/>
  <c r="AS326" s="1"/>
  <c r="AQ326"/>
  <c r="AI326"/>
  <c r="AH326"/>
  <c r="AG326"/>
  <c r="AF326"/>
  <c r="AE326"/>
  <c r="AD326"/>
  <c r="AB326"/>
  <c r="AA326"/>
  <c r="Y326"/>
  <c r="AX325"/>
  <c r="AW325"/>
  <c r="AR325"/>
  <c r="AS325" s="1"/>
  <c r="AQ325"/>
  <c r="AI325"/>
  <c r="AH325"/>
  <c r="AG325"/>
  <c r="AF325"/>
  <c r="AE325"/>
  <c r="AD325"/>
  <c r="AB325"/>
  <c r="AA325"/>
  <c r="Y325"/>
  <c r="AX324"/>
  <c r="AW324"/>
  <c r="AT324"/>
  <c r="AU324" s="1"/>
  <c r="AR324"/>
  <c r="AS324" s="1"/>
  <c r="AQ324"/>
  <c r="AI324"/>
  <c r="AH324"/>
  <c r="AG324"/>
  <c r="AF324"/>
  <c r="AE324"/>
  <c r="AD324"/>
  <c r="AB324"/>
  <c r="AA324"/>
  <c r="Y324"/>
  <c r="AX323"/>
  <c r="AW323"/>
  <c r="AT323"/>
  <c r="AS323"/>
  <c r="AR323"/>
  <c r="AQ323"/>
  <c r="AI323"/>
  <c r="AH323"/>
  <c r="AG323"/>
  <c r="AF323"/>
  <c r="AE323"/>
  <c r="AD323"/>
  <c r="AB323"/>
  <c r="AA323"/>
  <c r="Y323"/>
  <c r="AX322"/>
  <c r="AW322"/>
  <c r="AV322"/>
  <c r="AT322"/>
  <c r="AU322" s="1"/>
  <c r="AR322"/>
  <c r="AS322" s="1"/>
  <c r="AQ322"/>
  <c r="AI322"/>
  <c r="AH322"/>
  <c r="AG322"/>
  <c r="AF322"/>
  <c r="AE322"/>
  <c r="AD322"/>
  <c r="AB322"/>
  <c r="AA322"/>
  <c r="Y322"/>
  <c r="AX321"/>
  <c r="AW321"/>
  <c r="AT321"/>
  <c r="AS321"/>
  <c r="AR321"/>
  <c r="AQ321"/>
  <c r="AI321"/>
  <c r="AH321"/>
  <c r="AG321"/>
  <c r="AF321"/>
  <c r="AE321"/>
  <c r="AD321"/>
  <c r="AB321"/>
  <c r="AA321"/>
  <c r="Y321"/>
  <c r="AX320"/>
  <c r="AW320"/>
  <c r="AR320"/>
  <c r="AS320" s="1"/>
  <c r="AQ320"/>
  <c r="AI320"/>
  <c r="AH320"/>
  <c r="AG320"/>
  <c r="AF320"/>
  <c r="AE320"/>
  <c r="AD320"/>
  <c r="AB320"/>
  <c r="AA320"/>
  <c r="Y320"/>
  <c r="AX319"/>
  <c r="AW319"/>
  <c r="AR319"/>
  <c r="AS319" s="1"/>
  <c r="AQ319"/>
  <c r="AI319"/>
  <c r="AH319"/>
  <c r="AG319"/>
  <c r="AF319"/>
  <c r="AE319"/>
  <c r="AD319"/>
  <c r="AB319"/>
  <c r="AA319"/>
  <c r="Y319"/>
  <c r="AX318"/>
  <c r="AW318"/>
  <c r="AR318"/>
  <c r="AS318" s="1"/>
  <c r="AQ318"/>
  <c r="AI318"/>
  <c r="AH318"/>
  <c r="AG318"/>
  <c r="AF318"/>
  <c r="AE318"/>
  <c r="AD318"/>
  <c r="AB318"/>
  <c r="AA318"/>
  <c r="Y318"/>
  <c r="AX317"/>
  <c r="AW317"/>
  <c r="AR317"/>
  <c r="AS317" s="1"/>
  <c r="AQ317"/>
  <c r="AI317"/>
  <c r="AH317"/>
  <c r="AG317"/>
  <c r="AF317"/>
  <c r="AE317"/>
  <c r="AD317"/>
  <c r="AB317"/>
  <c r="AA317"/>
  <c r="Y317"/>
  <c r="AX316"/>
  <c r="AW316"/>
  <c r="AT316"/>
  <c r="AU316" s="1"/>
  <c r="AR316"/>
  <c r="AS316" s="1"/>
  <c r="AQ316"/>
  <c r="AI316"/>
  <c r="AH316"/>
  <c r="AG316"/>
  <c r="AF316"/>
  <c r="AE316"/>
  <c r="AD316"/>
  <c r="AB316"/>
  <c r="AA316"/>
  <c r="Y316"/>
  <c r="AX315"/>
  <c r="AW315"/>
  <c r="AT315"/>
  <c r="AS315"/>
  <c r="AR315"/>
  <c r="AQ315"/>
  <c r="AI315"/>
  <c r="AH315"/>
  <c r="AG315"/>
  <c r="AF315"/>
  <c r="AE315"/>
  <c r="AD315"/>
  <c r="AB315"/>
  <c r="AA315"/>
  <c r="Y315"/>
  <c r="AX314"/>
  <c r="AW314"/>
  <c r="AV314"/>
  <c r="AT314"/>
  <c r="AU314" s="1"/>
  <c r="AR314"/>
  <c r="AS314" s="1"/>
  <c r="AQ314"/>
  <c r="AI314"/>
  <c r="AH314"/>
  <c r="AG314"/>
  <c r="AF314"/>
  <c r="AE314"/>
  <c r="AD314"/>
  <c r="AB314"/>
  <c r="AA314"/>
  <c r="Y314"/>
  <c r="AX313"/>
  <c r="AW313"/>
  <c r="AT313"/>
  <c r="AS313"/>
  <c r="AR313"/>
  <c r="AQ313"/>
  <c r="AI313"/>
  <c r="AH313"/>
  <c r="AG313"/>
  <c r="AF313"/>
  <c r="AE313"/>
  <c r="AD313"/>
  <c r="AB313"/>
  <c r="AA313"/>
  <c r="Y313"/>
  <c r="AX312"/>
  <c r="AW312"/>
  <c r="AR312"/>
  <c r="AS312" s="1"/>
  <c r="AQ312"/>
  <c r="AI312"/>
  <c r="AH312"/>
  <c r="AG312"/>
  <c r="AF312"/>
  <c r="AE312"/>
  <c r="AD312"/>
  <c r="AB312"/>
  <c r="AA312"/>
  <c r="Y312"/>
  <c r="AX311"/>
  <c r="AW311"/>
  <c r="AR311"/>
  <c r="AS311" s="1"/>
  <c r="AQ311"/>
  <c r="AI311"/>
  <c r="AH311"/>
  <c r="AG311"/>
  <c r="AF311"/>
  <c r="AE311"/>
  <c r="AD311"/>
  <c r="AB311"/>
  <c r="AA311"/>
  <c r="Y311"/>
  <c r="AX310"/>
  <c r="AW310"/>
  <c r="AR310"/>
  <c r="AS310" s="1"/>
  <c r="AQ310"/>
  <c r="AI310"/>
  <c r="AH310"/>
  <c r="AG310"/>
  <c r="AF310"/>
  <c r="AE310"/>
  <c r="AD310"/>
  <c r="AB310"/>
  <c r="AA310"/>
  <c r="Y310"/>
  <c r="AX309"/>
  <c r="AW309"/>
  <c r="AR309"/>
  <c r="AS309" s="1"/>
  <c r="AQ309"/>
  <c r="AI309"/>
  <c r="AH309"/>
  <c r="AG309"/>
  <c r="AF309"/>
  <c r="AE309"/>
  <c r="AD309"/>
  <c r="AB309"/>
  <c r="AA309"/>
  <c r="Y309"/>
  <c r="AX308"/>
  <c r="AW308"/>
  <c r="AT308"/>
  <c r="AU308" s="1"/>
  <c r="AR308"/>
  <c r="AS308" s="1"/>
  <c r="AQ308"/>
  <c r="AI308"/>
  <c r="AH308"/>
  <c r="AG308"/>
  <c r="AF308"/>
  <c r="AE308"/>
  <c r="AD308"/>
  <c r="AB308"/>
  <c r="AA308"/>
  <c r="Y308"/>
  <c r="AX307"/>
  <c r="AW307"/>
  <c r="AT307"/>
  <c r="AS307"/>
  <c r="AR307"/>
  <c r="AQ307"/>
  <c r="AI307"/>
  <c r="AH307"/>
  <c r="AG307"/>
  <c r="AF307"/>
  <c r="AE307"/>
  <c r="AD307"/>
  <c r="AB307"/>
  <c r="AA307"/>
  <c r="Y307"/>
  <c r="AX306"/>
  <c r="AW306"/>
  <c r="AV306"/>
  <c r="AT306"/>
  <c r="AU306" s="1"/>
  <c r="AR306"/>
  <c r="AS306" s="1"/>
  <c r="AQ306"/>
  <c r="AI306"/>
  <c r="AH306"/>
  <c r="AG306"/>
  <c r="AF306"/>
  <c r="AE306"/>
  <c r="AD306"/>
  <c r="AB306"/>
  <c r="AA306"/>
  <c r="Y306"/>
  <c r="AX305"/>
  <c r="AW305"/>
  <c r="AT305"/>
  <c r="AS305"/>
  <c r="AR305"/>
  <c r="AQ305"/>
  <c r="AI305"/>
  <c r="AH305"/>
  <c r="AG305"/>
  <c r="AF305"/>
  <c r="AE305"/>
  <c r="AD305"/>
  <c r="AB305"/>
  <c r="AA305"/>
  <c r="Y305"/>
  <c r="AX304"/>
  <c r="AW304"/>
  <c r="AR304"/>
  <c r="AS304" s="1"/>
  <c r="AQ304"/>
  <c r="AI304"/>
  <c r="AH304"/>
  <c r="AG304"/>
  <c r="AF304"/>
  <c r="AE304"/>
  <c r="AD304"/>
  <c r="AB304"/>
  <c r="AA304"/>
  <c r="Y304"/>
  <c r="AX303"/>
  <c r="AW303"/>
  <c r="AR303"/>
  <c r="AS303" s="1"/>
  <c r="AQ303"/>
  <c r="AI303"/>
  <c r="AH303"/>
  <c r="AG303"/>
  <c r="AF303"/>
  <c r="AE303"/>
  <c r="AD303"/>
  <c r="AB303"/>
  <c r="AA303"/>
  <c r="Y303"/>
  <c r="AX302"/>
  <c r="AW302"/>
  <c r="AR302"/>
  <c r="AS302" s="1"/>
  <c r="AQ302"/>
  <c r="AI302"/>
  <c r="AH302"/>
  <c r="AG302"/>
  <c r="AF302"/>
  <c r="AE302"/>
  <c r="AD302"/>
  <c r="AB302"/>
  <c r="AA302"/>
  <c r="Y302"/>
  <c r="AX301"/>
  <c r="AW301"/>
  <c r="AR301"/>
  <c r="AS301" s="1"/>
  <c r="AQ301"/>
  <c r="AI301"/>
  <c r="AH301"/>
  <c r="AG301"/>
  <c r="AF301"/>
  <c r="AE301"/>
  <c r="AD301"/>
  <c r="AB301"/>
  <c r="AA301"/>
  <c r="Y301"/>
  <c r="AX300"/>
  <c r="AW300"/>
  <c r="AT300"/>
  <c r="AU300" s="1"/>
  <c r="AR300"/>
  <c r="AS300" s="1"/>
  <c r="AQ300"/>
  <c r="AI300"/>
  <c r="AH300"/>
  <c r="AG300"/>
  <c r="AF300"/>
  <c r="AE300"/>
  <c r="AD300"/>
  <c r="AB300"/>
  <c r="AA300"/>
  <c r="Y300"/>
  <c r="AX299"/>
  <c r="AW299"/>
  <c r="AT299"/>
  <c r="AS299"/>
  <c r="AR299"/>
  <c r="AQ299"/>
  <c r="AI299"/>
  <c r="AH299"/>
  <c r="AG299"/>
  <c r="AF299"/>
  <c r="AE299"/>
  <c r="AD299"/>
  <c r="AB299"/>
  <c r="AA299"/>
  <c r="Y299"/>
  <c r="AX298"/>
  <c r="AW298"/>
  <c r="AV298"/>
  <c r="AT298"/>
  <c r="AU298" s="1"/>
  <c r="AR298"/>
  <c r="AS298" s="1"/>
  <c r="AQ298"/>
  <c r="AI298"/>
  <c r="AH298"/>
  <c r="AG298"/>
  <c r="AF298"/>
  <c r="AE298"/>
  <c r="AD298"/>
  <c r="AB298"/>
  <c r="AA298"/>
  <c r="Y298"/>
  <c r="AX297"/>
  <c r="AW297"/>
  <c r="AR297"/>
  <c r="AS297" s="1"/>
  <c r="AQ297"/>
  <c r="AI297"/>
  <c r="AH297"/>
  <c r="AG297"/>
  <c r="AF297"/>
  <c r="AE297"/>
  <c r="AD297"/>
  <c r="AB297"/>
  <c r="AA297"/>
  <c r="Y297"/>
  <c r="AX296"/>
  <c r="AW296"/>
  <c r="AT296"/>
  <c r="AU296" s="1"/>
  <c r="AR296"/>
  <c r="AS296" s="1"/>
  <c r="AQ296"/>
  <c r="AI296"/>
  <c r="AH296"/>
  <c r="AG296"/>
  <c r="AF296"/>
  <c r="AE296"/>
  <c r="AD296"/>
  <c r="AB296"/>
  <c r="AA296"/>
  <c r="Y296"/>
  <c r="AX295"/>
  <c r="AW295"/>
  <c r="AR295"/>
  <c r="AS295" s="1"/>
  <c r="AQ295"/>
  <c r="AI295"/>
  <c r="AH295"/>
  <c r="AG295"/>
  <c r="AF295"/>
  <c r="AE295"/>
  <c r="AD295"/>
  <c r="AB295"/>
  <c r="AA295"/>
  <c r="Y295"/>
  <c r="AX294"/>
  <c r="AW294"/>
  <c r="AT294"/>
  <c r="AR294"/>
  <c r="AS294" s="1"/>
  <c r="AQ294"/>
  <c r="AI294"/>
  <c r="AH294"/>
  <c r="AG294"/>
  <c r="AF294"/>
  <c r="AE294"/>
  <c r="AD294"/>
  <c r="AB294"/>
  <c r="AA294"/>
  <c r="Y294"/>
  <c r="AX293"/>
  <c r="AW293"/>
  <c r="AR293"/>
  <c r="AQ293"/>
  <c r="AI293"/>
  <c r="AH293"/>
  <c r="AG293"/>
  <c r="AF293"/>
  <c r="AE293"/>
  <c r="AD293"/>
  <c r="AB293"/>
  <c r="AA293"/>
  <c r="Y293"/>
  <c r="AX292"/>
  <c r="AW292"/>
  <c r="AT292"/>
  <c r="AR292"/>
  <c r="AS292" s="1"/>
  <c r="AQ292"/>
  <c r="AI292"/>
  <c r="AH292"/>
  <c r="AG292"/>
  <c r="AF292"/>
  <c r="AE292"/>
  <c r="AD292"/>
  <c r="AB292"/>
  <c r="AA292"/>
  <c r="Y292"/>
  <c r="AX291"/>
  <c r="AW291"/>
  <c r="AR291"/>
  <c r="AQ291"/>
  <c r="AI291"/>
  <c r="AH291"/>
  <c r="AG291"/>
  <c r="AF291"/>
  <c r="AE291"/>
  <c r="AD291"/>
  <c r="AB291"/>
  <c r="AA291"/>
  <c r="Y291"/>
  <c r="AX290"/>
  <c r="AW290"/>
  <c r="AT290"/>
  <c r="AR290"/>
  <c r="AS290" s="1"/>
  <c r="AQ290"/>
  <c r="AI290"/>
  <c r="AH290"/>
  <c r="AG290"/>
  <c r="AF290"/>
  <c r="AE290"/>
  <c r="AD290"/>
  <c r="AB290"/>
  <c r="AA290"/>
  <c r="Y290"/>
  <c r="AX289"/>
  <c r="AW289"/>
  <c r="AR289"/>
  <c r="AQ289"/>
  <c r="AI289"/>
  <c r="AH289"/>
  <c r="AG289"/>
  <c r="AF289"/>
  <c r="AE289"/>
  <c r="AD289"/>
  <c r="AB289"/>
  <c r="AA289"/>
  <c r="Y289"/>
  <c r="AX288"/>
  <c r="AW288"/>
  <c r="AT288"/>
  <c r="AR288"/>
  <c r="AS288" s="1"/>
  <c r="AQ288"/>
  <c r="AI288"/>
  <c r="AH288"/>
  <c r="AG288"/>
  <c r="AF288"/>
  <c r="AE288"/>
  <c r="AD288"/>
  <c r="AB288"/>
  <c r="AA288"/>
  <c r="Y288"/>
  <c r="AX287"/>
  <c r="AW287"/>
  <c r="AR287"/>
  <c r="AQ287"/>
  <c r="AI287"/>
  <c r="AH287"/>
  <c r="AG287"/>
  <c r="AF287"/>
  <c r="AE287"/>
  <c r="AD287"/>
  <c r="AB287"/>
  <c r="AA287"/>
  <c r="Y287"/>
  <c r="AX286"/>
  <c r="AW286"/>
  <c r="AT286"/>
  <c r="AR286"/>
  <c r="AS286" s="1"/>
  <c r="AQ286"/>
  <c r="AI286"/>
  <c r="AH286"/>
  <c r="AG286"/>
  <c r="AF286"/>
  <c r="AE286"/>
  <c r="AD286"/>
  <c r="AB286"/>
  <c r="AA286"/>
  <c r="Y286"/>
  <c r="AX285"/>
  <c r="AW285"/>
  <c r="AR285"/>
  <c r="AQ285"/>
  <c r="AI285"/>
  <c r="AH285"/>
  <c r="AG285"/>
  <c r="AF285"/>
  <c r="AE285"/>
  <c r="AD285"/>
  <c r="AB285"/>
  <c r="AA285"/>
  <c r="Y285"/>
  <c r="AX284"/>
  <c r="AW284"/>
  <c r="AT284"/>
  <c r="AR284"/>
  <c r="AS284" s="1"/>
  <c r="AQ284"/>
  <c r="AI284"/>
  <c r="AH284"/>
  <c r="AG284"/>
  <c r="AF284"/>
  <c r="AE284"/>
  <c r="AD284"/>
  <c r="AB284"/>
  <c r="AA284"/>
  <c r="Y284"/>
  <c r="AX283"/>
  <c r="AW283"/>
  <c r="AR283"/>
  <c r="AQ283"/>
  <c r="AI283"/>
  <c r="AH283"/>
  <c r="AG283"/>
  <c r="AF283"/>
  <c r="AE283"/>
  <c r="AD283"/>
  <c r="AB283"/>
  <c r="AA283"/>
  <c r="Y283"/>
  <c r="AX282"/>
  <c r="AW282"/>
  <c r="AT282"/>
  <c r="AR282"/>
  <c r="AS282" s="1"/>
  <c r="AQ282"/>
  <c r="AI282"/>
  <c r="AH282"/>
  <c r="AG282"/>
  <c r="AF282"/>
  <c r="AE282"/>
  <c r="AD282"/>
  <c r="AB282"/>
  <c r="AA282"/>
  <c r="Y282"/>
  <c r="AX281"/>
  <c r="AW281"/>
  <c r="AR281"/>
  <c r="AQ281"/>
  <c r="AI281"/>
  <c r="AH281"/>
  <c r="AG281"/>
  <c r="AF281"/>
  <c r="AE281"/>
  <c r="AD281"/>
  <c r="AB281"/>
  <c r="AA281"/>
  <c r="Y281"/>
  <c r="AX280"/>
  <c r="AW280"/>
  <c r="AT280"/>
  <c r="AR280"/>
  <c r="AS280" s="1"/>
  <c r="AQ280"/>
  <c r="AI280"/>
  <c r="AH280"/>
  <c r="AG280"/>
  <c r="AF280"/>
  <c r="AE280"/>
  <c r="AD280"/>
  <c r="AB280"/>
  <c r="AA280"/>
  <c r="Y280"/>
  <c r="AX279"/>
  <c r="AW279"/>
  <c r="AR279"/>
  <c r="AQ279"/>
  <c r="AI279"/>
  <c r="AH279"/>
  <c r="AG279"/>
  <c r="AF279"/>
  <c r="AE279"/>
  <c r="AD279"/>
  <c r="AB279"/>
  <c r="AA279"/>
  <c r="Y279"/>
  <c r="AX278"/>
  <c r="AW278"/>
  <c r="AT278"/>
  <c r="AR278"/>
  <c r="AS278" s="1"/>
  <c r="AQ278"/>
  <c r="AI278"/>
  <c r="AH278"/>
  <c r="AG278"/>
  <c r="AF278"/>
  <c r="AE278"/>
  <c r="AD278"/>
  <c r="AB278"/>
  <c r="AA278"/>
  <c r="Y278"/>
  <c r="AX277"/>
  <c r="AW277"/>
  <c r="AR277"/>
  <c r="AQ277"/>
  <c r="AI277"/>
  <c r="AH277"/>
  <c r="AG277"/>
  <c r="AF277"/>
  <c r="AE277"/>
  <c r="AD277"/>
  <c r="AB277"/>
  <c r="AA277"/>
  <c r="Y277"/>
  <c r="AX276"/>
  <c r="AW276"/>
  <c r="AT276"/>
  <c r="AR276"/>
  <c r="AS276" s="1"/>
  <c r="AQ276"/>
  <c r="AI276"/>
  <c r="AH276"/>
  <c r="AG276"/>
  <c r="AF276"/>
  <c r="AE276"/>
  <c r="AD276"/>
  <c r="AB276"/>
  <c r="AA276"/>
  <c r="Y276"/>
  <c r="AX275"/>
  <c r="AW275"/>
  <c r="AR275"/>
  <c r="AQ275"/>
  <c r="AI275"/>
  <c r="AH275"/>
  <c r="AG275"/>
  <c r="AF275"/>
  <c r="AE275"/>
  <c r="AD275"/>
  <c r="AB275"/>
  <c r="AA275"/>
  <c r="Y275"/>
  <c r="AX274"/>
  <c r="AW274"/>
  <c r="AT274"/>
  <c r="AR274"/>
  <c r="AS274" s="1"/>
  <c r="AQ274"/>
  <c r="AI274"/>
  <c r="AH274"/>
  <c r="AG274"/>
  <c r="AF274"/>
  <c r="AE274"/>
  <c r="AD274"/>
  <c r="AB274"/>
  <c r="AA274"/>
  <c r="Y274"/>
  <c r="AX273"/>
  <c r="AW273"/>
  <c r="AR273"/>
  <c r="AQ273"/>
  <c r="AI273"/>
  <c r="AH273"/>
  <c r="AG273"/>
  <c r="AF273"/>
  <c r="AE273"/>
  <c r="AD273"/>
  <c r="AB273"/>
  <c r="AA273"/>
  <c r="Y273"/>
  <c r="AX272"/>
  <c r="AW272"/>
  <c r="AR272"/>
  <c r="AS272" s="1"/>
  <c r="AQ272"/>
  <c r="AI272"/>
  <c r="AH272"/>
  <c r="AG272"/>
  <c r="AF272"/>
  <c r="AE272"/>
  <c r="AD272"/>
  <c r="AB272"/>
  <c r="AA272"/>
  <c r="Y272"/>
  <c r="AX271"/>
  <c r="AW271"/>
  <c r="AT271"/>
  <c r="AR271"/>
  <c r="AS271" s="1"/>
  <c r="AQ271"/>
  <c r="AI271"/>
  <c r="AH271"/>
  <c r="AG271"/>
  <c r="AF271"/>
  <c r="AE271"/>
  <c r="AD271"/>
  <c r="AB271"/>
  <c r="AA271"/>
  <c r="Y271"/>
  <c r="AX270"/>
  <c r="AW270"/>
  <c r="AR270"/>
  <c r="AS270" s="1"/>
  <c r="AQ270"/>
  <c r="AI270"/>
  <c r="AH270"/>
  <c r="AG270"/>
  <c r="AF270"/>
  <c r="AE270"/>
  <c r="AD270"/>
  <c r="AB270"/>
  <c r="AA270"/>
  <c r="Y270"/>
  <c r="AX269"/>
  <c r="AW269"/>
  <c r="AT269"/>
  <c r="AR269"/>
  <c r="AS269" s="1"/>
  <c r="AQ269"/>
  <c r="AI269"/>
  <c r="AH269"/>
  <c r="AG269"/>
  <c r="AF269"/>
  <c r="AE269"/>
  <c r="AD269"/>
  <c r="AB269"/>
  <c r="AA269"/>
  <c r="Y269"/>
  <c r="AX268"/>
  <c r="AW268"/>
  <c r="AR268"/>
  <c r="AS268" s="1"/>
  <c r="AQ268"/>
  <c r="AI268"/>
  <c r="AH268"/>
  <c r="AG268"/>
  <c r="AF268"/>
  <c r="AE268"/>
  <c r="AD268"/>
  <c r="AB268"/>
  <c r="AA268"/>
  <c r="Y268"/>
  <c r="AX267"/>
  <c r="AW267"/>
  <c r="AT267"/>
  <c r="AR267"/>
  <c r="AS267" s="1"/>
  <c r="AQ267"/>
  <c r="AI267"/>
  <c r="AH267"/>
  <c r="AG267"/>
  <c r="AF267"/>
  <c r="AE267"/>
  <c r="AD267"/>
  <c r="AB267"/>
  <c r="AA267"/>
  <c r="Y267"/>
  <c r="AX266"/>
  <c r="AW266"/>
  <c r="AR266"/>
  <c r="AS266" s="1"/>
  <c r="AQ266"/>
  <c r="AI266"/>
  <c r="AH266"/>
  <c r="AG266"/>
  <c r="AF266"/>
  <c r="AE266"/>
  <c r="AD266"/>
  <c r="AB266"/>
  <c r="AA266"/>
  <c r="Y266"/>
  <c r="AX265"/>
  <c r="AW265"/>
  <c r="AT265"/>
  <c r="AR265"/>
  <c r="AS265" s="1"/>
  <c r="AQ265"/>
  <c r="AI265"/>
  <c r="AH265"/>
  <c r="AG265"/>
  <c r="AF265"/>
  <c r="AE265"/>
  <c r="AD265"/>
  <c r="AB265"/>
  <c r="AA265"/>
  <c r="Y265"/>
  <c r="AX264"/>
  <c r="AW264"/>
  <c r="AR264"/>
  <c r="AS264" s="1"/>
  <c r="AQ264"/>
  <c r="AI264"/>
  <c r="AH264"/>
  <c r="AG264"/>
  <c r="AF264"/>
  <c r="AE264"/>
  <c r="AD264"/>
  <c r="AB264"/>
  <c r="AA264"/>
  <c r="Y264"/>
  <c r="AX263"/>
  <c r="AW263"/>
  <c r="AT263"/>
  <c r="AR263"/>
  <c r="AS263" s="1"/>
  <c r="AQ263"/>
  <c r="AI263"/>
  <c r="AH263"/>
  <c r="AG263"/>
  <c r="AF263"/>
  <c r="AE263"/>
  <c r="AD263"/>
  <c r="AB263"/>
  <c r="AA263"/>
  <c r="Y263"/>
  <c r="AX262"/>
  <c r="AW262"/>
  <c r="AR262"/>
  <c r="AS262" s="1"/>
  <c r="AQ262"/>
  <c r="AI262"/>
  <c r="AH262"/>
  <c r="AG262"/>
  <c r="AF262"/>
  <c r="AE262"/>
  <c r="AD262"/>
  <c r="AB262"/>
  <c r="AA262"/>
  <c r="Y262"/>
  <c r="AX261"/>
  <c r="AW261"/>
  <c r="AT261"/>
  <c r="AR261"/>
  <c r="AS261" s="1"/>
  <c r="AQ261"/>
  <c r="AI261"/>
  <c r="AH261"/>
  <c r="AG261"/>
  <c r="AF261"/>
  <c r="AE261"/>
  <c r="AD261"/>
  <c r="AB261"/>
  <c r="AA261"/>
  <c r="Y261"/>
  <c r="AX260"/>
  <c r="AW260"/>
  <c r="AR260"/>
  <c r="AS260" s="1"/>
  <c r="AQ260"/>
  <c r="AI260"/>
  <c r="AH260"/>
  <c r="AG260"/>
  <c r="AF260"/>
  <c r="AE260"/>
  <c r="AD260"/>
  <c r="AB260"/>
  <c r="AA260"/>
  <c r="Y260"/>
  <c r="AX259"/>
  <c r="AW259"/>
  <c r="AT259"/>
  <c r="AR259"/>
  <c r="AS259" s="1"/>
  <c r="AQ259"/>
  <c r="AI259"/>
  <c r="AH259"/>
  <c r="AG259"/>
  <c r="AF259"/>
  <c r="AE259"/>
  <c r="AD259"/>
  <c r="AB259"/>
  <c r="AA259"/>
  <c r="Y259"/>
  <c r="AX258"/>
  <c r="AW258"/>
  <c r="AR258"/>
  <c r="AS258" s="1"/>
  <c r="AQ258"/>
  <c r="AI258"/>
  <c r="AH258"/>
  <c r="AG258"/>
  <c r="AF258"/>
  <c r="AE258"/>
  <c r="AD258"/>
  <c r="AB258"/>
  <c r="AA258"/>
  <c r="Y258"/>
  <c r="AX257"/>
  <c r="AW257"/>
  <c r="AT257"/>
  <c r="AR257"/>
  <c r="AS257" s="1"/>
  <c r="AQ257"/>
  <c r="AI257"/>
  <c r="AH257"/>
  <c r="AG257"/>
  <c r="AF257"/>
  <c r="AE257"/>
  <c r="AD257"/>
  <c r="AB257"/>
  <c r="AA257"/>
  <c r="Y257"/>
  <c r="AX256"/>
  <c r="AW256"/>
  <c r="AR256"/>
  <c r="AS256" s="1"/>
  <c r="AQ256"/>
  <c r="AI256"/>
  <c r="AH256"/>
  <c r="AG256"/>
  <c r="AF256"/>
  <c r="AE256"/>
  <c r="AD256"/>
  <c r="AB256"/>
  <c r="AA256"/>
  <c r="Y256"/>
  <c r="AX255"/>
  <c r="AW255"/>
  <c r="AT255"/>
  <c r="AR255"/>
  <c r="AS255" s="1"/>
  <c r="AQ255"/>
  <c r="AI255"/>
  <c r="AH255"/>
  <c r="AG255"/>
  <c r="AF255"/>
  <c r="AE255"/>
  <c r="AD255"/>
  <c r="AB255"/>
  <c r="AA255"/>
  <c r="Y255"/>
  <c r="AX254"/>
  <c r="AW254"/>
  <c r="AR254"/>
  <c r="AS254" s="1"/>
  <c r="AQ254"/>
  <c r="AI254"/>
  <c r="AH254"/>
  <c r="AG254"/>
  <c r="AF254"/>
  <c r="AE254"/>
  <c r="AD254"/>
  <c r="AB254"/>
  <c r="AA254"/>
  <c r="Y254"/>
  <c r="AX253"/>
  <c r="AW253"/>
  <c r="AT253"/>
  <c r="AR253"/>
  <c r="AS253" s="1"/>
  <c r="AQ253"/>
  <c r="AI253"/>
  <c r="AH253"/>
  <c r="AG253"/>
  <c r="AF253"/>
  <c r="AE253"/>
  <c r="AD253"/>
  <c r="AB253"/>
  <c r="AA253"/>
  <c r="Y253"/>
  <c r="AX252"/>
  <c r="AW252"/>
  <c r="AR252"/>
  <c r="AS252" s="1"/>
  <c r="AQ252"/>
  <c r="AI252"/>
  <c r="AH252"/>
  <c r="AG252"/>
  <c r="AF252"/>
  <c r="AE252"/>
  <c r="AD252"/>
  <c r="AB252"/>
  <c r="AA252"/>
  <c r="Y252"/>
  <c r="AX251"/>
  <c r="AW251"/>
  <c r="AT251"/>
  <c r="AR251"/>
  <c r="AS251" s="1"/>
  <c r="AQ251"/>
  <c r="AI251"/>
  <c r="AH251"/>
  <c r="AG251"/>
  <c r="AF251"/>
  <c r="AE251"/>
  <c r="AD251"/>
  <c r="AB251"/>
  <c r="AA251"/>
  <c r="Y251"/>
  <c r="AX250"/>
  <c r="AW250"/>
  <c r="AR250"/>
  <c r="AS250" s="1"/>
  <c r="AQ250"/>
  <c r="AI250"/>
  <c r="AH250"/>
  <c r="AG250"/>
  <c r="AF250"/>
  <c r="AE250"/>
  <c r="AD250"/>
  <c r="AB250"/>
  <c r="AA250"/>
  <c r="Y250"/>
  <c r="AX249"/>
  <c r="AW249"/>
  <c r="AR249"/>
  <c r="AS249" s="1"/>
  <c r="AQ249"/>
  <c r="AI249"/>
  <c r="AH249"/>
  <c r="AG249"/>
  <c r="AF249"/>
  <c r="AE249"/>
  <c r="AD249"/>
  <c r="AB249"/>
  <c r="AA249"/>
  <c r="Y249"/>
  <c r="AX248"/>
  <c r="AW248"/>
  <c r="AR248"/>
  <c r="AS248" s="1"/>
  <c r="AQ248"/>
  <c r="AI248"/>
  <c r="AH248"/>
  <c r="AG248"/>
  <c r="AF248"/>
  <c r="AE248"/>
  <c r="AD248"/>
  <c r="AB248"/>
  <c r="AA248"/>
  <c r="Y248"/>
  <c r="AX247"/>
  <c r="AW247"/>
  <c r="AT247"/>
  <c r="AR247"/>
  <c r="AS247" s="1"/>
  <c r="AQ247"/>
  <c r="AI247"/>
  <c r="AH247"/>
  <c r="AG247"/>
  <c r="AF247"/>
  <c r="AE247"/>
  <c r="AD247"/>
  <c r="AB247"/>
  <c r="AA247"/>
  <c r="Y247"/>
  <c r="AX246"/>
  <c r="AW246"/>
  <c r="AR246"/>
  <c r="AS246" s="1"/>
  <c r="AQ246"/>
  <c r="AI246"/>
  <c r="AH246"/>
  <c r="AG246"/>
  <c r="AF246"/>
  <c r="AE246"/>
  <c r="AD246"/>
  <c r="AB246"/>
  <c r="AA246"/>
  <c r="Y246"/>
  <c r="AX245"/>
  <c r="AW245"/>
  <c r="AT245"/>
  <c r="AR245"/>
  <c r="AS245" s="1"/>
  <c r="AQ245"/>
  <c r="AI245"/>
  <c r="AH245"/>
  <c r="AG245"/>
  <c r="AF245"/>
  <c r="AE245"/>
  <c r="AD245"/>
  <c r="AB245"/>
  <c r="AA245"/>
  <c r="Y245"/>
  <c r="AX244"/>
  <c r="AW244"/>
  <c r="AR244"/>
  <c r="AS244" s="1"/>
  <c r="AQ244"/>
  <c r="AI244"/>
  <c r="AH244"/>
  <c r="AG244"/>
  <c r="AF244"/>
  <c r="AE244"/>
  <c r="AD244"/>
  <c r="AB244"/>
  <c r="AA244"/>
  <c r="Y244"/>
  <c r="AX243"/>
  <c r="AW243"/>
  <c r="AT243"/>
  <c r="AR243"/>
  <c r="AS243" s="1"/>
  <c r="AQ243"/>
  <c r="AI243"/>
  <c r="AH243"/>
  <c r="AG243"/>
  <c r="AF243"/>
  <c r="AE243"/>
  <c r="AD243"/>
  <c r="AB243"/>
  <c r="AA243"/>
  <c r="Y243"/>
  <c r="AX242"/>
  <c r="AW242"/>
  <c r="AR242"/>
  <c r="AS242" s="1"/>
  <c r="AQ242"/>
  <c r="AI242"/>
  <c r="AH242"/>
  <c r="AG242"/>
  <c r="AF242"/>
  <c r="AE242"/>
  <c r="AD242"/>
  <c r="AB242"/>
  <c r="AA242"/>
  <c r="Y242"/>
  <c r="AX241"/>
  <c r="AW241"/>
  <c r="AT241"/>
  <c r="AR241"/>
  <c r="AS241" s="1"/>
  <c r="AQ241"/>
  <c r="AI241"/>
  <c r="AH241"/>
  <c r="AG241"/>
  <c r="AF241"/>
  <c r="AE241"/>
  <c r="AD241"/>
  <c r="AB241"/>
  <c r="AA241"/>
  <c r="Y241"/>
  <c r="AX240"/>
  <c r="AW240"/>
  <c r="AR240"/>
  <c r="AS240" s="1"/>
  <c r="AQ240"/>
  <c r="AI240"/>
  <c r="AH240"/>
  <c r="AG240"/>
  <c r="AF240"/>
  <c r="AE240"/>
  <c r="AD240"/>
  <c r="AB240"/>
  <c r="AA240"/>
  <c r="Y240"/>
  <c r="AX239"/>
  <c r="AW239"/>
  <c r="AT239"/>
  <c r="AR239"/>
  <c r="AS239" s="1"/>
  <c r="AQ239"/>
  <c r="AI239"/>
  <c r="AH239"/>
  <c r="AG239"/>
  <c r="AF239"/>
  <c r="AE239"/>
  <c r="AD239"/>
  <c r="AB239"/>
  <c r="AA239"/>
  <c r="Y239"/>
  <c r="AX238"/>
  <c r="AW238"/>
  <c r="AR238"/>
  <c r="AS238" s="1"/>
  <c r="AQ238"/>
  <c r="AI238"/>
  <c r="AH238"/>
  <c r="AG238"/>
  <c r="AF238"/>
  <c r="AE238"/>
  <c r="AD238"/>
  <c r="AB238"/>
  <c r="AA238"/>
  <c r="Y238"/>
  <c r="AX237"/>
  <c r="AW237"/>
  <c r="AT237"/>
  <c r="AR237"/>
  <c r="AS237" s="1"/>
  <c r="AQ237"/>
  <c r="AI237"/>
  <c r="AH237"/>
  <c r="AG237"/>
  <c r="AF237"/>
  <c r="AE237"/>
  <c r="AD237"/>
  <c r="AB237"/>
  <c r="AA237"/>
  <c r="Y237"/>
  <c r="AX236"/>
  <c r="AW236"/>
  <c r="AR236"/>
  <c r="AS236" s="1"/>
  <c r="AQ236"/>
  <c r="AI236"/>
  <c r="AH236"/>
  <c r="AG236"/>
  <c r="AF236"/>
  <c r="AE236"/>
  <c r="AD236"/>
  <c r="AB236"/>
  <c r="AA236"/>
  <c r="Y236"/>
  <c r="AX235"/>
  <c r="AW235"/>
  <c r="AT235"/>
  <c r="AR235"/>
  <c r="AS235" s="1"/>
  <c r="AQ235"/>
  <c r="AI235"/>
  <c r="AH235"/>
  <c r="AG235"/>
  <c r="AF235"/>
  <c r="AE235"/>
  <c r="AD235"/>
  <c r="AB235"/>
  <c r="AA235"/>
  <c r="Y235"/>
  <c r="AX234"/>
  <c r="AW234"/>
  <c r="AR234"/>
  <c r="AS234" s="1"/>
  <c r="AQ234"/>
  <c r="AI234"/>
  <c r="AH234"/>
  <c r="AG234"/>
  <c r="AF234"/>
  <c r="AE234"/>
  <c r="AD234"/>
  <c r="AB234"/>
  <c r="AA234"/>
  <c r="Y234"/>
  <c r="AX233"/>
  <c r="AW233"/>
  <c r="AT233"/>
  <c r="AR233"/>
  <c r="AS233" s="1"/>
  <c r="AQ233"/>
  <c r="AI233"/>
  <c r="AH233"/>
  <c r="AG233"/>
  <c r="AF233"/>
  <c r="AE233"/>
  <c r="AD233"/>
  <c r="AB233"/>
  <c r="AA233"/>
  <c r="Y233"/>
  <c r="AX232"/>
  <c r="AW232"/>
  <c r="AR232"/>
  <c r="AS232" s="1"/>
  <c r="AQ232"/>
  <c r="AI232"/>
  <c r="AH232"/>
  <c r="AG232"/>
  <c r="AF232"/>
  <c r="AE232"/>
  <c r="AD232"/>
  <c r="AB232"/>
  <c r="AA232"/>
  <c r="Y232"/>
  <c r="AX231"/>
  <c r="AW231"/>
  <c r="AT231"/>
  <c r="AR231"/>
  <c r="AS231" s="1"/>
  <c r="AQ231"/>
  <c r="AI231"/>
  <c r="AH231"/>
  <c r="AG231"/>
  <c r="AF231"/>
  <c r="AE231"/>
  <c r="AD231"/>
  <c r="AB231"/>
  <c r="AA231"/>
  <c r="Y231"/>
  <c r="AX230"/>
  <c r="AW230"/>
  <c r="AR230"/>
  <c r="AS230" s="1"/>
  <c r="AQ230"/>
  <c r="AI230"/>
  <c r="AH230"/>
  <c r="AG230"/>
  <c r="AF230"/>
  <c r="AE230"/>
  <c r="AD230"/>
  <c r="AB230"/>
  <c r="AA230"/>
  <c r="Y230"/>
  <c r="AX229"/>
  <c r="AW229"/>
  <c r="AT229"/>
  <c r="AR229"/>
  <c r="AS229" s="1"/>
  <c r="AQ229"/>
  <c r="AI229"/>
  <c r="AH229"/>
  <c r="AG229"/>
  <c r="AF229"/>
  <c r="AE229"/>
  <c r="AD229"/>
  <c r="AB229"/>
  <c r="AA229"/>
  <c r="Y229"/>
  <c r="AX228"/>
  <c r="AW228"/>
  <c r="AR228"/>
  <c r="AS228" s="1"/>
  <c r="AQ228"/>
  <c r="AI228"/>
  <c r="AH228"/>
  <c r="AG228"/>
  <c r="AF228"/>
  <c r="AE228"/>
  <c r="AD228"/>
  <c r="AB228"/>
  <c r="AA228"/>
  <c r="Y228"/>
  <c r="AX227"/>
  <c r="AW227"/>
  <c r="AT227"/>
  <c r="AR227"/>
  <c r="AS227" s="1"/>
  <c r="AQ227"/>
  <c r="AI227"/>
  <c r="AH227"/>
  <c r="AG227"/>
  <c r="AF227"/>
  <c r="AE227"/>
  <c r="AD227"/>
  <c r="AB227"/>
  <c r="AA227"/>
  <c r="Y227"/>
  <c r="AX226"/>
  <c r="AW226"/>
  <c r="AR226"/>
  <c r="AS226" s="1"/>
  <c r="AQ226"/>
  <c r="AI226"/>
  <c r="AH226"/>
  <c r="AG226"/>
  <c r="AF226"/>
  <c r="AE226"/>
  <c r="AD226"/>
  <c r="AB226"/>
  <c r="AA226"/>
  <c r="Y226"/>
  <c r="AX225"/>
  <c r="AW225"/>
  <c r="AT225"/>
  <c r="AR225"/>
  <c r="AS225" s="1"/>
  <c r="AQ225"/>
  <c r="AI225"/>
  <c r="AH225"/>
  <c r="AG225"/>
  <c r="AF225"/>
  <c r="AE225"/>
  <c r="AD225"/>
  <c r="AB225"/>
  <c r="AA225"/>
  <c r="Y225"/>
  <c r="AX224"/>
  <c r="AW224"/>
  <c r="AR224"/>
  <c r="AS224" s="1"/>
  <c r="AQ224"/>
  <c r="AI224"/>
  <c r="AH224"/>
  <c r="AG224"/>
  <c r="AF224"/>
  <c r="AE224"/>
  <c r="AD224"/>
  <c r="AB224"/>
  <c r="AA224"/>
  <c r="Y224"/>
  <c r="AX223"/>
  <c r="AW223"/>
  <c r="AT223"/>
  <c r="AR223"/>
  <c r="AS223" s="1"/>
  <c r="AQ223"/>
  <c r="AI223"/>
  <c r="AH223"/>
  <c r="AG223"/>
  <c r="AF223"/>
  <c r="AE223"/>
  <c r="AD223"/>
  <c r="AB223"/>
  <c r="AA223"/>
  <c r="Y223"/>
  <c r="AX222"/>
  <c r="AW222"/>
  <c r="AR222"/>
  <c r="AS222" s="1"/>
  <c r="AQ222"/>
  <c r="AI222"/>
  <c r="AH222"/>
  <c r="AG222"/>
  <c r="AF222"/>
  <c r="AE222"/>
  <c r="AD222"/>
  <c r="AB222"/>
  <c r="AA222"/>
  <c r="Y222"/>
  <c r="AX221"/>
  <c r="AW221"/>
  <c r="AT221"/>
  <c r="AR221"/>
  <c r="AS221" s="1"/>
  <c r="AQ221"/>
  <c r="AI221"/>
  <c r="AH221"/>
  <c r="AG221"/>
  <c r="AF221"/>
  <c r="AE221"/>
  <c r="AD221"/>
  <c r="AB221"/>
  <c r="AA221"/>
  <c r="Y221"/>
  <c r="AX220"/>
  <c r="AW220"/>
  <c r="AR220"/>
  <c r="AS220" s="1"/>
  <c r="AQ220"/>
  <c r="AI220"/>
  <c r="AH220"/>
  <c r="AG220"/>
  <c r="AF220"/>
  <c r="AE220"/>
  <c r="AD220"/>
  <c r="AB220"/>
  <c r="AA220"/>
  <c r="Y220"/>
  <c r="AX219"/>
  <c r="AW219"/>
  <c r="AT219"/>
  <c r="AR219"/>
  <c r="AS219" s="1"/>
  <c r="AQ219"/>
  <c r="AI219"/>
  <c r="AH219"/>
  <c r="AG219"/>
  <c r="AF219"/>
  <c r="AE219"/>
  <c r="AD219"/>
  <c r="AB219"/>
  <c r="AA219"/>
  <c r="Y219"/>
  <c r="AX218"/>
  <c r="AW218"/>
  <c r="AR218"/>
  <c r="AS218" s="1"/>
  <c r="AQ218"/>
  <c r="AI218"/>
  <c r="AH218"/>
  <c r="AG218"/>
  <c r="AF218"/>
  <c r="AE218"/>
  <c r="AD218"/>
  <c r="AB218"/>
  <c r="AA218"/>
  <c r="Y218"/>
  <c r="AX217"/>
  <c r="AW217"/>
  <c r="AT217"/>
  <c r="AR217"/>
  <c r="AS217" s="1"/>
  <c r="AQ217"/>
  <c r="AI217"/>
  <c r="AH217"/>
  <c r="AG217"/>
  <c r="AF217"/>
  <c r="AE217"/>
  <c r="AD217"/>
  <c r="AB217"/>
  <c r="AA217"/>
  <c r="Y217"/>
  <c r="AX216"/>
  <c r="AW216"/>
  <c r="AR216"/>
  <c r="AS216" s="1"/>
  <c r="AQ216"/>
  <c r="AI216"/>
  <c r="AH216"/>
  <c r="AG216"/>
  <c r="AF216"/>
  <c r="AE216"/>
  <c r="AD216"/>
  <c r="AB216"/>
  <c r="AA216"/>
  <c r="Y216"/>
  <c r="AX215"/>
  <c r="AW215"/>
  <c r="AT215"/>
  <c r="AR215"/>
  <c r="AS215" s="1"/>
  <c r="AQ215"/>
  <c r="AI215"/>
  <c r="AH215"/>
  <c r="AG215"/>
  <c r="AF215"/>
  <c r="AE215"/>
  <c r="AD215"/>
  <c r="AB215"/>
  <c r="AA215"/>
  <c r="Y215"/>
  <c r="AX214"/>
  <c r="AW214"/>
  <c r="AR214"/>
  <c r="AS214" s="1"/>
  <c r="AQ214"/>
  <c r="AI214"/>
  <c r="AH214"/>
  <c r="AG214"/>
  <c r="AF214"/>
  <c r="AE214"/>
  <c r="AD214"/>
  <c r="AB214"/>
  <c r="AA214"/>
  <c r="Y214"/>
  <c r="AX213"/>
  <c r="AW213"/>
  <c r="AT213"/>
  <c r="AR213"/>
  <c r="AS213" s="1"/>
  <c r="AQ213"/>
  <c r="AI213"/>
  <c r="AH213"/>
  <c r="AG213"/>
  <c r="AF213"/>
  <c r="AE213"/>
  <c r="AD213"/>
  <c r="AB213"/>
  <c r="AA213"/>
  <c r="Y213"/>
  <c r="AX212"/>
  <c r="AW212"/>
  <c r="AR212"/>
  <c r="AS212" s="1"/>
  <c r="AQ212"/>
  <c r="AI212"/>
  <c r="AH212"/>
  <c r="AG212"/>
  <c r="AF212"/>
  <c r="AE212"/>
  <c r="AD212"/>
  <c r="AB212"/>
  <c r="AA212"/>
  <c r="Y212"/>
  <c r="AX211"/>
  <c r="AW211"/>
  <c r="AT211"/>
  <c r="AR211"/>
  <c r="AS211" s="1"/>
  <c r="AQ211"/>
  <c r="AI211"/>
  <c r="AH211"/>
  <c r="AG211"/>
  <c r="AF211"/>
  <c r="AE211"/>
  <c r="AD211"/>
  <c r="AB211"/>
  <c r="AA211"/>
  <c r="Y211"/>
  <c r="AX210"/>
  <c r="AW210"/>
  <c r="AR210"/>
  <c r="AS210" s="1"/>
  <c r="AQ210"/>
  <c r="AI210"/>
  <c r="AH210"/>
  <c r="AG210"/>
  <c r="AF210"/>
  <c r="AE210"/>
  <c r="AD210"/>
  <c r="AB210"/>
  <c r="AA210"/>
  <c r="Y210"/>
  <c r="AX209"/>
  <c r="AW209"/>
  <c r="AT209"/>
  <c r="AR209"/>
  <c r="AS209" s="1"/>
  <c r="AQ209"/>
  <c r="AI209"/>
  <c r="AH209"/>
  <c r="AG209"/>
  <c r="AF209"/>
  <c r="AE209"/>
  <c r="AD209"/>
  <c r="AB209"/>
  <c r="AA209"/>
  <c r="Y209"/>
  <c r="AX208"/>
  <c r="AW208"/>
  <c r="AU208"/>
  <c r="AS208"/>
  <c r="AQ208"/>
  <c r="AR208" s="1"/>
  <c r="AT208" s="1"/>
  <c r="AV208" s="1"/>
  <c r="AI208"/>
  <c r="AH208"/>
  <c r="AG208"/>
  <c r="AF208"/>
  <c r="AE208"/>
  <c r="AD208"/>
  <c r="AB208"/>
  <c r="AA208"/>
  <c r="Y208"/>
  <c r="AX207"/>
  <c r="AW207"/>
  <c r="AU207"/>
  <c r="AS207"/>
  <c r="AQ207"/>
  <c r="AR207" s="1"/>
  <c r="AT207" s="1"/>
  <c r="AV207" s="1"/>
  <c r="AI207"/>
  <c r="AH207"/>
  <c r="AG207"/>
  <c r="AF207"/>
  <c r="AE207"/>
  <c r="AD207"/>
  <c r="AB207"/>
  <c r="AA207"/>
  <c r="Y207"/>
  <c r="AX206"/>
  <c r="AW206"/>
  <c r="AU206"/>
  <c r="AS206"/>
  <c r="AQ206"/>
  <c r="AR206" s="1"/>
  <c r="AT206" s="1"/>
  <c r="AV206" s="1"/>
  <c r="AI206"/>
  <c r="AH206"/>
  <c r="AG206"/>
  <c r="AF206"/>
  <c r="AE206"/>
  <c r="AD206"/>
  <c r="AB206"/>
  <c r="AA206"/>
  <c r="Y206"/>
  <c r="AX205"/>
  <c r="AW205"/>
  <c r="AU205"/>
  <c r="AS205"/>
  <c r="AQ205"/>
  <c r="AR205" s="1"/>
  <c r="AT205" s="1"/>
  <c r="AV205" s="1"/>
  <c r="AI205"/>
  <c r="AH205"/>
  <c r="AG205"/>
  <c r="AF205"/>
  <c r="AE205"/>
  <c r="AD205"/>
  <c r="AB205"/>
  <c r="AA205"/>
  <c r="Y205"/>
  <c r="AX204"/>
  <c r="AW204"/>
  <c r="AU204"/>
  <c r="AS204"/>
  <c r="AQ204"/>
  <c r="AR204" s="1"/>
  <c r="AT204" s="1"/>
  <c r="AV204" s="1"/>
  <c r="AI204"/>
  <c r="AH204"/>
  <c r="AG204"/>
  <c r="AF204"/>
  <c r="AE204"/>
  <c r="AD204"/>
  <c r="AB204"/>
  <c r="AA204"/>
  <c r="Y204"/>
  <c r="AX203"/>
  <c r="AW203"/>
  <c r="AU203"/>
  <c r="AS203"/>
  <c r="AQ203"/>
  <c r="AR203" s="1"/>
  <c r="AT203" s="1"/>
  <c r="AV203" s="1"/>
  <c r="AI203"/>
  <c r="AH203"/>
  <c r="AG203"/>
  <c r="AF203"/>
  <c r="AE203"/>
  <c r="AD203"/>
  <c r="AB203"/>
  <c r="AA203"/>
  <c r="Y203"/>
  <c r="AX202"/>
  <c r="AW202"/>
  <c r="AU202"/>
  <c r="AS202"/>
  <c r="AQ202"/>
  <c r="AR202" s="1"/>
  <c r="AT202" s="1"/>
  <c r="AV202" s="1"/>
  <c r="AI202"/>
  <c r="AH202"/>
  <c r="AG202"/>
  <c r="AF202"/>
  <c r="AE202"/>
  <c r="AD202"/>
  <c r="AB202"/>
  <c r="AA202"/>
  <c r="Y202"/>
  <c r="AX201"/>
  <c r="AW201"/>
  <c r="AU201"/>
  <c r="AS201"/>
  <c r="AQ201"/>
  <c r="AR201" s="1"/>
  <c r="AT201" s="1"/>
  <c r="AV201" s="1"/>
  <c r="AI201"/>
  <c r="AH201"/>
  <c r="AG201"/>
  <c r="AF201"/>
  <c r="AE201"/>
  <c r="AD201"/>
  <c r="AB201"/>
  <c r="AA201"/>
  <c r="Y201"/>
  <c r="AX200"/>
  <c r="AW200"/>
  <c r="AU200"/>
  <c r="AS200"/>
  <c r="AQ200"/>
  <c r="AR200" s="1"/>
  <c r="AT200" s="1"/>
  <c r="AV200" s="1"/>
  <c r="AI200"/>
  <c r="AH200"/>
  <c r="AG200"/>
  <c r="AF200"/>
  <c r="AE200"/>
  <c r="AD200"/>
  <c r="AB200"/>
  <c r="AA200"/>
  <c r="Y200"/>
  <c r="AX199"/>
  <c r="AW199"/>
  <c r="AU199"/>
  <c r="AS199"/>
  <c r="AQ199"/>
  <c r="AR199" s="1"/>
  <c r="AT199" s="1"/>
  <c r="AV199" s="1"/>
  <c r="AI199"/>
  <c r="AH199"/>
  <c r="AG199"/>
  <c r="AF199"/>
  <c r="AE199"/>
  <c r="AD199"/>
  <c r="AB199"/>
  <c r="AA199"/>
  <c r="Y199"/>
  <c r="AX198"/>
  <c r="AW198"/>
  <c r="AU198"/>
  <c r="AS198"/>
  <c r="AQ198"/>
  <c r="AR198" s="1"/>
  <c r="AT198" s="1"/>
  <c r="AV198" s="1"/>
  <c r="AI198"/>
  <c r="AH198"/>
  <c r="AG198"/>
  <c r="AF198"/>
  <c r="AE198"/>
  <c r="AD198"/>
  <c r="AB198"/>
  <c r="AA198"/>
  <c r="Y198"/>
  <c r="AX197"/>
  <c r="AW197"/>
  <c r="AU197"/>
  <c r="AS197"/>
  <c r="AQ197"/>
  <c r="AR197" s="1"/>
  <c r="AT197" s="1"/>
  <c r="AV197" s="1"/>
  <c r="AI197"/>
  <c r="AH197"/>
  <c r="AG197"/>
  <c r="AF197"/>
  <c r="AE197"/>
  <c r="AD197"/>
  <c r="AB197"/>
  <c r="AA197"/>
  <c r="Y197"/>
  <c r="AX196"/>
  <c r="AW196"/>
  <c r="AQ196"/>
  <c r="AR196" s="1"/>
  <c r="AS196" s="1"/>
  <c r="AI196"/>
  <c r="AH196"/>
  <c r="AG196"/>
  <c r="AF196"/>
  <c r="AE196"/>
  <c r="AD196"/>
  <c r="AB196"/>
  <c r="AA196"/>
  <c r="Y196"/>
  <c r="AX195"/>
  <c r="AW195"/>
  <c r="AS195"/>
  <c r="AQ195"/>
  <c r="AR195" s="1"/>
  <c r="AT195" s="1"/>
  <c r="AI195"/>
  <c r="AH195"/>
  <c r="AG195"/>
  <c r="AF195"/>
  <c r="AE195"/>
  <c r="AD195"/>
  <c r="AB195"/>
  <c r="AA195"/>
  <c r="Y195"/>
  <c r="AX194"/>
  <c r="AW194"/>
  <c r="AT194"/>
  <c r="AV194" s="1"/>
  <c r="AS194"/>
  <c r="AQ194"/>
  <c r="AR194" s="1"/>
  <c r="AI194"/>
  <c r="AH194"/>
  <c r="AG194"/>
  <c r="AF194"/>
  <c r="AE194"/>
  <c r="AD194"/>
  <c r="AB194"/>
  <c r="AA194"/>
  <c r="Y194"/>
  <c r="AX193"/>
  <c r="AW193"/>
  <c r="AU193"/>
  <c r="AT193"/>
  <c r="AV193" s="1"/>
  <c r="AS193"/>
  <c r="AQ193"/>
  <c r="AR193" s="1"/>
  <c r="AI193"/>
  <c r="AH193"/>
  <c r="AG193"/>
  <c r="AF193"/>
  <c r="AE193"/>
  <c r="AD193"/>
  <c r="AB193"/>
  <c r="AA193"/>
  <c r="Y193"/>
  <c r="AX192"/>
  <c r="AW192"/>
  <c r="AQ192"/>
  <c r="AR192" s="1"/>
  <c r="AS192" s="1"/>
  <c r="AI192"/>
  <c r="AH192"/>
  <c r="AG192"/>
  <c r="AF192"/>
  <c r="AE192"/>
  <c r="AD192"/>
  <c r="AB192"/>
  <c r="AA192"/>
  <c r="Y192"/>
  <c r="AX191"/>
  <c r="AW191"/>
  <c r="AS191"/>
  <c r="AQ191"/>
  <c r="AR191" s="1"/>
  <c r="AT191" s="1"/>
  <c r="AI191"/>
  <c r="AH191"/>
  <c r="AG191"/>
  <c r="AF191"/>
  <c r="AE191"/>
  <c r="AD191"/>
  <c r="AB191"/>
  <c r="AA191"/>
  <c r="Y191"/>
  <c r="AX190"/>
  <c r="AW190"/>
  <c r="AT190"/>
  <c r="AV190" s="1"/>
  <c r="AS190"/>
  <c r="AQ190"/>
  <c r="AR190" s="1"/>
  <c r="AI190"/>
  <c r="AH190"/>
  <c r="AG190"/>
  <c r="AF190"/>
  <c r="AE190"/>
  <c r="AD190"/>
  <c r="AB190"/>
  <c r="AA190"/>
  <c r="Y190"/>
  <c r="AX189"/>
  <c r="AW189"/>
  <c r="AU189"/>
  <c r="AT189"/>
  <c r="AV189" s="1"/>
  <c r="AS189"/>
  <c r="AQ189"/>
  <c r="AR189" s="1"/>
  <c r="AI189"/>
  <c r="AH189"/>
  <c r="AG189"/>
  <c r="AF189"/>
  <c r="AE189"/>
  <c r="AD189"/>
  <c r="AB189"/>
  <c r="AA189"/>
  <c r="Y189"/>
  <c r="AX188"/>
  <c r="AW188"/>
  <c r="AQ188"/>
  <c r="AR188" s="1"/>
  <c r="AS188" s="1"/>
  <c r="AI188"/>
  <c r="AH188"/>
  <c r="AG188"/>
  <c r="AF188"/>
  <c r="AE188"/>
  <c r="AD188"/>
  <c r="AB188"/>
  <c r="AA188"/>
  <c r="Y188"/>
  <c r="AX187"/>
  <c r="AW187"/>
  <c r="AS187"/>
  <c r="AQ187"/>
  <c r="AR187" s="1"/>
  <c r="AT187" s="1"/>
  <c r="AI187"/>
  <c r="AH187"/>
  <c r="AG187"/>
  <c r="AF187"/>
  <c r="AE187"/>
  <c r="AD187"/>
  <c r="AB187"/>
  <c r="AA187"/>
  <c r="Y187"/>
  <c r="AX186"/>
  <c r="AW186"/>
  <c r="AT186"/>
  <c r="AV186" s="1"/>
  <c r="AS186"/>
  <c r="AQ186"/>
  <c r="AR186" s="1"/>
  <c r="AI186"/>
  <c r="AH186"/>
  <c r="AG186"/>
  <c r="AF186"/>
  <c r="AE186"/>
  <c r="AD186"/>
  <c r="AB186"/>
  <c r="AA186"/>
  <c r="Y186"/>
  <c r="AX185"/>
  <c r="AW185"/>
  <c r="AU185"/>
  <c r="AT185"/>
  <c r="AV185" s="1"/>
  <c r="AS185"/>
  <c r="AQ185"/>
  <c r="AR185" s="1"/>
  <c r="AI185"/>
  <c r="AH185"/>
  <c r="AG185"/>
  <c r="AF185"/>
  <c r="AE185"/>
  <c r="AD185"/>
  <c r="AB185"/>
  <c r="AA185"/>
  <c r="Y185"/>
  <c r="AX184"/>
  <c r="AW184"/>
  <c r="AQ184"/>
  <c r="AR184" s="1"/>
  <c r="AS184" s="1"/>
  <c r="AI184"/>
  <c r="AH184"/>
  <c r="AG184"/>
  <c r="AF184"/>
  <c r="AE184"/>
  <c r="AD184"/>
  <c r="AB184"/>
  <c r="AA184"/>
  <c r="Y184"/>
  <c r="AX183"/>
  <c r="AW183"/>
  <c r="AS183"/>
  <c r="AQ183"/>
  <c r="AR183" s="1"/>
  <c r="AT183" s="1"/>
  <c r="AI183"/>
  <c r="AH183"/>
  <c r="AG183"/>
  <c r="AF183"/>
  <c r="AE183"/>
  <c r="AD183"/>
  <c r="AB183"/>
  <c r="AA183"/>
  <c r="Y183"/>
  <c r="AX182"/>
  <c r="AW182"/>
  <c r="AT182"/>
  <c r="AV182" s="1"/>
  <c r="AS182"/>
  <c r="AQ182"/>
  <c r="AR182" s="1"/>
  <c r="AI182"/>
  <c r="AH182"/>
  <c r="AG182"/>
  <c r="AF182"/>
  <c r="AE182"/>
  <c r="AD182"/>
  <c r="AB182"/>
  <c r="AA182"/>
  <c r="Y182"/>
  <c r="AX181"/>
  <c r="AW181"/>
  <c r="AU181"/>
  <c r="AT181"/>
  <c r="AV181" s="1"/>
  <c r="AS181"/>
  <c r="AQ181"/>
  <c r="AR181" s="1"/>
  <c r="AI181"/>
  <c r="AH181"/>
  <c r="AG181"/>
  <c r="AF181"/>
  <c r="AE181"/>
  <c r="AD181"/>
  <c r="AB181"/>
  <c r="AA181"/>
  <c r="Y181"/>
  <c r="AX180"/>
  <c r="AW180"/>
  <c r="AQ180"/>
  <c r="AR180" s="1"/>
  <c r="AS180" s="1"/>
  <c r="AI180"/>
  <c r="AH180"/>
  <c r="AG180"/>
  <c r="AF180"/>
  <c r="AE180"/>
  <c r="AD180"/>
  <c r="AB180"/>
  <c r="AA180"/>
  <c r="Y180"/>
  <c r="AX179"/>
  <c r="AW179"/>
  <c r="AS179"/>
  <c r="AQ179"/>
  <c r="AR179" s="1"/>
  <c r="AT179" s="1"/>
  <c r="AI179"/>
  <c r="AH179"/>
  <c r="AG179"/>
  <c r="AF179"/>
  <c r="AE179"/>
  <c r="AD179"/>
  <c r="AB179"/>
  <c r="AA179"/>
  <c r="Y179"/>
  <c r="AX178"/>
  <c r="AW178"/>
  <c r="AT178"/>
  <c r="AV178" s="1"/>
  <c r="AS178"/>
  <c r="AQ178"/>
  <c r="AR178" s="1"/>
  <c r="AI178"/>
  <c r="AH178"/>
  <c r="AG178"/>
  <c r="AF178"/>
  <c r="AE178"/>
  <c r="AD178"/>
  <c r="AB178"/>
  <c r="AA178"/>
  <c r="Y178"/>
  <c r="AX177"/>
  <c r="AW177"/>
  <c r="AU177"/>
  <c r="AT177"/>
  <c r="AV177" s="1"/>
  <c r="AS177"/>
  <c r="AQ177"/>
  <c r="AR177" s="1"/>
  <c r="AI177"/>
  <c r="AH177"/>
  <c r="AG177"/>
  <c r="AF177"/>
  <c r="AE177"/>
  <c r="AD177"/>
  <c r="AB177"/>
  <c r="AA177"/>
  <c r="Y177"/>
  <c r="AX176"/>
  <c r="AW176"/>
  <c r="AQ176"/>
  <c r="AR176" s="1"/>
  <c r="AS176" s="1"/>
  <c r="AI176"/>
  <c r="AH176"/>
  <c r="AG176"/>
  <c r="AF176"/>
  <c r="AE176"/>
  <c r="AD176"/>
  <c r="AB176"/>
  <c r="AA176"/>
  <c r="Y176"/>
  <c r="AX175"/>
  <c r="AW175"/>
  <c r="AS175"/>
  <c r="AQ175"/>
  <c r="AR175" s="1"/>
  <c r="AT175" s="1"/>
  <c r="AI175"/>
  <c r="AH175"/>
  <c r="AG175"/>
  <c r="AF175"/>
  <c r="AE175"/>
  <c r="AD175"/>
  <c r="AB175"/>
  <c r="AA175"/>
  <c r="Y175"/>
  <c r="AX174"/>
  <c r="AW174"/>
  <c r="AT174"/>
  <c r="AV174" s="1"/>
  <c r="AS174"/>
  <c r="AQ174"/>
  <c r="AR174" s="1"/>
  <c r="AI174"/>
  <c r="AH174"/>
  <c r="AG174"/>
  <c r="AF174"/>
  <c r="AE174"/>
  <c r="AD174"/>
  <c r="AB174"/>
  <c r="AA174"/>
  <c r="Y174"/>
  <c r="AX173"/>
  <c r="AW173"/>
  <c r="AU173"/>
  <c r="AT173"/>
  <c r="AV173" s="1"/>
  <c r="AS173"/>
  <c r="AQ173"/>
  <c r="AR173" s="1"/>
  <c r="AI173"/>
  <c r="AH173"/>
  <c r="AG173"/>
  <c r="AF173"/>
  <c r="AE173"/>
  <c r="AD173"/>
  <c r="AB173"/>
  <c r="AA173"/>
  <c r="Y173"/>
  <c r="AX172"/>
  <c r="AW172"/>
  <c r="AQ172"/>
  <c r="AR172" s="1"/>
  <c r="AS172" s="1"/>
  <c r="AI172"/>
  <c r="AH172"/>
  <c r="AG172"/>
  <c r="AF172"/>
  <c r="AE172"/>
  <c r="AD172"/>
  <c r="AB172"/>
  <c r="AA172"/>
  <c r="Y172"/>
  <c r="AX171"/>
  <c r="AW171"/>
  <c r="AS171"/>
  <c r="AQ171"/>
  <c r="AR171" s="1"/>
  <c r="AT171" s="1"/>
  <c r="AI171"/>
  <c r="AH171"/>
  <c r="AG171"/>
  <c r="AF171"/>
  <c r="AE171"/>
  <c r="AD171"/>
  <c r="AB171"/>
  <c r="AA171"/>
  <c r="Y171"/>
  <c r="AX170"/>
  <c r="AW170"/>
  <c r="AT170"/>
  <c r="AV170" s="1"/>
  <c r="AS170"/>
  <c r="AQ170"/>
  <c r="AR170" s="1"/>
  <c r="AI170"/>
  <c r="AH170"/>
  <c r="AG170"/>
  <c r="AF170"/>
  <c r="AE170"/>
  <c r="AD170"/>
  <c r="AB170"/>
  <c r="AA170"/>
  <c r="Y170"/>
  <c r="AX169"/>
  <c r="AW169"/>
  <c r="AU169"/>
  <c r="AT169"/>
  <c r="AV169" s="1"/>
  <c r="AS169"/>
  <c r="AQ169"/>
  <c r="AR169" s="1"/>
  <c r="AI169"/>
  <c r="AH169"/>
  <c r="AG169"/>
  <c r="AF169"/>
  <c r="AE169"/>
  <c r="AD169"/>
  <c r="AB169"/>
  <c r="AA169"/>
  <c r="Y169"/>
  <c r="AX168"/>
  <c r="AW168"/>
  <c r="AQ168"/>
  <c r="AR168" s="1"/>
  <c r="AS168" s="1"/>
  <c r="AI168"/>
  <c r="AH168"/>
  <c r="AG168"/>
  <c r="AF168"/>
  <c r="AE168"/>
  <c r="AD168"/>
  <c r="AB168"/>
  <c r="AA168"/>
  <c r="Y168"/>
  <c r="AX167"/>
  <c r="AW167"/>
  <c r="AS167"/>
  <c r="AQ167"/>
  <c r="AR167" s="1"/>
  <c r="AT167" s="1"/>
  <c r="AI167"/>
  <c r="AH167"/>
  <c r="AG167"/>
  <c r="AF167"/>
  <c r="AE167"/>
  <c r="AD167"/>
  <c r="AB167"/>
  <c r="AA167"/>
  <c r="Y167"/>
  <c r="AX166"/>
  <c r="AW166"/>
  <c r="AT166"/>
  <c r="AV166" s="1"/>
  <c r="AS166"/>
  <c r="AQ166"/>
  <c r="AR166" s="1"/>
  <c r="AI166"/>
  <c r="AH166"/>
  <c r="AG166"/>
  <c r="AF166"/>
  <c r="AE166"/>
  <c r="AD166"/>
  <c r="AB166"/>
  <c r="AA166"/>
  <c r="Y166"/>
  <c r="AX165"/>
  <c r="AW165"/>
  <c r="AU165"/>
  <c r="AT165"/>
  <c r="AV165" s="1"/>
  <c r="AS165"/>
  <c r="AQ165"/>
  <c r="AR165" s="1"/>
  <c r="AI165"/>
  <c r="AH165"/>
  <c r="AG165"/>
  <c r="AF165"/>
  <c r="AE165"/>
  <c r="AD165"/>
  <c r="AB165"/>
  <c r="AA165"/>
  <c r="Y165"/>
  <c r="AX164"/>
  <c r="AW164"/>
  <c r="AQ164"/>
  <c r="AR164" s="1"/>
  <c r="AS164" s="1"/>
  <c r="AI164"/>
  <c r="AH164"/>
  <c r="AG164"/>
  <c r="AF164"/>
  <c r="AE164"/>
  <c r="AD164"/>
  <c r="AB164"/>
  <c r="AA164"/>
  <c r="Y164"/>
  <c r="AX163"/>
  <c r="AW163"/>
  <c r="AS163"/>
  <c r="AQ163"/>
  <c r="AR163" s="1"/>
  <c r="AT163" s="1"/>
  <c r="AI163"/>
  <c r="AH163"/>
  <c r="AG163"/>
  <c r="AF163"/>
  <c r="AE163"/>
  <c r="AD163"/>
  <c r="AB163"/>
  <c r="AA163"/>
  <c r="Y163"/>
  <c r="AX162"/>
  <c r="AW162"/>
  <c r="AT162"/>
  <c r="AV162" s="1"/>
  <c r="AS162"/>
  <c r="AQ162"/>
  <c r="AR162" s="1"/>
  <c r="AI162"/>
  <c r="AH162"/>
  <c r="AG162"/>
  <c r="AF162"/>
  <c r="AE162"/>
  <c r="AD162"/>
  <c r="AB162"/>
  <c r="AA162"/>
  <c r="Y162"/>
  <c r="AX161"/>
  <c r="AW161"/>
  <c r="AU161"/>
  <c r="AT161"/>
  <c r="AV161" s="1"/>
  <c r="AS161"/>
  <c r="AQ161"/>
  <c r="AR161" s="1"/>
  <c r="AI161"/>
  <c r="AH161"/>
  <c r="AG161"/>
  <c r="AF161"/>
  <c r="AE161"/>
  <c r="AD161"/>
  <c r="AB161"/>
  <c r="AA161"/>
  <c r="Y161"/>
  <c r="AX160"/>
  <c r="AW160"/>
  <c r="AQ160"/>
  <c r="AR160" s="1"/>
  <c r="AS160" s="1"/>
  <c r="AI160"/>
  <c r="AH160"/>
  <c r="AG160"/>
  <c r="AF160"/>
  <c r="AE160"/>
  <c r="AD160"/>
  <c r="AB160"/>
  <c r="AA160"/>
  <c r="Y160"/>
  <c r="AX159"/>
  <c r="AW159"/>
  <c r="AS159"/>
  <c r="AQ159"/>
  <c r="AR159" s="1"/>
  <c r="AT159" s="1"/>
  <c r="AI159"/>
  <c r="AH159"/>
  <c r="AG159"/>
  <c r="AF159"/>
  <c r="AE159"/>
  <c r="AD159"/>
  <c r="AB159"/>
  <c r="AA159"/>
  <c r="Y159"/>
  <c r="AX158"/>
  <c r="AW158"/>
  <c r="AT158"/>
  <c r="AV158" s="1"/>
  <c r="AS158"/>
  <c r="AQ158"/>
  <c r="AR158" s="1"/>
  <c r="AI158"/>
  <c r="AH158"/>
  <c r="AG158"/>
  <c r="AF158"/>
  <c r="AE158"/>
  <c r="AD158"/>
  <c r="AB158"/>
  <c r="AA158"/>
  <c r="Y158"/>
  <c r="AX157"/>
  <c r="AW157"/>
  <c r="AU157"/>
  <c r="AT157"/>
  <c r="AV157" s="1"/>
  <c r="AS157"/>
  <c r="AQ157"/>
  <c r="AR157" s="1"/>
  <c r="AI157"/>
  <c r="AH157"/>
  <c r="AG157"/>
  <c r="AF157"/>
  <c r="AE157"/>
  <c r="AD157"/>
  <c r="AB157"/>
  <c r="AA157"/>
  <c r="Y157"/>
  <c r="AX156"/>
  <c r="AW156"/>
  <c r="AQ156"/>
  <c r="AR156" s="1"/>
  <c r="AS156" s="1"/>
  <c r="AI156"/>
  <c r="AH156"/>
  <c r="AG156"/>
  <c r="AF156"/>
  <c r="AE156"/>
  <c r="AD156"/>
  <c r="AB156"/>
  <c r="AA156"/>
  <c r="Y156"/>
  <c r="AX155"/>
  <c r="AW155"/>
  <c r="AS155"/>
  <c r="AQ155"/>
  <c r="AR155" s="1"/>
  <c r="AT155" s="1"/>
  <c r="AI155"/>
  <c r="AH155"/>
  <c r="AG155"/>
  <c r="AF155"/>
  <c r="AE155"/>
  <c r="AD155"/>
  <c r="AB155"/>
  <c r="AA155"/>
  <c r="Y155"/>
  <c r="AX154"/>
  <c r="AW154"/>
  <c r="AT154"/>
  <c r="AV154" s="1"/>
  <c r="AS154"/>
  <c r="AQ154"/>
  <c r="AR154" s="1"/>
  <c r="AI154"/>
  <c r="AH154"/>
  <c r="AG154"/>
  <c r="AF154"/>
  <c r="AE154"/>
  <c r="AD154"/>
  <c r="AB154"/>
  <c r="AA154"/>
  <c r="Y154"/>
  <c r="AX153"/>
  <c r="AW153"/>
  <c r="AU153"/>
  <c r="AT153"/>
  <c r="AV153" s="1"/>
  <c r="AS153"/>
  <c r="AQ153"/>
  <c r="AR153" s="1"/>
  <c r="AI153"/>
  <c r="AH153"/>
  <c r="AG153"/>
  <c r="AF153"/>
  <c r="AE153"/>
  <c r="AD153"/>
  <c r="AB153"/>
  <c r="AA153"/>
  <c r="Y153"/>
  <c r="AX152"/>
  <c r="AW152"/>
  <c r="AQ152"/>
  <c r="AR152" s="1"/>
  <c r="AS152" s="1"/>
  <c r="AI152"/>
  <c r="AH152"/>
  <c r="AG152"/>
  <c r="AF152"/>
  <c r="AE152"/>
  <c r="AD152"/>
  <c r="AB152"/>
  <c r="AA152"/>
  <c r="Y152"/>
  <c r="AX151"/>
  <c r="AW151"/>
  <c r="AS151"/>
  <c r="AQ151"/>
  <c r="AR151" s="1"/>
  <c r="AT151" s="1"/>
  <c r="AI151"/>
  <c r="AH151"/>
  <c r="AG151"/>
  <c r="AF151"/>
  <c r="AE151"/>
  <c r="AD151"/>
  <c r="AB151"/>
  <c r="AA151"/>
  <c r="Y151"/>
  <c r="AX150"/>
  <c r="AW150"/>
  <c r="AT150"/>
  <c r="AV150" s="1"/>
  <c r="AS150"/>
  <c r="AQ150"/>
  <c r="AR150" s="1"/>
  <c r="AI150"/>
  <c r="AH150"/>
  <c r="AG150"/>
  <c r="AF150"/>
  <c r="AE150"/>
  <c r="AD150"/>
  <c r="AB150"/>
  <c r="AA150"/>
  <c r="Y150"/>
  <c r="AX149"/>
  <c r="AW149"/>
  <c r="AU149"/>
  <c r="AT149"/>
  <c r="AV149" s="1"/>
  <c r="AS149"/>
  <c r="AQ149"/>
  <c r="AR149" s="1"/>
  <c r="AI149"/>
  <c r="AH149"/>
  <c r="AG149"/>
  <c r="AF149"/>
  <c r="AE149"/>
  <c r="AD149"/>
  <c r="AB149"/>
  <c r="AA149"/>
  <c r="Y149"/>
  <c r="AX148"/>
  <c r="AW148"/>
  <c r="AQ148"/>
  <c r="AR148" s="1"/>
  <c r="AS148" s="1"/>
  <c r="AI148"/>
  <c r="AH148"/>
  <c r="AG148"/>
  <c r="AF148"/>
  <c r="AE148"/>
  <c r="AD148"/>
  <c r="AB148"/>
  <c r="AA148"/>
  <c r="Y148"/>
  <c r="AX147"/>
  <c r="AW147"/>
  <c r="AS147"/>
  <c r="AQ147"/>
  <c r="AR147" s="1"/>
  <c r="AT147" s="1"/>
  <c r="AI147"/>
  <c r="AH147"/>
  <c r="AG147"/>
  <c r="AF147"/>
  <c r="AE147"/>
  <c r="AD147"/>
  <c r="AB147"/>
  <c r="AA147"/>
  <c r="Y147"/>
  <c r="AX146"/>
  <c r="AW146"/>
  <c r="AT146"/>
  <c r="AV146" s="1"/>
  <c r="AS146"/>
  <c r="AQ146"/>
  <c r="AR146" s="1"/>
  <c r="AI146"/>
  <c r="AH146"/>
  <c r="AG146"/>
  <c r="AF146"/>
  <c r="AE146"/>
  <c r="AD146"/>
  <c r="AB146"/>
  <c r="AA146"/>
  <c r="Y146"/>
  <c r="AX145"/>
  <c r="AW145"/>
  <c r="AU145"/>
  <c r="AT145"/>
  <c r="AV145" s="1"/>
  <c r="AS145"/>
  <c r="AQ145"/>
  <c r="AR145" s="1"/>
  <c r="AI145"/>
  <c r="AH145"/>
  <c r="AG145"/>
  <c r="AF145"/>
  <c r="AE145"/>
  <c r="AD145"/>
  <c r="AB145"/>
  <c r="AA145"/>
  <c r="Y145"/>
  <c r="AX144"/>
  <c r="AW144"/>
  <c r="AQ144"/>
  <c r="AR144" s="1"/>
  <c r="AS144" s="1"/>
  <c r="AI144"/>
  <c r="AH144"/>
  <c r="AG144"/>
  <c r="AF144"/>
  <c r="AE144"/>
  <c r="AD144"/>
  <c r="AB144"/>
  <c r="AA144"/>
  <c r="Y144"/>
  <c r="AX143"/>
  <c r="AW143"/>
  <c r="AS143"/>
  <c r="AQ143"/>
  <c r="AR143" s="1"/>
  <c r="AT143" s="1"/>
  <c r="AI143"/>
  <c r="AH143"/>
  <c r="AG143"/>
  <c r="AF143"/>
  <c r="AE143"/>
  <c r="AD143"/>
  <c r="AB143"/>
  <c r="AA143"/>
  <c r="Y143"/>
  <c r="AX142"/>
  <c r="AW142"/>
  <c r="AT142"/>
  <c r="AV142" s="1"/>
  <c r="AS142"/>
  <c r="AQ142"/>
  <c r="AR142" s="1"/>
  <c r="AI142"/>
  <c r="AH142"/>
  <c r="AG142"/>
  <c r="AF142"/>
  <c r="AE142"/>
  <c r="AD142"/>
  <c r="AB142"/>
  <c r="AA142"/>
  <c r="Y142"/>
  <c r="AX141"/>
  <c r="AW141"/>
  <c r="AU141"/>
  <c r="AT141"/>
  <c r="AV141" s="1"/>
  <c r="AS141"/>
  <c r="AQ141"/>
  <c r="AR141" s="1"/>
  <c r="AI141"/>
  <c r="AH141"/>
  <c r="AG141"/>
  <c r="AF141"/>
  <c r="AE141"/>
  <c r="AD141"/>
  <c r="AB141"/>
  <c r="AA141"/>
  <c r="Y141"/>
  <c r="AX140"/>
  <c r="AW140"/>
  <c r="AQ140"/>
  <c r="AR140" s="1"/>
  <c r="AS140" s="1"/>
  <c r="AI140"/>
  <c r="AH140"/>
  <c r="AG140"/>
  <c r="AF140"/>
  <c r="AE140"/>
  <c r="AD140"/>
  <c r="AB140"/>
  <c r="AA140"/>
  <c r="Y140"/>
  <c r="AX139"/>
  <c r="AW139"/>
  <c r="AS139"/>
  <c r="AQ139"/>
  <c r="AR139" s="1"/>
  <c r="AT139" s="1"/>
  <c r="AI139"/>
  <c r="AH139"/>
  <c r="AG139"/>
  <c r="AF139"/>
  <c r="AE139"/>
  <c r="AD139"/>
  <c r="AB139"/>
  <c r="AA139"/>
  <c r="Y139"/>
  <c r="AX138"/>
  <c r="AW138"/>
  <c r="AT138"/>
  <c r="AV138" s="1"/>
  <c r="AS138"/>
  <c r="AQ138"/>
  <c r="AR138" s="1"/>
  <c r="AI138"/>
  <c r="AH138"/>
  <c r="AG138"/>
  <c r="AF138"/>
  <c r="AE138"/>
  <c r="AD138"/>
  <c r="AB138"/>
  <c r="AA138"/>
  <c r="Y138"/>
  <c r="AX137"/>
  <c r="AW137"/>
  <c r="AU137"/>
  <c r="AT137"/>
  <c r="AV137" s="1"/>
  <c r="AS137"/>
  <c r="AQ137"/>
  <c r="AR137" s="1"/>
  <c r="AI137"/>
  <c r="AH137"/>
  <c r="AG137"/>
  <c r="AF137"/>
  <c r="AE137"/>
  <c r="AD137"/>
  <c r="AB137"/>
  <c r="AA137"/>
  <c r="Y137"/>
  <c r="AX136"/>
  <c r="AW136"/>
  <c r="AQ136"/>
  <c r="AR136" s="1"/>
  <c r="AS136" s="1"/>
  <c r="AI136"/>
  <c r="AH136"/>
  <c r="AG136"/>
  <c r="AF136"/>
  <c r="AE136"/>
  <c r="AD136"/>
  <c r="AB136"/>
  <c r="AA136"/>
  <c r="Y136"/>
  <c r="AX135"/>
  <c r="AW135"/>
  <c r="AS135"/>
  <c r="AQ135"/>
  <c r="AR135" s="1"/>
  <c r="AT135" s="1"/>
  <c r="AI135"/>
  <c r="AH135"/>
  <c r="AG135"/>
  <c r="AF135"/>
  <c r="AE135"/>
  <c r="AD135"/>
  <c r="AB135"/>
  <c r="AA135"/>
  <c r="Y135"/>
  <c r="AX134"/>
  <c r="AW134"/>
  <c r="AT134"/>
  <c r="AV134" s="1"/>
  <c r="AS134"/>
  <c r="AQ134"/>
  <c r="AR134" s="1"/>
  <c r="AI134"/>
  <c r="AH134"/>
  <c r="AG134"/>
  <c r="AF134"/>
  <c r="AE134"/>
  <c r="AD134"/>
  <c r="AB134"/>
  <c r="AA134"/>
  <c r="Y134"/>
  <c r="AX133"/>
  <c r="AW133"/>
  <c r="AU133"/>
  <c r="AT133"/>
  <c r="AV133" s="1"/>
  <c r="AS133"/>
  <c r="AQ133"/>
  <c r="AR133" s="1"/>
  <c r="AI133"/>
  <c r="AH133"/>
  <c r="AG133"/>
  <c r="AF133"/>
  <c r="AE133"/>
  <c r="AD133"/>
  <c r="AB133"/>
  <c r="AA133"/>
  <c r="Y133"/>
  <c r="AX132"/>
  <c r="AW132"/>
  <c r="AQ132"/>
  <c r="AR132" s="1"/>
  <c r="AS132" s="1"/>
  <c r="AI132"/>
  <c r="AH132"/>
  <c r="AG132"/>
  <c r="AF132"/>
  <c r="AE132"/>
  <c r="AD132"/>
  <c r="AB132"/>
  <c r="AA132"/>
  <c r="Y132"/>
  <c r="AX131"/>
  <c r="AW131"/>
  <c r="AS131"/>
  <c r="AQ131"/>
  <c r="AR131" s="1"/>
  <c r="AT131" s="1"/>
  <c r="AI131"/>
  <c r="AH131"/>
  <c r="AG131"/>
  <c r="AF131"/>
  <c r="AE131"/>
  <c r="AD131"/>
  <c r="AB131"/>
  <c r="AA131"/>
  <c r="Y131"/>
  <c r="AX130"/>
  <c r="AW130"/>
  <c r="AT130"/>
  <c r="AV130" s="1"/>
  <c r="AS130"/>
  <c r="AQ130"/>
  <c r="AR130" s="1"/>
  <c r="AI130"/>
  <c r="AH130"/>
  <c r="AG130"/>
  <c r="AF130"/>
  <c r="AE130"/>
  <c r="AD130"/>
  <c r="AB130"/>
  <c r="AA130"/>
  <c r="Y130"/>
  <c r="AX129"/>
  <c r="AW129"/>
  <c r="AU129"/>
  <c r="AT129"/>
  <c r="AV129" s="1"/>
  <c r="AS129"/>
  <c r="AQ129"/>
  <c r="AR129" s="1"/>
  <c r="AI129"/>
  <c r="AH129"/>
  <c r="AG129"/>
  <c r="AF129"/>
  <c r="AE129"/>
  <c r="AD129"/>
  <c r="AB129"/>
  <c r="AA129"/>
  <c r="Y129"/>
  <c r="AX128"/>
  <c r="AW128"/>
  <c r="AQ128"/>
  <c r="AR128" s="1"/>
  <c r="AS128" s="1"/>
  <c r="AI128"/>
  <c r="AH128"/>
  <c r="AG128"/>
  <c r="AF128"/>
  <c r="AE128"/>
  <c r="AD128"/>
  <c r="AB128"/>
  <c r="AA128"/>
  <c r="Y128"/>
  <c r="AX127"/>
  <c r="AW127"/>
  <c r="AS127"/>
  <c r="AQ127"/>
  <c r="AR127" s="1"/>
  <c r="AT127" s="1"/>
  <c r="AI127"/>
  <c r="AH127"/>
  <c r="AG127"/>
  <c r="AF127"/>
  <c r="AE127"/>
  <c r="AD127"/>
  <c r="AB127"/>
  <c r="AA127"/>
  <c r="Y127"/>
  <c r="AX126"/>
  <c r="AW126"/>
  <c r="AT126"/>
  <c r="AV126" s="1"/>
  <c r="AS126"/>
  <c r="AQ126"/>
  <c r="AR126" s="1"/>
  <c r="AI126"/>
  <c r="AH126"/>
  <c r="AG126"/>
  <c r="AF126"/>
  <c r="AE126"/>
  <c r="AD126"/>
  <c r="AB126"/>
  <c r="AA126"/>
  <c r="Y126"/>
  <c r="AX125"/>
  <c r="AW125"/>
  <c r="AU125"/>
  <c r="AT125"/>
  <c r="AV125" s="1"/>
  <c r="AS125"/>
  <c r="AQ125"/>
  <c r="AR125" s="1"/>
  <c r="AI125"/>
  <c r="AH125"/>
  <c r="AG125"/>
  <c r="AF125"/>
  <c r="AE125"/>
  <c r="AD125"/>
  <c r="AB125"/>
  <c r="AA125"/>
  <c r="Y125"/>
  <c r="AX124"/>
  <c r="AW124"/>
  <c r="AQ124"/>
  <c r="AR124" s="1"/>
  <c r="AS124" s="1"/>
  <c r="AI124"/>
  <c r="AH124"/>
  <c r="AG124"/>
  <c r="AF124"/>
  <c r="AE124"/>
  <c r="AD124"/>
  <c r="AB124"/>
  <c r="AA124"/>
  <c r="Y124"/>
  <c r="AX123"/>
  <c r="AW123"/>
  <c r="AS123"/>
  <c r="AQ123"/>
  <c r="AR123" s="1"/>
  <c r="AT123" s="1"/>
  <c r="AI123"/>
  <c r="AH123"/>
  <c r="AG123"/>
  <c r="AF123"/>
  <c r="AE123"/>
  <c r="AD123"/>
  <c r="AB123"/>
  <c r="AA123"/>
  <c r="Y123"/>
  <c r="AX122"/>
  <c r="AW122"/>
  <c r="AT122"/>
  <c r="AV122" s="1"/>
  <c r="AS122"/>
  <c r="AQ122"/>
  <c r="AR122" s="1"/>
  <c r="AI122"/>
  <c r="AH122"/>
  <c r="AG122"/>
  <c r="AF122"/>
  <c r="AE122"/>
  <c r="AD122"/>
  <c r="AB122"/>
  <c r="AA122"/>
  <c r="Y122"/>
  <c r="AX121"/>
  <c r="AW121"/>
  <c r="AU121"/>
  <c r="AT121"/>
  <c r="AV121" s="1"/>
  <c r="AS121"/>
  <c r="AQ121"/>
  <c r="AR121" s="1"/>
  <c r="AI121"/>
  <c r="AH121"/>
  <c r="AG121"/>
  <c r="AF121"/>
  <c r="AE121"/>
  <c r="AD121"/>
  <c r="AB121"/>
  <c r="AA121"/>
  <c r="Y121"/>
  <c r="AX120"/>
  <c r="AW120"/>
  <c r="AQ120"/>
  <c r="AR120" s="1"/>
  <c r="AS120" s="1"/>
  <c r="AI120"/>
  <c r="AH120"/>
  <c r="AG120"/>
  <c r="AF120"/>
  <c r="AE120"/>
  <c r="AD120"/>
  <c r="AB120"/>
  <c r="AA120"/>
  <c r="Y120"/>
  <c r="AX119"/>
  <c r="AW119"/>
  <c r="AS119"/>
  <c r="AQ119"/>
  <c r="AR119" s="1"/>
  <c r="AT119" s="1"/>
  <c r="AI119"/>
  <c r="AH119"/>
  <c r="AG119"/>
  <c r="AF119"/>
  <c r="AE119"/>
  <c r="AD119"/>
  <c r="AB119"/>
  <c r="AA119"/>
  <c r="Y119"/>
  <c r="AX118"/>
  <c r="AW118"/>
  <c r="AT118"/>
  <c r="AV118" s="1"/>
  <c r="AS118"/>
  <c r="AQ118"/>
  <c r="AR118" s="1"/>
  <c r="AI118"/>
  <c r="AH118"/>
  <c r="AG118"/>
  <c r="AF118"/>
  <c r="AE118"/>
  <c r="AD118"/>
  <c r="AB118"/>
  <c r="AA118"/>
  <c r="Y118"/>
  <c r="AX117"/>
  <c r="AW117"/>
  <c r="AU117"/>
  <c r="AT117"/>
  <c r="AV117" s="1"/>
  <c r="AS117"/>
  <c r="AQ117"/>
  <c r="AR117" s="1"/>
  <c r="AI117"/>
  <c r="AH117"/>
  <c r="AG117"/>
  <c r="AF117"/>
  <c r="AE117"/>
  <c r="AD117"/>
  <c r="AB117"/>
  <c r="AA117"/>
  <c r="Y117"/>
  <c r="AX116"/>
  <c r="AW116"/>
  <c r="AQ116"/>
  <c r="AR116" s="1"/>
  <c r="AS116" s="1"/>
  <c r="AI116"/>
  <c r="AH116"/>
  <c r="AG116"/>
  <c r="AF116"/>
  <c r="AE116"/>
  <c r="AD116"/>
  <c r="AB116"/>
  <c r="AA116"/>
  <c r="Y116"/>
  <c r="AX115"/>
  <c r="AW115"/>
  <c r="AS115"/>
  <c r="AQ115"/>
  <c r="AR115" s="1"/>
  <c r="AT115" s="1"/>
  <c r="AI115"/>
  <c r="AH115"/>
  <c r="AG115"/>
  <c r="AF115"/>
  <c r="AE115"/>
  <c r="AD115"/>
  <c r="AB115"/>
  <c r="AA115"/>
  <c r="Y115"/>
  <c r="AX114"/>
  <c r="AW114"/>
  <c r="AT114"/>
  <c r="AV114" s="1"/>
  <c r="AS114"/>
  <c r="AQ114"/>
  <c r="AR114" s="1"/>
  <c r="AI114"/>
  <c r="AH114"/>
  <c r="AG114"/>
  <c r="AF114"/>
  <c r="AE114"/>
  <c r="AD114"/>
  <c r="AB114"/>
  <c r="AA114"/>
  <c r="Y114"/>
  <c r="AX113"/>
  <c r="AW113"/>
  <c r="AU113"/>
  <c r="AT113"/>
  <c r="AV113" s="1"/>
  <c r="AS113"/>
  <c r="AQ113"/>
  <c r="AR113" s="1"/>
  <c r="AI113"/>
  <c r="AH113"/>
  <c r="AG113"/>
  <c r="AF113"/>
  <c r="AE113"/>
  <c r="AD113"/>
  <c r="AB113"/>
  <c r="AA113"/>
  <c r="Y113"/>
  <c r="AX112"/>
  <c r="AW112"/>
  <c r="AQ112"/>
  <c r="AR112" s="1"/>
  <c r="AS112" s="1"/>
  <c r="AI112"/>
  <c r="AH112"/>
  <c r="AG112"/>
  <c r="AF112"/>
  <c r="AE112"/>
  <c r="AD112"/>
  <c r="AB112"/>
  <c r="AA112"/>
  <c r="Y112"/>
  <c r="AX111"/>
  <c r="AW111"/>
  <c r="AS111"/>
  <c r="AQ111"/>
  <c r="AR111" s="1"/>
  <c r="AT111" s="1"/>
  <c r="AI111"/>
  <c r="AH111"/>
  <c r="AG111"/>
  <c r="AF111"/>
  <c r="AE111"/>
  <c r="AD111"/>
  <c r="AB111"/>
  <c r="AA111"/>
  <c r="Y111"/>
  <c r="AX110"/>
  <c r="AW110"/>
  <c r="AT110"/>
  <c r="AV110" s="1"/>
  <c r="AS110"/>
  <c r="AQ110"/>
  <c r="AR110" s="1"/>
  <c r="AI110"/>
  <c r="AH110"/>
  <c r="AG110"/>
  <c r="AF110"/>
  <c r="AE110"/>
  <c r="AD110"/>
  <c r="AB110"/>
  <c r="AA110"/>
  <c r="Y110"/>
  <c r="AX109"/>
  <c r="AW109"/>
  <c r="AU109"/>
  <c r="AT109"/>
  <c r="AV109" s="1"/>
  <c r="AS109"/>
  <c r="AQ109"/>
  <c r="AR109" s="1"/>
  <c r="AI109"/>
  <c r="AH109"/>
  <c r="AG109"/>
  <c r="AF109"/>
  <c r="AE109"/>
  <c r="AD109"/>
  <c r="AB109"/>
  <c r="AA109"/>
  <c r="Y109"/>
  <c r="AX108"/>
  <c r="AW108"/>
  <c r="AQ108"/>
  <c r="AR108" s="1"/>
  <c r="AS108" s="1"/>
  <c r="AI108"/>
  <c r="AH108"/>
  <c r="AG108"/>
  <c r="AF108"/>
  <c r="AE108"/>
  <c r="AD108"/>
  <c r="AB108"/>
  <c r="AA108"/>
  <c r="Y108"/>
  <c r="AX107"/>
  <c r="AW107"/>
  <c r="AS107"/>
  <c r="AQ107"/>
  <c r="AR107" s="1"/>
  <c r="AT107" s="1"/>
  <c r="AI107"/>
  <c r="AH107"/>
  <c r="AG107"/>
  <c r="AF107"/>
  <c r="AE107"/>
  <c r="AD107"/>
  <c r="AB107"/>
  <c r="AA107"/>
  <c r="Y107"/>
  <c r="AX106"/>
  <c r="AW106"/>
  <c r="AT106"/>
  <c r="AV106" s="1"/>
  <c r="AS106"/>
  <c r="AQ106"/>
  <c r="AR106" s="1"/>
  <c r="AI106"/>
  <c r="AH106"/>
  <c r="AG106"/>
  <c r="AF106"/>
  <c r="AE106"/>
  <c r="AD106"/>
  <c r="AB106"/>
  <c r="AA106"/>
  <c r="Y106"/>
  <c r="AX105"/>
  <c r="AW105"/>
  <c r="AU105"/>
  <c r="AT105"/>
  <c r="AV105" s="1"/>
  <c r="AS105"/>
  <c r="AQ105"/>
  <c r="AR105" s="1"/>
  <c r="AI105"/>
  <c r="AH105"/>
  <c r="AG105"/>
  <c r="AF105"/>
  <c r="AE105"/>
  <c r="AD105"/>
  <c r="AB105"/>
  <c r="AA105"/>
  <c r="Y105"/>
  <c r="AX104"/>
  <c r="AW104"/>
  <c r="AQ104"/>
  <c r="AR104" s="1"/>
  <c r="AS104" s="1"/>
  <c r="AI104"/>
  <c r="AH104"/>
  <c r="AG104"/>
  <c r="AF104"/>
  <c r="AE104"/>
  <c r="AD104"/>
  <c r="AB104"/>
  <c r="AA104"/>
  <c r="Y104"/>
  <c r="AX103"/>
  <c r="AW103"/>
  <c r="AS103"/>
  <c r="AQ103"/>
  <c r="AR103" s="1"/>
  <c r="AT103" s="1"/>
  <c r="AI103"/>
  <c r="AH103"/>
  <c r="AG103"/>
  <c r="AF103"/>
  <c r="AE103"/>
  <c r="AD103"/>
  <c r="AB103"/>
  <c r="AA103"/>
  <c r="Y103"/>
  <c r="AX102"/>
  <c r="AW102"/>
  <c r="AT102"/>
  <c r="AV102" s="1"/>
  <c r="AS102"/>
  <c r="AQ102"/>
  <c r="AR102" s="1"/>
  <c r="AI102"/>
  <c r="AH102"/>
  <c r="AG102"/>
  <c r="AF102"/>
  <c r="AE102"/>
  <c r="AD102"/>
  <c r="AB102"/>
  <c r="AA102"/>
  <c r="Y102"/>
  <c r="AX101"/>
  <c r="AW101"/>
  <c r="AU101"/>
  <c r="AT101"/>
  <c r="AV101" s="1"/>
  <c r="AS101"/>
  <c r="AQ101"/>
  <c r="AR101" s="1"/>
  <c r="AI101"/>
  <c r="AH101"/>
  <c r="AG101"/>
  <c r="AF101"/>
  <c r="AE101"/>
  <c r="AD101"/>
  <c r="AB101"/>
  <c r="AA101"/>
  <c r="Y101"/>
  <c r="AX100"/>
  <c r="AW100"/>
  <c r="AQ100"/>
  <c r="AR100" s="1"/>
  <c r="AS100" s="1"/>
  <c r="AI100"/>
  <c r="AH100"/>
  <c r="AG100"/>
  <c r="AF100"/>
  <c r="AE100"/>
  <c r="AD100"/>
  <c r="AB100"/>
  <c r="AA100"/>
  <c r="Y100"/>
  <c r="AX99"/>
  <c r="AW99"/>
  <c r="AS99"/>
  <c r="AQ99"/>
  <c r="AR99" s="1"/>
  <c r="AT99" s="1"/>
  <c r="AI99"/>
  <c r="AH99"/>
  <c r="AG99"/>
  <c r="AF99"/>
  <c r="AE99"/>
  <c r="AD99"/>
  <c r="AB99"/>
  <c r="AA99"/>
  <c r="Y99"/>
  <c r="AX98"/>
  <c r="AW98"/>
  <c r="AT98"/>
  <c r="AV98" s="1"/>
  <c r="AS98"/>
  <c r="AQ98"/>
  <c r="AR98" s="1"/>
  <c r="AI98"/>
  <c r="AH98"/>
  <c r="AG98"/>
  <c r="AF98"/>
  <c r="AE98"/>
  <c r="AD98"/>
  <c r="AB98"/>
  <c r="AA98"/>
  <c r="Y98"/>
  <c r="AX97"/>
  <c r="AW97"/>
  <c r="AU97"/>
  <c r="AT97"/>
  <c r="AV97" s="1"/>
  <c r="AS97"/>
  <c r="AQ97"/>
  <c r="AR97" s="1"/>
  <c r="AI97"/>
  <c r="AH97"/>
  <c r="AG97"/>
  <c r="AF97"/>
  <c r="AE97"/>
  <c r="AD97"/>
  <c r="AB97"/>
  <c r="AA97"/>
  <c r="Y97"/>
  <c r="AX96"/>
  <c r="AW96"/>
  <c r="AQ96"/>
  <c r="AR96" s="1"/>
  <c r="AS96" s="1"/>
  <c r="AI96"/>
  <c r="AH96"/>
  <c r="AG96"/>
  <c r="AF96"/>
  <c r="AE96"/>
  <c r="AD96"/>
  <c r="AB96"/>
  <c r="AA96"/>
  <c r="Y96"/>
  <c r="AX95"/>
  <c r="AW95"/>
  <c r="AS95"/>
  <c r="AQ95"/>
  <c r="AR95" s="1"/>
  <c r="AT95" s="1"/>
  <c r="AI95"/>
  <c r="AH95"/>
  <c r="AG95"/>
  <c r="AF95"/>
  <c r="AE95"/>
  <c r="AD95"/>
  <c r="AB95"/>
  <c r="AA95"/>
  <c r="Y95"/>
  <c r="AX94"/>
  <c r="AW94"/>
  <c r="AT94"/>
  <c r="AV94" s="1"/>
  <c r="AS94"/>
  <c r="AQ94"/>
  <c r="AR94" s="1"/>
  <c r="AI94"/>
  <c r="AH94"/>
  <c r="AG94"/>
  <c r="AF94"/>
  <c r="AE94"/>
  <c r="AD94"/>
  <c r="AB94"/>
  <c r="AA94"/>
  <c r="Y94"/>
  <c r="AX93"/>
  <c r="AW93"/>
  <c r="AU93"/>
  <c r="AT93"/>
  <c r="AV93" s="1"/>
  <c r="AS93"/>
  <c r="AQ93"/>
  <c r="AR93" s="1"/>
  <c r="AI93"/>
  <c r="AH93"/>
  <c r="AG93"/>
  <c r="AF93"/>
  <c r="AE93"/>
  <c r="AD93"/>
  <c r="AB93"/>
  <c r="AA93"/>
  <c r="Y93"/>
  <c r="AX92"/>
  <c r="AW92"/>
  <c r="AQ92"/>
  <c r="AR92" s="1"/>
  <c r="AS92" s="1"/>
  <c r="AI92"/>
  <c r="AH92"/>
  <c r="AG92"/>
  <c r="AF92"/>
  <c r="AE92"/>
  <c r="AD92"/>
  <c r="AB92"/>
  <c r="AA92"/>
  <c r="Y92"/>
  <c r="AX91"/>
  <c r="AW91"/>
  <c r="AS91"/>
  <c r="AQ91"/>
  <c r="AR91" s="1"/>
  <c r="AT91" s="1"/>
  <c r="AI91"/>
  <c r="AH91"/>
  <c r="AG91"/>
  <c r="AF91"/>
  <c r="AE91"/>
  <c r="AD91"/>
  <c r="AB91"/>
  <c r="AA91"/>
  <c r="Y91"/>
  <c r="AX90"/>
  <c r="AW90"/>
  <c r="AT90"/>
  <c r="AV90" s="1"/>
  <c r="AS90"/>
  <c r="AQ90"/>
  <c r="AR90" s="1"/>
  <c r="AI90"/>
  <c r="AH90"/>
  <c r="AG90"/>
  <c r="AF90"/>
  <c r="AE90"/>
  <c r="AD90"/>
  <c r="AB90"/>
  <c r="AA90"/>
  <c r="Y90"/>
  <c r="AX89"/>
  <c r="AW89"/>
  <c r="AU89"/>
  <c r="AT89"/>
  <c r="AV89" s="1"/>
  <c r="AS89"/>
  <c r="AQ89"/>
  <c r="AR89" s="1"/>
  <c r="AI89"/>
  <c r="AH89"/>
  <c r="AG89"/>
  <c r="AF89"/>
  <c r="AE89"/>
  <c r="AD89"/>
  <c r="AB89"/>
  <c r="AA89"/>
  <c r="Y89"/>
  <c r="AX88"/>
  <c r="AW88"/>
  <c r="AQ88"/>
  <c r="AR88" s="1"/>
  <c r="AS88" s="1"/>
  <c r="AI88"/>
  <c r="AH88"/>
  <c r="AG88"/>
  <c r="AF88"/>
  <c r="AE88"/>
  <c r="AD88"/>
  <c r="AB88"/>
  <c r="AA88"/>
  <c r="Y88"/>
  <c r="AX87"/>
  <c r="AW87"/>
  <c r="AS87"/>
  <c r="AQ87"/>
  <c r="AR87" s="1"/>
  <c r="AT87" s="1"/>
  <c r="AI87"/>
  <c r="AH87"/>
  <c r="AG87"/>
  <c r="AF87"/>
  <c r="AE87"/>
  <c r="AD87"/>
  <c r="AB87"/>
  <c r="AA87"/>
  <c r="Y87"/>
  <c r="AX86"/>
  <c r="AW86"/>
  <c r="AT86"/>
  <c r="AV86" s="1"/>
  <c r="AS86"/>
  <c r="AQ86"/>
  <c r="AR86" s="1"/>
  <c r="AI86"/>
  <c r="AH86"/>
  <c r="AG86"/>
  <c r="AF86"/>
  <c r="AE86"/>
  <c r="AD86"/>
  <c r="AB86"/>
  <c r="AA86"/>
  <c r="Y86"/>
  <c r="AX85"/>
  <c r="AW85"/>
  <c r="AU85"/>
  <c r="AT85"/>
  <c r="AV85" s="1"/>
  <c r="AS85"/>
  <c r="AQ85"/>
  <c r="AR85" s="1"/>
  <c r="AI85"/>
  <c r="AH85"/>
  <c r="AG85"/>
  <c r="AF85"/>
  <c r="AE85"/>
  <c r="AD85"/>
  <c r="AB85"/>
  <c r="AA85"/>
  <c r="Y85"/>
  <c r="AX84"/>
  <c r="AW84"/>
  <c r="AQ84"/>
  <c r="AR84" s="1"/>
  <c r="AS84" s="1"/>
  <c r="AI84"/>
  <c r="AH84"/>
  <c r="AG84"/>
  <c r="AF84"/>
  <c r="AE84"/>
  <c r="AD84"/>
  <c r="AB84"/>
  <c r="AA84"/>
  <c r="Y84"/>
  <c r="AX83"/>
  <c r="AW83"/>
  <c r="AS83"/>
  <c r="AQ83"/>
  <c r="AR83" s="1"/>
  <c r="AT83" s="1"/>
  <c r="AI83"/>
  <c r="AH83"/>
  <c r="AG83"/>
  <c r="AF83"/>
  <c r="AE83"/>
  <c r="AD83"/>
  <c r="AB83"/>
  <c r="AA83"/>
  <c r="Y83"/>
  <c r="AX82"/>
  <c r="AW82"/>
  <c r="AT82"/>
  <c r="AV82" s="1"/>
  <c r="AS82"/>
  <c r="AQ82"/>
  <c r="AR82" s="1"/>
  <c r="AI82"/>
  <c r="AH82"/>
  <c r="AG82"/>
  <c r="AF82"/>
  <c r="AE82"/>
  <c r="AD82"/>
  <c r="AB82"/>
  <c r="AA82"/>
  <c r="Y82"/>
  <c r="AX81"/>
  <c r="AW81"/>
  <c r="AU81"/>
  <c r="AT81"/>
  <c r="AV81" s="1"/>
  <c r="AS81"/>
  <c r="AQ81"/>
  <c r="AR81" s="1"/>
  <c r="AI81"/>
  <c r="AH81"/>
  <c r="AG81"/>
  <c r="AF81"/>
  <c r="AE81"/>
  <c r="AD81"/>
  <c r="AB81"/>
  <c r="AA81"/>
  <c r="Y81"/>
  <c r="AX80"/>
  <c r="AW80"/>
  <c r="AQ80"/>
  <c r="AR80" s="1"/>
  <c r="AS80" s="1"/>
  <c r="AI80"/>
  <c r="AH80"/>
  <c r="AG80"/>
  <c r="AF80"/>
  <c r="AE80"/>
  <c r="AD80"/>
  <c r="AB80"/>
  <c r="AA80"/>
  <c r="Y80"/>
  <c r="AX79"/>
  <c r="AW79"/>
  <c r="AS79"/>
  <c r="AQ79"/>
  <c r="AR79" s="1"/>
  <c r="AT79" s="1"/>
  <c r="AI79"/>
  <c r="AH79"/>
  <c r="AG79"/>
  <c r="AF79"/>
  <c r="AE79"/>
  <c r="AD79"/>
  <c r="AB79"/>
  <c r="AA79"/>
  <c r="Y79"/>
  <c r="AX78"/>
  <c r="AW78"/>
  <c r="AT78"/>
  <c r="AV78" s="1"/>
  <c r="AS78"/>
  <c r="AQ78"/>
  <c r="AR78" s="1"/>
  <c r="AI78"/>
  <c r="AH78"/>
  <c r="AG78"/>
  <c r="AF78"/>
  <c r="AE78"/>
  <c r="AD78"/>
  <c r="AB78"/>
  <c r="AA78"/>
  <c r="Y78"/>
  <c r="AX77"/>
  <c r="AW77"/>
  <c r="AU77"/>
  <c r="AT77"/>
  <c r="AV77" s="1"/>
  <c r="AS77"/>
  <c r="AQ77"/>
  <c r="AR77" s="1"/>
  <c r="AI77"/>
  <c r="AH77"/>
  <c r="AG77"/>
  <c r="AF77"/>
  <c r="AE77"/>
  <c r="AD77"/>
  <c r="AB77"/>
  <c r="AA77"/>
  <c r="Y77"/>
  <c r="AX76"/>
  <c r="AW76"/>
  <c r="AQ76"/>
  <c r="AR76" s="1"/>
  <c r="AS76" s="1"/>
  <c r="AI76"/>
  <c r="AH76"/>
  <c r="AG76"/>
  <c r="AF76"/>
  <c r="AE76"/>
  <c r="AD76"/>
  <c r="AB76"/>
  <c r="AA76"/>
  <c r="Y76"/>
  <c r="AX75"/>
  <c r="AW75"/>
  <c r="AS75"/>
  <c r="AQ75"/>
  <c r="AR75" s="1"/>
  <c r="AT75" s="1"/>
  <c r="AI75"/>
  <c r="AH75"/>
  <c r="AG75"/>
  <c r="AF75"/>
  <c r="AE75"/>
  <c r="AD75"/>
  <c r="AB75"/>
  <c r="AA75"/>
  <c r="Y75"/>
  <c r="AX74"/>
  <c r="AW74"/>
  <c r="AT74"/>
  <c r="AV74" s="1"/>
  <c r="AS74"/>
  <c r="AQ74"/>
  <c r="AR74" s="1"/>
  <c r="AI74"/>
  <c r="AH74"/>
  <c r="AG74"/>
  <c r="AF74"/>
  <c r="AE74"/>
  <c r="AD74"/>
  <c r="AB74"/>
  <c r="AA74"/>
  <c r="Y74"/>
  <c r="AX73"/>
  <c r="AW73"/>
  <c r="AU73"/>
  <c r="AT73"/>
  <c r="AV73" s="1"/>
  <c r="AS73"/>
  <c r="AQ73"/>
  <c r="AR73" s="1"/>
  <c r="AI73"/>
  <c r="AH73"/>
  <c r="AG73"/>
  <c r="AF73"/>
  <c r="AE73"/>
  <c r="AD73"/>
  <c r="AB73"/>
  <c r="AA73"/>
  <c r="Y73"/>
  <c r="AX72"/>
  <c r="AW72"/>
  <c r="AQ72"/>
  <c r="AR72" s="1"/>
  <c r="AS72" s="1"/>
  <c r="AI72"/>
  <c r="AH72"/>
  <c r="AG72"/>
  <c r="AF72"/>
  <c r="AE72"/>
  <c r="AD72"/>
  <c r="AB72"/>
  <c r="AA72"/>
  <c r="Y72"/>
  <c r="AX71"/>
  <c r="AW71"/>
  <c r="AS71"/>
  <c r="AQ71"/>
  <c r="AR71" s="1"/>
  <c r="AT71" s="1"/>
  <c r="AI71"/>
  <c r="AH71"/>
  <c r="AG71"/>
  <c r="AF71"/>
  <c r="AE71"/>
  <c r="AD71"/>
  <c r="AB71"/>
  <c r="AA71"/>
  <c r="Y71"/>
  <c r="AX70"/>
  <c r="AW70"/>
  <c r="AT70"/>
  <c r="AV70" s="1"/>
  <c r="AS70"/>
  <c r="AQ70"/>
  <c r="AR70" s="1"/>
  <c r="AI70"/>
  <c r="AH70"/>
  <c r="AG70"/>
  <c r="AF70"/>
  <c r="AE70"/>
  <c r="AD70"/>
  <c r="AB70"/>
  <c r="AA70"/>
  <c r="Y70"/>
  <c r="AX69"/>
  <c r="AW69"/>
  <c r="AU69"/>
  <c r="AT69"/>
  <c r="AV69" s="1"/>
  <c r="AS69"/>
  <c r="AQ69"/>
  <c r="AR69" s="1"/>
  <c r="AI69"/>
  <c r="AH69"/>
  <c r="AG69"/>
  <c r="AF69"/>
  <c r="AE69"/>
  <c r="AD69"/>
  <c r="AB69"/>
  <c r="AA69"/>
  <c r="Y69"/>
  <c r="AX68"/>
  <c r="AW68"/>
  <c r="AQ68"/>
  <c r="AR68" s="1"/>
  <c r="AS68" s="1"/>
  <c r="AI68"/>
  <c r="AH68"/>
  <c r="AG68"/>
  <c r="AF68"/>
  <c r="AE68"/>
  <c r="AD68"/>
  <c r="AB68"/>
  <c r="AA68"/>
  <c r="Y68"/>
  <c r="AX67"/>
  <c r="AW67"/>
  <c r="AS67"/>
  <c r="AQ67"/>
  <c r="AR67" s="1"/>
  <c r="AT67" s="1"/>
  <c r="AI67"/>
  <c r="AH67"/>
  <c r="AG67"/>
  <c r="AF67"/>
  <c r="AE67"/>
  <c r="AD67"/>
  <c r="AB67"/>
  <c r="AA67"/>
  <c r="Y67"/>
  <c r="AX66"/>
  <c r="AW66"/>
  <c r="AT66"/>
  <c r="AV66" s="1"/>
  <c r="AS66"/>
  <c r="AQ66"/>
  <c r="AR66" s="1"/>
  <c r="AI66"/>
  <c r="AH66"/>
  <c r="AG66"/>
  <c r="AF66"/>
  <c r="AE66"/>
  <c r="AD66"/>
  <c r="AB66"/>
  <c r="AA66"/>
  <c r="Y66"/>
  <c r="AX65"/>
  <c r="AW65"/>
  <c r="AU65"/>
  <c r="AT65"/>
  <c r="AV65" s="1"/>
  <c r="AS65"/>
  <c r="AQ65"/>
  <c r="AR65" s="1"/>
  <c r="AI65"/>
  <c r="AH65"/>
  <c r="AG65"/>
  <c r="AF65"/>
  <c r="AE65"/>
  <c r="AD65"/>
  <c r="AB65"/>
  <c r="AA65"/>
  <c r="Y65"/>
  <c r="AX64"/>
  <c r="AW64"/>
  <c r="AQ64"/>
  <c r="AR64" s="1"/>
  <c r="AS64" s="1"/>
  <c r="AI64"/>
  <c r="AH64"/>
  <c r="AG64"/>
  <c r="AF64"/>
  <c r="AE64"/>
  <c r="AD64"/>
  <c r="AB64"/>
  <c r="AA64"/>
  <c r="Y64"/>
  <c r="AX63"/>
  <c r="AW63"/>
  <c r="AS63"/>
  <c r="AQ63"/>
  <c r="AR63" s="1"/>
  <c r="AT63" s="1"/>
  <c r="AI63"/>
  <c r="AH63"/>
  <c r="AG63"/>
  <c r="AF63"/>
  <c r="AE63"/>
  <c r="AD63"/>
  <c r="AB63"/>
  <c r="AA63"/>
  <c r="Y63"/>
  <c r="AX62"/>
  <c r="AW62"/>
  <c r="AT62"/>
  <c r="AV62" s="1"/>
  <c r="AS62"/>
  <c r="AQ62"/>
  <c r="AR62" s="1"/>
  <c r="AI62"/>
  <c r="AH62"/>
  <c r="AG62"/>
  <c r="AF62"/>
  <c r="AE62"/>
  <c r="AD62"/>
  <c r="AB62"/>
  <c r="AA62"/>
  <c r="Y62"/>
  <c r="AX61"/>
  <c r="AW61"/>
  <c r="AU61"/>
  <c r="AT61"/>
  <c r="AV61" s="1"/>
  <c r="AS61"/>
  <c r="AQ61"/>
  <c r="AR61" s="1"/>
  <c r="AI61"/>
  <c r="AH61"/>
  <c r="AG61"/>
  <c r="AF61"/>
  <c r="AE61"/>
  <c r="AD61"/>
  <c r="AB61"/>
  <c r="AA61"/>
  <c r="Y61"/>
  <c r="AX60"/>
  <c r="AW60"/>
  <c r="AQ60"/>
  <c r="AR60" s="1"/>
  <c r="AS60" s="1"/>
  <c r="AI60"/>
  <c r="AH60"/>
  <c r="AG60"/>
  <c r="AF60"/>
  <c r="AE60"/>
  <c r="AD60"/>
  <c r="AB60"/>
  <c r="AA60"/>
  <c r="Y60"/>
  <c r="AX59"/>
  <c r="AW59"/>
  <c r="AS59"/>
  <c r="AQ59"/>
  <c r="AR59" s="1"/>
  <c r="AT59" s="1"/>
  <c r="AI59"/>
  <c r="AH59"/>
  <c r="AG59"/>
  <c r="AF59"/>
  <c r="AE59"/>
  <c r="AD59"/>
  <c r="AB59"/>
  <c r="AA59"/>
  <c r="Y59"/>
  <c r="AX58"/>
  <c r="AW58"/>
  <c r="AT58"/>
  <c r="AV58" s="1"/>
  <c r="AS58"/>
  <c r="AQ58"/>
  <c r="AR58" s="1"/>
  <c r="AI58"/>
  <c r="AH58"/>
  <c r="AG58"/>
  <c r="AF58"/>
  <c r="AE58"/>
  <c r="AD58"/>
  <c r="AB58"/>
  <c r="AA58"/>
  <c r="Y58"/>
  <c r="AX57"/>
  <c r="AW57"/>
  <c r="AU57"/>
  <c r="AT57"/>
  <c r="AV57" s="1"/>
  <c r="AS57"/>
  <c r="AQ57"/>
  <c r="AR57" s="1"/>
  <c r="AI57"/>
  <c r="AH57"/>
  <c r="AG57"/>
  <c r="AF57"/>
  <c r="AE57"/>
  <c r="AD57"/>
  <c r="AB57"/>
  <c r="AA57"/>
  <c r="Y57"/>
  <c r="AX56"/>
  <c r="AW56"/>
  <c r="AQ56"/>
  <c r="AR56" s="1"/>
  <c r="AS56" s="1"/>
  <c r="AI56"/>
  <c r="AH56"/>
  <c r="AG56"/>
  <c r="AF56"/>
  <c r="AE56"/>
  <c r="AD56"/>
  <c r="AB56"/>
  <c r="AA56"/>
  <c r="Y56"/>
  <c r="AX55"/>
  <c r="AW55"/>
  <c r="AS55"/>
  <c r="AQ55"/>
  <c r="AR55" s="1"/>
  <c r="AT55" s="1"/>
  <c r="AI55"/>
  <c r="AH55"/>
  <c r="AG55"/>
  <c r="AF55"/>
  <c r="AE55"/>
  <c r="AD55"/>
  <c r="AB55"/>
  <c r="AA55"/>
  <c r="Y55"/>
  <c r="AX54"/>
  <c r="AW54"/>
  <c r="AT54"/>
  <c r="AV54" s="1"/>
  <c r="AS54"/>
  <c r="AQ54"/>
  <c r="AR54" s="1"/>
  <c r="AI54"/>
  <c r="AH54"/>
  <c r="AG54"/>
  <c r="AF54"/>
  <c r="AE54"/>
  <c r="AD54"/>
  <c r="AB54"/>
  <c r="AA54"/>
  <c r="Y54"/>
  <c r="AX53"/>
  <c r="AW53"/>
  <c r="AU53"/>
  <c r="AT53"/>
  <c r="AV53" s="1"/>
  <c r="AS53"/>
  <c r="AQ53"/>
  <c r="AR53" s="1"/>
  <c r="AI53"/>
  <c r="AH53"/>
  <c r="AG53"/>
  <c r="AF53"/>
  <c r="AE53"/>
  <c r="AD53"/>
  <c r="AB53"/>
  <c r="AA53"/>
  <c r="Y53"/>
  <c r="AX52"/>
  <c r="AW52"/>
  <c r="AQ52"/>
  <c r="AR52" s="1"/>
  <c r="AS52" s="1"/>
  <c r="AI52"/>
  <c r="AH52"/>
  <c r="AG52"/>
  <c r="AF52"/>
  <c r="AE52"/>
  <c r="AD52"/>
  <c r="AB52"/>
  <c r="AA52"/>
  <c r="Y52"/>
  <c r="AX51"/>
  <c r="AW51"/>
  <c r="AS51"/>
  <c r="AQ51"/>
  <c r="AR51" s="1"/>
  <c r="AT51" s="1"/>
  <c r="AI51"/>
  <c r="AH51"/>
  <c r="AG51"/>
  <c r="AF51"/>
  <c r="AE51"/>
  <c r="AD51"/>
  <c r="AB51"/>
  <c r="AA51"/>
  <c r="Y51"/>
  <c r="AX50"/>
  <c r="AW50"/>
  <c r="AT50"/>
  <c r="AV50" s="1"/>
  <c r="AS50"/>
  <c r="AQ50"/>
  <c r="AR50" s="1"/>
  <c r="AI50"/>
  <c r="AH50"/>
  <c r="AG50"/>
  <c r="AF50"/>
  <c r="AE50"/>
  <c r="AD50"/>
  <c r="AB50"/>
  <c r="AA50"/>
  <c r="Y50"/>
  <c r="AX49"/>
  <c r="AW49"/>
  <c r="AU49"/>
  <c r="AT49"/>
  <c r="AV49" s="1"/>
  <c r="AS49"/>
  <c r="AQ49"/>
  <c r="AR49" s="1"/>
  <c r="AI49"/>
  <c r="AH49"/>
  <c r="AG49"/>
  <c r="AF49"/>
  <c r="AE49"/>
  <c r="AD49"/>
  <c r="AB49"/>
  <c r="AA49"/>
  <c r="Y49"/>
  <c r="AX48"/>
  <c r="AW48"/>
  <c r="AQ48"/>
  <c r="AR48" s="1"/>
  <c r="AS48" s="1"/>
  <c r="AI48"/>
  <c r="AH48"/>
  <c r="AG48"/>
  <c r="AF48"/>
  <c r="AE48"/>
  <c r="AD48"/>
  <c r="AB48"/>
  <c r="AA48"/>
  <c r="Y48"/>
  <c r="AX47"/>
  <c r="AW47"/>
  <c r="AS47"/>
  <c r="AQ47"/>
  <c r="AR47" s="1"/>
  <c r="AT47" s="1"/>
  <c r="AI47"/>
  <c r="AH47"/>
  <c r="AG47"/>
  <c r="AF47"/>
  <c r="AE47"/>
  <c r="AD47"/>
  <c r="AB47"/>
  <c r="AA47"/>
  <c r="Y47"/>
  <c r="AX46"/>
  <c r="AW46"/>
  <c r="AT46"/>
  <c r="AV46" s="1"/>
  <c r="AS46"/>
  <c r="AQ46"/>
  <c r="AR46" s="1"/>
  <c r="AI46"/>
  <c r="AH46"/>
  <c r="AG46"/>
  <c r="AF46"/>
  <c r="AE46"/>
  <c r="AD46"/>
  <c r="AB46"/>
  <c r="AA46"/>
  <c r="Y46"/>
  <c r="AX45"/>
  <c r="AW45"/>
  <c r="AU45"/>
  <c r="AT45"/>
  <c r="AV45" s="1"/>
  <c r="AS45"/>
  <c r="AQ45"/>
  <c r="AR45" s="1"/>
  <c r="AI45"/>
  <c r="AH45"/>
  <c r="AG45"/>
  <c r="AF45"/>
  <c r="AE45"/>
  <c r="AD45"/>
  <c r="AB45"/>
  <c r="AA45"/>
  <c r="Y45"/>
  <c r="AX44"/>
  <c r="AW44"/>
  <c r="AQ44"/>
  <c r="AR44" s="1"/>
  <c r="AS44" s="1"/>
  <c r="AI44"/>
  <c r="AH44"/>
  <c r="AG44"/>
  <c r="AF44"/>
  <c r="AE44"/>
  <c r="AD44"/>
  <c r="AB44"/>
  <c r="AA44"/>
  <c r="Y44"/>
  <c r="AX43"/>
  <c r="AW43"/>
  <c r="AS43"/>
  <c r="AQ43"/>
  <c r="AR43" s="1"/>
  <c r="AT43" s="1"/>
  <c r="AI43"/>
  <c r="AH43"/>
  <c r="AG43"/>
  <c r="AF43"/>
  <c r="AE43"/>
  <c r="AD43"/>
  <c r="AB43"/>
  <c r="AA43"/>
  <c r="Y43"/>
  <c r="AX42"/>
  <c r="AW42"/>
  <c r="AT42"/>
  <c r="AV42" s="1"/>
  <c r="AS42"/>
  <c r="AR42"/>
  <c r="AQ42"/>
  <c r="AI42"/>
  <c r="AH42"/>
  <c r="AG42"/>
  <c r="AF42"/>
  <c r="AE42"/>
  <c r="AD42"/>
  <c r="AB42"/>
  <c r="AA42"/>
  <c r="Y42"/>
  <c r="AX41"/>
  <c r="AW41"/>
  <c r="AT41"/>
  <c r="AU41" s="1"/>
  <c r="AS41"/>
  <c r="AR41"/>
  <c r="AQ41"/>
  <c r="AI41"/>
  <c r="AH41"/>
  <c r="AG41"/>
  <c r="AF41"/>
  <c r="AE41"/>
  <c r="AD41"/>
  <c r="AB41"/>
  <c r="AA41"/>
  <c r="Y41"/>
  <c r="AX40"/>
  <c r="AW40"/>
  <c r="AT40"/>
  <c r="AU40" s="1"/>
  <c r="AS40"/>
  <c r="AR40"/>
  <c r="AQ40"/>
  <c r="AI40"/>
  <c r="AH40"/>
  <c r="AG40"/>
  <c r="AF40"/>
  <c r="AE40"/>
  <c r="AD40"/>
  <c r="AB40"/>
  <c r="AA40"/>
  <c r="Y40"/>
  <c r="AX39"/>
  <c r="AW39"/>
  <c r="AT39"/>
  <c r="AU39" s="1"/>
  <c r="AS39"/>
  <c r="AR39"/>
  <c r="AQ39"/>
  <c r="AI39"/>
  <c r="AH39"/>
  <c r="AG39"/>
  <c r="AF39"/>
  <c r="AE39"/>
  <c r="AD39"/>
  <c r="AB39"/>
  <c r="AA39"/>
  <c r="Y39"/>
  <c r="AX38"/>
  <c r="AW38"/>
  <c r="AT38"/>
  <c r="AU38" s="1"/>
  <c r="AS38"/>
  <c r="AR38"/>
  <c r="AQ38"/>
  <c r="AI38"/>
  <c r="AH38"/>
  <c r="AG38"/>
  <c r="AF38"/>
  <c r="AE38"/>
  <c r="AD38"/>
  <c r="AB38"/>
  <c r="AA38"/>
  <c r="Y38"/>
  <c r="AX37"/>
  <c r="AW37"/>
  <c r="AT37"/>
  <c r="AU37" s="1"/>
  <c r="AS37"/>
  <c r="AR37"/>
  <c r="AQ37"/>
  <c r="AI37"/>
  <c r="AH37"/>
  <c r="AG37"/>
  <c r="AF37"/>
  <c r="AE37"/>
  <c r="AD37"/>
  <c r="AB37"/>
  <c r="AA37"/>
  <c r="Y37"/>
  <c r="AX36"/>
  <c r="AW36"/>
  <c r="AT36"/>
  <c r="AU36" s="1"/>
  <c r="AS36"/>
  <c r="AR36"/>
  <c r="AQ36"/>
  <c r="AI36"/>
  <c r="AH36"/>
  <c r="AG36"/>
  <c r="AF36"/>
  <c r="AE36"/>
  <c r="AD36"/>
  <c r="AB36"/>
  <c r="AA36"/>
  <c r="Y36"/>
  <c r="AX35"/>
  <c r="AW35"/>
  <c r="AT35"/>
  <c r="AU35" s="1"/>
  <c r="AS35"/>
  <c r="AR35"/>
  <c r="AQ35"/>
  <c r="AI35"/>
  <c r="AH35"/>
  <c r="AG35"/>
  <c r="AF35"/>
  <c r="AE35"/>
  <c r="AD35"/>
  <c r="AB35"/>
  <c r="AA35"/>
  <c r="Y35"/>
  <c r="AX34"/>
  <c r="AW34"/>
  <c r="AT34"/>
  <c r="AU34" s="1"/>
  <c r="AS34"/>
  <c r="AR34"/>
  <c r="AQ34"/>
  <c r="AI34"/>
  <c r="AH34"/>
  <c r="AG34"/>
  <c r="AF34"/>
  <c r="AE34"/>
  <c r="AD34"/>
  <c r="AB34"/>
  <c r="AA34"/>
  <c r="Y34"/>
  <c r="AX33"/>
  <c r="AW33"/>
  <c r="AT33"/>
  <c r="AU33" s="1"/>
  <c r="AS33"/>
  <c r="AR33"/>
  <c r="AQ33"/>
  <c r="AI33"/>
  <c r="AH33"/>
  <c r="AG33"/>
  <c r="AF33"/>
  <c r="AE33"/>
  <c r="AD33"/>
  <c r="AB33"/>
  <c r="AA33"/>
  <c r="Y33"/>
  <c r="AX32"/>
  <c r="AW32"/>
  <c r="AT32"/>
  <c r="AU32" s="1"/>
  <c r="AS32"/>
  <c r="AR32"/>
  <c r="AQ32"/>
  <c r="AI32"/>
  <c r="AH32"/>
  <c r="AG32"/>
  <c r="AF32"/>
  <c r="AE32"/>
  <c r="AD32"/>
  <c r="AB32"/>
  <c r="AA32"/>
  <c r="Y32"/>
  <c r="AX31"/>
  <c r="AW31"/>
  <c r="AT31"/>
  <c r="AU31" s="1"/>
  <c r="AS31"/>
  <c r="AR31"/>
  <c r="AQ31"/>
  <c r="AI31"/>
  <c r="AH31"/>
  <c r="AG31"/>
  <c r="AF31"/>
  <c r="AE31"/>
  <c r="AD31"/>
  <c r="AB31"/>
  <c r="AA31"/>
  <c r="Y31"/>
  <c r="AX30"/>
  <c r="AW30"/>
  <c r="AT30"/>
  <c r="AU30" s="1"/>
  <c r="AS30"/>
  <c r="AR30"/>
  <c r="AQ30"/>
  <c r="AI30"/>
  <c r="AH30"/>
  <c r="AG30"/>
  <c r="AF30"/>
  <c r="AE30"/>
  <c r="AD30"/>
  <c r="AB30"/>
  <c r="AA30"/>
  <c r="Y30"/>
  <c r="AX29"/>
  <c r="AW29"/>
  <c r="AT29"/>
  <c r="AU29" s="1"/>
  <c r="AS29"/>
  <c r="AR29"/>
  <c r="AQ29"/>
  <c r="AI29"/>
  <c r="AH29"/>
  <c r="AG29"/>
  <c r="AF29"/>
  <c r="AE29"/>
  <c r="AD29"/>
  <c r="AB29"/>
  <c r="AA29"/>
  <c r="Y29"/>
  <c r="AX28"/>
  <c r="AW28"/>
  <c r="AT28"/>
  <c r="AU28" s="1"/>
  <c r="AS28"/>
  <c r="AR28"/>
  <c r="AQ28"/>
  <c r="AI28"/>
  <c r="AH28"/>
  <c r="AG28"/>
  <c r="AF28"/>
  <c r="AE28"/>
  <c r="AD28"/>
  <c r="AB28"/>
  <c r="AA28"/>
  <c r="Y28"/>
  <c r="AX27"/>
  <c r="AW27"/>
  <c r="AT27"/>
  <c r="AU27" s="1"/>
  <c r="AS27"/>
  <c r="AR27"/>
  <c r="AQ27"/>
  <c r="AI27"/>
  <c r="AH27"/>
  <c r="AG27"/>
  <c r="AF27"/>
  <c r="AE27"/>
  <c r="AD27"/>
  <c r="AB27"/>
  <c r="AA27"/>
  <c r="Y27"/>
  <c r="AX26"/>
  <c r="AW26"/>
  <c r="AT26"/>
  <c r="AU26" s="1"/>
  <c r="AS26"/>
  <c r="AR26"/>
  <c r="AQ26"/>
  <c r="AI26"/>
  <c r="AH26"/>
  <c r="AG26"/>
  <c r="AF26"/>
  <c r="AE26"/>
  <c r="AD26"/>
  <c r="AB26"/>
  <c r="AA26"/>
  <c r="Y26"/>
  <c r="AX25"/>
  <c r="AW25"/>
  <c r="AT25"/>
  <c r="AU25" s="1"/>
  <c r="AS25"/>
  <c r="AR25"/>
  <c r="AQ25"/>
  <c r="AI25"/>
  <c r="AH25"/>
  <c r="AG25"/>
  <c r="AF25"/>
  <c r="AE25"/>
  <c r="AD25"/>
  <c r="AB25"/>
  <c r="AA25"/>
  <c r="Y25"/>
  <c r="AX24"/>
  <c r="AW24"/>
  <c r="AT24"/>
  <c r="AU24" s="1"/>
  <c r="AS24"/>
  <c r="AR24"/>
  <c r="AQ24"/>
  <c r="AI24"/>
  <c r="AH24"/>
  <c r="AG24"/>
  <c r="AF24"/>
  <c r="AE24"/>
  <c r="AD24"/>
  <c r="AB24"/>
  <c r="AA24"/>
  <c r="Y24"/>
  <c r="AX23"/>
  <c r="AW23"/>
  <c r="AT23"/>
  <c r="AU23" s="1"/>
  <c r="AS23"/>
  <c r="AR23"/>
  <c r="AQ23"/>
  <c r="AI23"/>
  <c r="AH23"/>
  <c r="AG23"/>
  <c r="AF23"/>
  <c r="AE23"/>
  <c r="AD23"/>
  <c r="AB23"/>
  <c r="AA23"/>
  <c r="Y23"/>
  <c r="AX22"/>
  <c r="AW22"/>
  <c r="AT22"/>
  <c r="AU22" s="1"/>
  <c r="AS22"/>
  <c r="AR22"/>
  <c r="AQ22"/>
  <c r="AI22"/>
  <c r="AH22"/>
  <c r="AG22"/>
  <c r="AF22"/>
  <c r="AE22"/>
  <c r="AD22"/>
  <c r="AB22"/>
  <c r="AA22"/>
  <c r="Y22"/>
  <c r="AX21"/>
  <c r="AW21"/>
  <c r="AT21"/>
  <c r="AU21" s="1"/>
  <c r="AS21"/>
  <c r="AR21"/>
  <c r="AQ21"/>
  <c r="AI21"/>
  <c r="AH21"/>
  <c r="AG21"/>
  <c r="AF21"/>
  <c r="AE21"/>
  <c r="AD21"/>
  <c r="AB21"/>
  <c r="AA21"/>
  <c r="Y21"/>
  <c r="AX20"/>
  <c r="AW20"/>
  <c r="AT20"/>
  <c r="AU20" s="1"/>
  <c r="AS20"/>
  <c r="AR20"/>
  <c r="AQ20"/>
  <c r="AI20"/>
  <c r="AH20"/>
  <c r="AG20"/>
  <c r="AF20"/>
  <c r="AE20"/>
  <c r="AD20"/>
  <c r="AB20"/>
  <c r="AA20"/>
  <c r="Y20"/>
  <c r="AX19"/>
  <c r="AW19"/>
  <c r="AT19"/>
  <c r="AU19" s="1"/>
  <c r="AS19"/>
  <c r="AR19"/>
  <c r="AQ19"/>
  <c r="AI19"/>
  <c r="AH19"/>
  <c r="AG19"/>
  <c r="AF19"/>
  <c r="AE19"/>
  <c r="AD19"/>
  <c r="AB19"/>
  <c r="AA19"/>
  <c r="Y19"/>
  <c r="AX18"/>
  <c r="AW18"/>
  <c r="AT18"/>
  <c r="AU18" s="1"/>
  <c r="AS18"/>
  <c r="AR18"/>
  <c r="AQ18"/>
  <c r="AI18"/>
  <c r="AH18"/>
  <c r="AG18"/>
  <c r="AF18"/>
  <c r="AE18"/>
  <c r="AD18"/>
  <c r="AB18"/>
  <c r="AA18"/>
  <c r="Y18"/>
  <c r="AX17"/>
  <c r="AW17"/>
  <c r="AT17"/>
  <c r="AU17" s="1"/>
  <c r="AS17"/>
  <c r="AR17"/>
  <c r="AQ17"/>
  <c r="AI17"/>
  <c r="AH17"/>
  <c r="AG17"/>
  <c r="AF17"/>
  <c r="AE17"/>
  <c r="AD17"/>
  <c r="AB17"/>
  <c r="AA17"/>
  <c r="Y17"/>
  <c r="AX16"/>
  <c r="AW16"/>
  <c r="AT16"/>
  <c r="AU16" s="1"/>
  <c r="AS16"/>
  <c r="AR16"/>
  <c r="AQ16"/>
  <c r="AI16"/>
  <c r="AH16"/>
  <c r="AG16"/>
  <c r="AF16"/>
  <c r="AE16"/>
  <c r="AD16"/>
  <c r="AB16"/>
  <c r="AA16"/>
  <c r="Y16"/>
  <c r="AX15"/>
  <c r="AW15"/>
  <c r="AT15"/>
  <c r="AU15" s="1"/>
  <c r="AS15"/>
  <c r="AR15"/>
  <c r="AQ15"/>
  <c r="AI15"/>
  <c r="AH15"/>
  <c r="AG15"/>
  <c r="AF15"/>
  <c r="AE15"/>
  <c r="AD15"/>
  <c r="AB15"/>
  <c r="AA15"/>
  <c r="Y15"/>
  <c r="AX14"/>
  <c r="AW14"/>
  <c r="AT14"/>
  <c r="AU14" s="1"/>
  <c r="AS14"/>
  <c r="AR14"/>
  <c r="AQ14"/>
  <c r="AI14"/>
  <c r="AH14"/>
  <c r="AG14"/>
  <c r="AF14"/>
  <c r="AE14"/>
  <c r="AD14"/>
  <c r="AB14"/>
  <c r="AA14"/>
  <c r="Y14"/>
  <c r="AX13"/>
  <c r="AW13"/>
  <c r="AT13"/>
  <c r="AU13" s="1"/>
  <c r="AS13"/>
  <c r="AR13"/>
  <c r="AQ13"/>
  <c r="AI13"/>
  <c r="AH13"/>
  <c r="AG13"/>
  <c r="AF13"/>
  <c r="AE13"/>
  <c r="AD13"/>
  <c r="AB13"/>
  <c r="AA13"/>
  <c r="Y13"/>
  <c r="AX12"/>
  <c r="AW12"/>
  <c r="AT12"/>
  <c r="AU12" s="1"/>
  <c r="AS12"/>
  <c r="AR12"/>
  <c r="AQ12"/>
  <c r="AI12"/>
  <c r="AH12"/>
  <c r="AG12"/>
  <c r="AF12"/>
  <c r="AE12"/>
  <c r="AD12"/>
  <c r="AB12"/>
  <c r="AA12"/>
  <c r="Y12"/>
  <c r="AX11"/>
  <c r="AW11"/>
  <c r="AT11"/>
  <c r="AU11" s="1"/>
  <c r="AS11"/>
  <c r="AR11"/>
  <c r="AQ11"/>
  <c r="AI11"/>
  <c r="AH11"/>
  <c r="AG11"/>
  <c r="AF11"/>
  <c r="AE11"/>
  <c r="AD11"/>
  <c r="AB11"/>
  <c r="AA11"/>
  <c r="Y11"/>
  <c r="AX10"/>
  <c r="AW10"/>
  <c r="AT10"/>
  <c r="AU10" s="1"/>
  <c r="AS10"/>
  <c r="AR10"/>
  <c r="AQ10"/>
  <c r="AI10"/>
  <c r="AH10"/>
  <c r="AG10"/>
  <c r="AF10"/>
  <c r="AE10"/>
  <c r="AD10"/>
  <c r="AB10"/>
  <c r="AA10"/>
  <c r="Y10"/>
  <c r="AX9"/>
  <c r="AW9"/>
  <c r="AT9"/>
  <c r="AU9" s="1"/>
  <c r="AS9"/>
  <c r="AR9"/>
  <c r="AQ9"/>
  <c r="AI9"/>
  <c r="AH9"/>
  <c r="AG9"/>
  <c r="AF9"/>
  <c r="AE9"/>
  <c r="AD9"/>
  <c r="AB9"/>
  <c r="AA9"/>
  <c r="Y9"/>
  <c r="AX8"/>
  <c r="AW8"/>
  <c r="AT8"/>
  <c r="AU8" s="1"/>
  <c r="AS8"/>
  <c r="AR8"/>
  <c r="AQ8"/>
  <c r="AI8"/>
  <c r="AH8"/>
  <c r="AG8"/>
  <c r="AF8"/>
  <c r="AE8"/>
  <c r="AD8"/>
  <c r="AB8"/>
  <c r="AA8"/>
  <c r="Y8"/>
  <c r="AX7"/>
  <c r="AW7"/>
  <c r="AT7"/>
  <c r="AU7" s="1"/>
  <c r="AS7"/>
  <c r="AR7"/>
  <c r="AQ7"/>
  <c r="AI7"/>
  <c r="AH7"/>
  <c r="AG7"/>
  <c r="AF7"/>
  <c r="AE7"/>
  <c r="AD7"/>
  <c r="AB7"/>
  <c r="AA7"/>
  <c r="Y7"/>
  <c r="AX6"/>
  <c r="AW6"/>
  <c r="AS6"/>
  <c r="AR6"/>
  <c r="AT6" s="1"/>
  <c r="AQ6"/>
  <c r="AI6"/>
  <c r="AH6"/>
  <c r="AG6"/>
  <c r="AF6"/>
  <c r="AE6"/>
  <c r="AD6"/>
  <c r="AB6"/>
  <c r="AA6"/>
  <c r="Y6"/>
  <c r="AX5"/>
  <c r="AW5"/>
  <c r="AR5"/>
  <c r="AS5" s="1"/>
  <c r="AQ5"/>
  <c r="AI5"/>
  <c r="AH5"/>
  <c r="AG5"/>
  <c r="AF5"/>
  <c r="AE5"/>
  <c r="AD5"/>
  <c r="AB5"/>
  <c r="AA5"/>
  <c r="Y5"/>
  <c r="AX4"/>
  <c r="AW4"/>
  <c r="AQ4"/>
  <c r="AR4" s="1"/>
  <c r="AI4"/>
  <c r="AH4"/>
  <c r="AG4"/>
  <c r="AF4"/>
  <c r="AE4"/>
  <c r="AD4"/>
  <c r="AB4"/>
  <c r="AA4"/>
  <c r="Y4"/>
  <c r="AX3"/>
  <c r="AW3"/>
  <c r="AT3"/>
  <c r="AU3" s="1"/>
  <c r="AS3"/>
  <c r="AR3"/>
  <c r="AQ3"/>
  <c r="AI3"/>
  <c r="AH3"/>
  <c r="AG3"/>
  <c r="AF3"/>
  <c r="AE3"/>
  <c r="AD3"/>
  <c r="AB3"/>
  <c r="AA3"/>
  <c r="Y3"/>
  <c r="AX2"/>
  <c r="AW2"/>
  <c r="AS2"/>
  <c r="AR2"/>
  <c r="AT2" s="1"/>
  <c r="AQ2"/>
  <c r="AI2"/>
  <c r="AH2"/>
  <c r="AG2"/>
  <c r="AF2"/>
  <c r="AE2"/>
  <c r="AD2"/>
  <c r="B6" i="2" s="1"/>
  <c r="AB2" i="1"/>
  <c r="AA2"/>
  <c r="Z2"/>
  <c r="Y2"/>
  <c r="V933"/>
  <c r="V932"/>
  <c r="V931"/>
  <c r="V930"/>
  <c r="V929"/>
  <c r="V928"/>
  <c r="V927"/>
  <c r="V926"/>
  <c r="V925"/>
  <c r="V924"/>
  <c r="V923"/>
  <c r="V922"/>
  <c r="V921"/>
  <c r="V920"/>
  <c r="V919"/>
  <c r="V918"/>
  <c r="V917"/>
  <c r="V916"/>
  <c r="V915"/>
  <c r="V914"/>
  <c r="V913"/>
  <c r="V912"/>
  <c r="V911"/>
  <c r="V910"/>
  <c r="V909"/>
  <c r="V908"/>
  <c r="V907"/>
  <c r="V906"/>
  <c r="V905"/>
  <c r="V904"/>
  <c r="V903"/>
  <c r="V902"/>
  <c r="V901"/>
  <c r="V900"/>
  <c r="V899"/>
  <c r="V898"/>
  <c r="V897"/>
  <c r="V896"/>
  <c r="V895"/>
  <c r="V894"/>
  <c r="V893"/>
  <c r="V892"/>
  <c r="V891"/>
  <c r="V890"/>
  <c r="V889"/>
  <c r="V888"/>
  <c r="V887"/>
  <c r="V886"/>
  <c r="V885"/>
  <c r="V884"/>
  <c r="V883"/>
  <c r="V882"/>
  <c r="V881"/>
  <c r="V880"/>
  <c r="V879"/>
  <c r="V878"/>
  <c r="V877"/>
  <c r="V876"/>
  <c r="V875"/>
  <c r="V874"/>
  <c r="V873"/>
  <c r="V872"/>
  <c r="V871"/>
  <c r="V870"/>
  <c r="V869"/>
  <c r="V868"/>
  <c r="V867"/>
  <c r="V866"/>
  <c r="V865"/>
  <c r="V864"/>
  <c r="V863"/>
  <c r="V862"/>
  <c r="V861"/>
  <c r="V860"/>
  <c r="V859"/>
  <c r="V858"/>
  <c r="V857"/>
  <c r="V856"/>
  <c r="V855"/>
  <c r="V854"/>
  <c r="V853"/>
  <c r="V852"/>
  <c r="V851"/>
  <c r="V850"/>
  <c r="V849"/>
  <c r="V848"/>
  <c r="V847"/>
  <c r="V846"/>
  <c r="V845"/>
  <c r="V844"/>
  <c r="V843"/>
  <c r="V842"/>
  <c r="V841"/>
  <c r="V840"/>
  <c r="V839"/>
  <c r="V838"/>
  <c r="V837"/>
  <c r="V836"/>
  <c r="V835"/>
  <c r="V834"/>
  <c r="V833"/>
  <c r="V832"/>
  <c r="V831"/>
  <c r="V830"/>
  <c r="V829"/>
  <c r="V828"/>
  <c r="V827"/>
  <c r="V826"/>
  <c r="V825"/>
  <c r="V824"/>
  <c r="V823"/>
  <c r="V822"/>
  <c r="V821"/>
  <c r="V820"/>
  <c r="V819"/>
  <c r="V818"/>
  <c r="V817"/>
  <c r="V816"/>
  <c r="V815"/>
  <c r="W933"/>
  <c r="W932"/>
  <c r="W931"/>
  <c r="W930"/>
  <c r="W929"/>
  <c r="W928"/>
  <c r="W927"/>
  <c r="W926"/>
  <c r="W925"/>
  <c r="W924"/>
  <c r="W923"/>
  <c r="W922"/>
  <c r="W921"/>
  <c r="W920"/>
  <c r="W919"/>
  <c r="W918"/>
  <c r="W917"/>
  <c r="W916"/>
  <c r="W915"/>
  <c r="W914"/>
  <c r="W913"/>
  <c r="W912"/>
  <c r="W911"/>
  <c r="W910"/>
  <c r="W909"/>
  <c r="W908"/>
  <c r="W907"/>
  <c r="W906"/>
  <c r="W905"/>
  <c r="W904"/>
  <c r="W903"/>
  <c r="W902"/>
  <c r="W901"/>
  <c r="W900"/>
  <c r="W899"/>
  <c r="W898"/>
  <c r="W897"/>
  <c r="W896"/>
  <c r="W895"/>
  <c r="W894"/>
  <c r="W893"/>
  <c r="W892"/>
  <c r="W891"/>
  <c r="W890"/>
  <c r="W889"/>
  <c r="W888"/>
  <c r="W887"/>
  <c r="W886"/>
  <c r="W885"/>
  <c r="W884"/>
  <c r="W883"/>
  <c r="W882"/>
  <c r="W881"/>
  <c r="W880"/>
  <c r="W879"/>
  <c r="W878"/>
  <c r="W877"/>
  <c r="W876"/>
  <c r="W875"/>
  <c r="W874"/>
  <c r="W873"/>
  <c r="W872"/>
  <c r="W871"/>
  <c r="W870"/>
  <c r="W869"/>
  <c r="W868"/>
  <c r="W867"/>
  <c r="W866"/>
  <c r="W865"/>
  <c r="W864"/>
  <c r="W863"/>
  <c r="W862"/>
  <c r="W861"/>
  <c r="W860"/>
  <c r="W859"/>
  <c r="W858"/>
  <c r="W857"/>
  <c r="W856"/>
  <c r="W855"/>
  <c r="W854"/>
  <c r="W853"/>
  <c r="W852"/>
  <c r="W851"/>
  <c r="W850"/>
  <c r="W849"/>
  <c r="W848"/>
  <c r="W847"/>
  <c r="W846"/>
  <c r="W845"/>
  <c r="W844"/>
  <c r="W843"/>
  <c r="W842"/>
  <c r="W841"/>
  <c r="W840"/>
  <c r="W839"/>
  <c r="W838"/>
  <c r="W837"/>
  <c r="W836"/>
  <c r="W835"/>
  <c r="W834"/>
  <c r="W833"/>
  <c r="W832"/>
  <c r="W831"/>
  <c r="W830"/>
  <c r="W829"/>
  <c r="W828"/>
  <c r="W827"/>
  <c r="W826"/>
  <c r="W825"/>
  <c r="W824"/>
  <c r="W823"/>
  <c r="W822"/>
  <c r="W821"/>
  <c r="W820"/>
  <c r="W819"/>
  <c r="W818"/>
  <c r="W817"/>
  <c r="W816"/>
  <c r="W815"/>
  <c r="W814"/>
  <c r="W813"/>
  <c r="W812"/>
  <c r="W811"/>
  <c r="W810"/>
  <c r="W809"/>
  <c r="W808"/>
  <c r="W807"/>
  <c r="V813"/>
  <c r="V809"/>
  <c r="W806"/>
  <c r="W805"/>
  <c r="W804"/>
  <c r="W803"/>
  <c r="W802"/>
  <c r="W801"/>
  <c r="W800"/>
  <c r="W799"/>
  <c r="W798"/>
  <c r="W797"/>
  <c r="W796"/>
  <c r="W795"/>
  <c r="W794"/>
  <c r="W793"/>
  <c r="W792"/>
  <c r="W791"/>
  <c r="W790"/>
  <c r="W789"/>
  <c r="W788"/>
  <c r="W787"/>
  <c r="W786"/>
  <c r="W785"/>
  <c r="W784"/>
  <c r="W783"/>
  <c r="W782"/>
  <c r="W781"/>
  <c r="W780"/>
  <c r="W779"/>
  <c r="W778"/>
  <c r="W777"/>
  <c r="W776"/>
  <c r="W775"/>
  <c r="W774"/>
  <c r="W773"/>
  <c r="W772"/>
  <c r="W771"/>
  <c r="W770"/>
  <c r="W769"/>
  <c r="W768"/>
  <c r="W767"/>
  <c r="W766"/>
  <c r="W765"/>
  <c r="W764"/>
  <c r="W763"/>
  <c r="W762"/>
  <c r="W761"/>
  <c r="W760"/>
  <c r="W759"/>
  <c r="W758"/>
  <c r="W757"/>
  <c r="W756"/>
  <c r="W755"/>
  <c r="W754"/>
  <c r="W753"/>
  <c r="W752"/>
  <c r="W751"/>
  <c r="W750"/>
  <c r="W749"/>
  <c r="W748"/>
  <c r="W747"/>
  <c r="W746"/>
  <c r="W745"/>
  <c r="W744"/>
  <c r="W743"/>
  <c r="W742"/>
  <c r="W741"/>
  <c r="W740"/>
  <c r="W739"/>
  <c r="W738"/>
  <c r="W737"/>
  <c r="W736"/>
  <c r="W735"/>
  <c r="W734"/>
  <c r="W733"/>
  <c r="W732"/>
  <c r="W731"/>
  <c r="W730"/>
  <c r="W729"/>
  <c r="W728"/>
  <c r="W727"/>
  <c r="W726"/>
  <c r="W725"/>
  <c r="W724"/>
  <c r="W723"/>
  <c r="W722"/>
  <c r="W721"/>
  <c r="W720"/>
  <c r="W719"/>
  <c r="W718"/>
  <c r="W717"/>
  <c r="W716"/>
  <c r="W715"/>
  <c r="W714"/>
  <c r="W713"/>
  <c r="W712"/>
  <c r="W711"/>
  <c r="W710"/>
  <c r="W709"/>
  <c r="W708"/>
  <c r="W707"/>
  <c r="W706"/>
  <c r="W705"/>
  <c r="W704"/>
  <c r="W703"/>
  <c r="W702"/>
  <c r="W701"/>
  <c r="W700"/>
  <c r="V814"/>
  <c r="V810"/>
  <c r="V811"/>
  <c r="V807"/>
  <c r="V812"/>
  <c r="V808"/>
  <c r="V806"/>
  <c r="V805"/>
  <c r="V804"/>
  <c r="V803"/>
  <c r="V802"/>
  <c r="V801"/>
  <c r="V800"/>
  <c r="V799"/>
  <c r="V798"/>
  <c r="V797"/>
  <c r="V796"/>
  <c r="V795"/>
  <c r="V794"/>
  <c r="V793"/>
  <c r="V792"/>
  <c r="V791"/>
  <c r="V790"/>
  <c r="V789"/>
  <c r="V788"/>
  <c r="V787"/>
  <c r="V786"/>
  <c r="V785"/>
  <c r="V784"/>
  <c r="V783"/>
  <c r="V782"/>
  <c r="V781"/>
  <c r="V780"/>
  <c r="V779"/>
  <c r="V778"/>
  <c r="V777"/>
  <c r="V776"/>
  <c r="V775"/>
  <c r="V774"/>
  <c r="V773"/>
  <c r="V772"/>
  <c r="V771"/>
  <c r="V770"/>
  <c r="V769"/>
  <c r="V768"/>
  <c r="V767"/>
  <c r="V766"/>
  <c r="V765"/>
  <c r="V764"/>
  <c r="V763"/>
  <c r="V762"/>
  <c r="V761"/>
  <c r="V760"/>
  <c r="V759"/>
  <c r="V758"/>
  <c r="V757"/>
  <c r="V756"/>
  <c r="V755"/>
  <c r="V754"/>
  <c r="V753"/>
  <c r="V752"/>
  <c r="V751"/>
  <c r="V750"/>
  <c r="V749"/>
  <c r="V748"/>
  <c r="V747"/>
  <c r="V746"/>
  <c r="V745"/>
  <c r="V744"/>
  <c r="V743"/>
  <c r="V742"/>
  <c r="V741"/>
  <c r="V740"/>
  <c r="V739"/>
  <c r="V738"/>
  <c r="V737"/>
  <c r="V736"/>
  <c r="V735"/>
  <c r="V734"/>
  <c r="V733"/>
  <c r="V732"/>
  <c r="V731"/>
  <c r="V730"/>
  <c r="V729"/>
  <c r="V728"/>
  <c r="V727"/>
  <c r="V726"/>
  <c r="V725"/>
  <c r="V724"/>
  <c r="V723"/>
  <c r="V722"/>
  <c r="V721"/>
  <c r="V720"/>
  <c r="V719"/>
  <c r="V718"/>
  <c r="V717"/>
  <c r="V716"/>
  <c r="V715"/>
  <c r="V714"/>
  <c r="V713"/>
  <c r="V712"/>
  <c r="V711"/>
  <c r="V710"/>
  <c r="V709"/>
  <c r="V708"/>
  <c r="V707"/>
  <c r="V706"/>
  <c r="V705"/>
  <c r="V704"/>
  <c r="V703"/>
  <c r="V702"/>
  <c r="V701"/>
  <c r="V700"/>
  <c r="V699"/>
  <c r="V698"/>
  <c r="V697"/>
  <c r="V696"/>
  <c r="V695"/>
  <c r="V694"/>
  <c r="V693"/>
  <c r="V692"/>
  <c r="V691"/>
  <c r="V690"/>
  <c r="V689"/>
  <c r="V688"/>
  <c r="V687"/>
  <c r="V686"/>
  <c r="V685"/>
  <c r="V684"/>
  <c r="V683"/>
  <c r="V682"/>
  <c r="V681"/>
  <c r="V680"/>
  <c r="V679"/>
  <c r="V678"/>
  <c r="V677"/>
  <c r="V676"/>
  <c r="V675"/>
  <c r="V674"/>
  <c r="V673"/>
  <c r="V672"/>
  <c r="V671"/>
  <c r="V670"/>
  <c r="V669"/>
  <c r="V668"/>
  <c r="V667"/>
  <c r="V666"/>
  <c r="V665"/>
  <c r="V664"/>
  <c r="V663"/>
  <c r="V662"/>
  <c r="V661"/>
  <c r="V660"/>
  <c r="V659"/>
  <c r="V658"/>
  <c r="V657"/>
  <c r="V656"/>
  <c r="V655"/>
  <c r="V654"/>
  <c r="V653"/>
  <c r="V652"/>
  <c r="V651"/>
  <c r="V650"/>
  <c r="V649"/>
  <c r="V648"/>
  <c r="V647"/>
  <c r="V646"/>
  <c r="V645"/>
  <c r="V644"/>
  <c r="V643"/>
  <c r="V642"/>
  <c r="V641"/>
  <c r="V640"/>
  <c r="V639"/>
  <c r="V638"/>
  <c r="V637"/>
  <c r="V636"/>
  <c r="V635"/>
  <c r="V634"/>
  <c r="V633"/>
  <c r="V632"/>
  <c r="V631"/>
  <c r="V630"/>
  <c r="V629"/>
  <c r="V628"/>
  <c r="V627"/>
  <c r="V626"/>
  <c r="V625"/>
  <c r="V624"/>
  <c r="V623"/>
  <c r="V622"/>
  <c r="V621"/>
  <c r="V620"/>
  <c r="V619"/>
  <c r="V618"/>
  <c r="V617"/>
  <c r="V616"/>
  <c r="V615"/>
  <c r="V614"/>
  <c r="V613"/>
  <c r="V612"/>
  <c r="V611"/>
  <c r="V610"/>
  <c r="V609"/>
  <c r="V608"/>
  <c r="V607"/>
  <c r="V606"/>
  <c r="V605"/>
  <c r="V604"/>
  <c r="V603"/>
  <c r="V602"/>
  <c r="V601"/>
  <c r="V600"/>
  <c r="V599"/>
  <c r="V598"/>
  <c r="V597"/>
  <c r="V596"/>
  <c r="V595"/>
  <c r="V594"/>
  <c r="V593"/>
  <c r="V592"/>
  <c r="V591"/>
  <c r="V590"/>
  <c r="V589"/>
  <c r="V588"/>
  <c r="V587"/>
  <c r="V586"/>
  <c r="V585"/>
  <c r="V584"/>
  <c r="V583"/>
  <c r="V582"/>
  <c r="V581"/>
  <c r="V580"/>
  <c r="V579"/>
  <c r="V578"/>
  <c r="V577"/>
  <c r="V576"/>
  <c r="V575"/>
  <c r="V574"/>
  <c r="V573"/>
  <c r="V572"/>
  <c r="V571"/>
  <c r="V570"/>
  <c r="V569"/>
  <c r="V568"/>
  <c r="V567"/>
  <c r="V566"/>
  <c r="V565"/>
  <c r="V564"/>
  <c r="V563"/>
  <c r="V562"/>
  <c r="V561"/>
  <c r="V560"/>
  <c r="V559"/>
  <c r="V558"/>
  <c r="V557"/>
  <c r="V556"/>
  <c r="V555"/>
  <c r="V554"/>
  <c r="V553"/>
  <c r="V552"/>
  <c r="V551"/>
  <c r="V550"/>
  <c r="V549"/>
  <c r="V548"/>
  <c r="V547"/>
  <c r="V546"/>
  <c r="V545"/>
  <c r="V544"/>
  <c r="V543"/>
  <c r="V542"/>
  <c r="V541"/>
  <c r="V540"/>
  <c r="V539"/>
  <c r="V538"/>
  <c r="V537"/>
  <c r="V536"/>
  <c r="V535"/>
  <c r="V534"/>
  <c r="V533"/>
  <c r="V532"/>
  <c r="V531"/>
  <c r="V530"/>
  <c r="V529"/>
  <c r="V528"/>
  <c r="V527"/>
  <c r="V526"/>
  <c r="V525"/>
  <c r="V524"/>
  <c r="V523"/>
  <c r="V522"/>
  <c r="V521"/>
  <c r="V520"/>
  <c r="V519"/>
  <c r="V518"/>
  <c r="V517"/>
  <c r="V516"/>
  <c r="V515"/>
  <c r="V514"/>
  <c r="V513"/>
  <c r="V512"/>
  <c r="V511"/>
  <c r="V510"/>
  <c r="V509"/>
  <c r="V508"/>
  <c r="V507"/>
  <c r="V506"/>
  <c r="V505"/>
  <c r="V504"/>
  <c r="V503"/>
  <c r="V502"/>
  <c r="V501"/>
  <c r="V500"/>
  <c r="V499"/>
  <c r="V498"/>
  <c r="V497"/>
  <c r="V496"/>
  <c r="V495"/>
  <c r="V494"/>
  <c r="V493"/>
  <c r="V492"/>
  <c r="V491"/>
  <c r="V490"/>
  <c r="V489"/>
  <c r="V488"/>
  <c r="V487"/>
  <c r="V486"/>
  <c r="V485"/>
  <c r="V484"/>
  <c r="V483"/>
  <c r="V482"/>
  <c r="V481"/>
  <c r="V480"/>
  <c r="V479"/>
  <c r="V478"/>
  <c r="V477"/>
  <c r="V476"/>
  <c r="V475"/>
  <c r="V474"/>
  <c r="V473"/>
  <c r="V472"/>
  <c r="V471"/>
  <c r="V470"/>
  <c r="V469"/>
  <c r="V468"/>
  <c r="V467"/>
  <c r="V466"/>
  <c r="V465"/>
  <c r="V464"/>
  <c r="V463"/>
  <c r="V462"/>
  <c r="V461"/>
  <c r="V460"/>
  <c r="V459"/>
  <c r="V458"/>
  <c r="W696"/>
  <c r="W692"/>
  <c r="W688"/>
  <c r="W684"/>
  <c r="W680"/>
  <c r="W676"/>
  <c r="W672"/>
  <c r="V457"/>
  <c r="V456"/>
  <c r="V455"/>
  <c r="V454"/>
  <c r="V453"/>
  <c r="V452"/>
  <c r="V451"/>
  <c r="V450"/>
  <c r="V449"/>
  <c r="V448"/>
  <c r="V447"/>
  <c r="V446"/>
  <c r="V445"/>
  <c r="V444"/>
  <c r="V443"/>
  <c r="V442"/>
  <c r="V441"/>
  <c r="V440"/>
  <c r="V439"/>
  <c r="V438"/>
  <c r="V437"/>
  <c r="V436"/>
  <c r="V435"/>
  <c r="V434"/>
  <c r="V433"/>
  <c r="V432"/>
  <c r="V431"/>
  <c r="V430"/>
  <c r="V429"/>
  <c r="V428"/>
  <c r="V427"/>
  <c r="V426"/>
  <c r="V425"/>
  <c r="V424"/>
  <c r="V423"/>
  <c r="V422"/>
  <c r="V421"/>
  <c r="V420"/>
  <c r="V419"/>
  <c r="V418"/>
  <c r="V417"/>
  <c r="V416"/>
  <c r="V415"/>
  <c r="V414"/>
  <c r="V413"/>
  <c r="V412"/>
  <c r="V411"/>
  <c r="V410"/>
  <c r="V409"/>
  <c r="V408"/>
  <c r="V407"/>
  <c r="V406"/>
  <c r="V405"/>
  <c r="V404"/>
  <c r="V403"/>
  <c r="V402"/>
  <c r="V401"/>
  <c r="V400"/>
  <c r="V399"/>
  <c r="V398"/>
  <c r="V397"/>
  <c r="V396"/>
  <c r="V395"/>
  <c r="V394"/>
  <c r="V393"/>
  <c r="V392"/>
  <c r="V391"/>
  <c r="V390"/>
  <c r="V389"/>
  <c r="V388"/>
  <c r="V387"/>
  <c r="V386"/>
  <c r="V385"/>
  <c r="V384"/>
  <c r="V383"/>
  <c r="V382"/>
  <c r="V381"/>
  <c r="V380"/>
  <c r="V379"/>
  <c r="V378"/>
  <c r="V377"/>
  <c r="V376"/>
  <c r="V375"/>
  <c r="V374"/>
  <c r="V373"/>
  <c r="V372"/>
  <c r="V371"/>
  <c r="V370"/>
  <c r="V369"/>
  <c r="V368"/>
  <c r="V367"/>
  <c r="V366"/>
  <c r="V365"/>
  <c r="V364"/>
  <c r="V363"/>
  <c r="V362"/>
  <c r="V361"/>
  <c r="V360"/>
  <c r="V359"/>
  <c r="V358"/>
  <c r="V357"/>
  <c r="V356"/>
  <c r="V355"/>
  <c r="V354"/>
  <c r="V353"/>
  <c r="V352"/>
  <c r="V351"/>
  <c r="V350"/>
  <c r="V349"/>
  <c r="V348"/>
  <c r="V347"/>
  <c r="V346"/>
  <c r="V345"/>
  <c r="V344"/>
  <c r="V343"/>
  <c r="V342"/>
  <c r="V341"/>
  <c r="V340"/>
  <c r="V339"/>
  <c r="V338"/>
  <c r="V337"/>
  <c r="V336"/>
  <c r="V335"/>
  <c r="V334"/>
  <c r="V333"/>
  <c r="V332"/>
  <c r="V331"/>
  <c r="V330"/>
  <c r="V329"/>
  <c r="V328"/>
  <c r="V327"/>
  <c r="V326"/>
  <c r="V325"/>
  <c r="V324"/>
  <c r="V323"/>
  <c r="V322"/>
  <c r="V321"/>
  <c r="V320"/>
  <c r="V319"/>
  <c r="V318"/>
  <c r="V317"/>
  <c r="V316"/>
  <c r="V315"/>
  <c r="V314"/>
  <c r="V313"/>
  <c r="V312"/>
  <c r="V311"/>
  <c r="V310"/>
  <c r="V309"/>
  <c r="V308"/>
  <c r="V307"/>
  <c r="V306"/>
  <c r="V305"/>
  <c r="V304"/>
  <c r="V303"/>
  <c r="V302"/>
  <c r="V301"/>
  <c r="V300"/>
  <c r="V299"/>
  <c r="V298"/>
  <c r="V297"/>
  <c r="V296"/>
  <c r="V295"/>
  <c r="V294"/>
  <c r="V293"/>
  <c r="V292"/>
  <c r="V291"/>
  <c r="V290"/>
  <c r="V289"/>
  <c r="V288"/>
  <c r="V287"/>
  <c r="V286"/>
  <c r="V285"/>
  <c r="V284"/>
  <c r="V283"/>
  <c r="V282"/>
  <c r="V281"/>
  <c r="V280"/>
  <c r="V279"/>
  <c r="V278"/>
  <c r="V277"/>
  <c r="V276"/>
  <c r="V275"/>
  <c r="V274"/>
  <c r="V273"/>
  <c r="V272"/>
  <c r="V271"/>
  <c r="V270"/>
  <c r="V269"/>
  <c r="V268"/>
  <c r="V267"/>
  <c r="V266"/>
  <c r="V265"/>
  <c r="V264"/>
  <c r="V263"/>
  <c r="V262"/>
  <c r="V261"/>
  <c r="V260"/>
  <c r="V259"/>
  <c r="V258"/>
  <c r="V257"/>
  <c r="V256"/>
  <c r="V255"/>
  <c r="V254"/>
  <c r="V253"/>
  <c r="V252"/>
  <c r="V251"/>
  <c r="V250"/>
  <c r="V249"/>
  <c r="V248"/>
  <c r="V247"/>
  <c r="V246"/>
  <c r="V245"/>
  <c r="V244"/>
  <c r="V243"/>
  <c r="V242"/>
  <c r="V241"/>
  <c r="V240"/>
  <c r="V239"/>
  <c r="V238"/>
  <c r="V237"/>
  <c r="V236"/>
  <c r="V235"/>
  <c r="V234"/>
  <c r="V233"/>
  <c r="V232"/>
  <c r="V231"/>
  <c r="V230"/>
  <c r="V229"/>
  <c r="V228"/>
  <c r="V227"/>
  <c r="V226"/>
  <c r="V225"/>
  <c r="V224"/>
  <c r="V223"/>
  <c r="V222"/>
  <c r="V221"/>
  <c r="V220"/>
  <c r="V219"/>
  <c r="V218"/>
  <c r="V217"/>
  <c r="V216"/>
  <c r="V215"/>
  <c r="V214"/>
  <c r="V213"/>
  <c r="V212"/>
  <c r="V211"/>
  <c r="V210"/>
  <c r="V209"/>
  <c r="W698"/>
  <c r="W694"/>
  <c r="W690"/>
  <c r="W686"/>
  <c r="W682"/>
  <c r="W678"/>
  <c r="W674"/>
  <c r="W669"/>
  <c r="W665"/>
  <c r="W661"/>
  <c r="W657"/>
  <c r="W519"/>
  <c r="W518"/>
  <c r="W511"/>
  <c r="W510"/>
  <c r="W503"/>
  <c r="W502"/>
  <c r="W495"/>
  <c r="W494"/>
  <c r="W487"/>
  <c r="W486"/>
  <c r="W479"/>
  <c r="W478"/>
  <c r="W471"/>
  <c r="W470"/>
  <c r="W463"/>
  <c r="W462"/>
  <c r="W668"/>
  <c r="W664"/>
  <c r="W660"/>
  <c r="W656"/>
  <c r="W655"/>
  <c r="W654"/>
  <c r="W653"/>
  <c r="W652"/>
  <c r="W651"/>
  <c r="W650"/>
  <c r="W649"/>
  <c r="W648"/>
  <c r="W647"/>
  <c r="W646"/>
  <c r="W645"/>
  <c r="W644"/>
  <c r="W643"/>
  <c r="W642"/>
  <c r="W641"/>
  <c r="W640"/>
  <c r="W639"/>
  <c r="W638"/>
  <c r="W637"/>
  <c r="W636"/>
  <c r="W635"/>
  <c r="W634"/>
  <c r="W633"/>
  <c r="W632"/>
  <c r="W631"/>
  <c r="W630"/>
  <c r="W629"/>
  <c r="W628"/>
  <c r="W627"/>
  <c r="W626"/>
  <c r="W625"/>
  <c r="W624"/>
  <c r="W623"/>
  <c r="W622"/>
  <c r="W621"/>
  <c r="W620"/>
  <c r="W619"/>
  <c r="W618"/>
  <c r="W617"/>
  <c r="W616"/>
  <c r="W615"/>
  <c r="W614"/>
  <c r="W613"/>
  <c r="W612"/>
  <c r="W611"/>
  <c r="W610"/>
  <c r="W609"/>
  <c r="W608"/>
  <c r="W607"/>
  <c r="W606"/>
  <c r="W605"/>
  <c r="W604"/>
  <c r="W603"/>
  <c r="W602"/>
  <c r="W601"/>
  <c r="W600"/>
  <c r="W599"/>
  <c r="W598"/>
  <c r="W597"/>
  <c r="W596"/>
  <c r="W595"/>
  <c r="W594"/>
  <c r="W593"/>
  <c r="W592"/>
  <c r="W591"/>
  <c r="W590"/>
  <c r="W589"/>
  <c r="W588"/>
  <c r="W587"/>
  <c r="W586"/>
  <c r="W585"/>
  <c r="W584"/>
  <c r="W583"/>
  <c r="W582"/>
  <c r="W581"/>
  <c r="W580"/>
  <c r="W579"/>
  <c r="W578"/>
  <c r="W577"/>
  <c r="W576"/>
  <c r="W575"/>
  <c r="W574"/>
  <c r="W573"/>
  <c r="W572"/>
  <c r="W571"/>
  <c r="W570"/>
  <c r="W569"/>
  <c r="W568"/>
  <c r="W567"/>
  <c r="W566"/>
  <c r="W565"/>
  <c r="W564"/>
  <c r="W563"/>
  <c r="W562"/>
  <c r="W561"/>
  <c r="W560"/>
  <c r="W559"/>
  <c r="W558"/>
  <c r="W557"/>
  <c r="W556"/>
  <c r="W555"/>
  <c r="W554"/>
  <c r="W553"/>
  <c r="W552"/>
  <c r="W551"/>
  <c r="W550"/>
  <c r="W549"/>
  <c r="W548"/>
  <c r="W547"/>
  <c r="W546"/>
  <c r="W545"/>
  <c r="W544"/>
  <c r="W543"/>
  <c r="W542"/>
  <c r="W541"/>
  <c r="W540"/>
  <c r="W539"/>
  <c r="W538"/>
  <c r="W537"/>
  <c r="W536"/>
  <c r="W535"/>
  <c r="W534"/>
  <c r="W533"/>
  <c r="W532"/>
  <c r="W531"/>
  <c r="W530"/>
  <c r="W529"/>
  <c r="W528"/>
  <c r="W527"/>
  <c r="W526"/>
  <c r="W525"/>
  <c r="W524"/>
  <c r="W523"/>
  <c r="W522"/>
  <c r="W521"/>
  <c r="W520"/>
  <c r="W513"/>
  <c r="W512"/>
  <c r="W505"/>
  <c r="W504"/>
  <c r="W497"/>
  <c r="W496"/>
  <c r="W489"/>
  <c r="W488"/>
  <c r="W481"/>
  <c r="W480"/>
  <c r="W473"/>
  <c r="W472"/>
  <c r="W465"/>
  <c r="W464"/>
  <c r="W457"/>
  <c r="W699"/>
  <c r="W697"/>
  <c r="W695"/>
  <c r="W693"/>
  <c r="W691"/>
  <c r="W689"/>
  <c r="W687"/>
  <c r="W685"/>
  <c r="W683"/>
  <c r="W681"/>
  <c r="W679"/>
  <c r="W677"/>
  <c r="W675"/>
  <c r="W673"/>
  <c r="W671"/>
  <c r="W667"/>
  <c r="W663"/>
  <c r="W659"/>
  <c r="W670"/>
  <c r="W666"/>
  <c r="W662"/>
  <c r="W658"/>
  <c r="W517"/>
  <c r="W516"/>
  <c r="W509"/>
  <c r="W508"/>
  <c r="W501"/>
  <c r="W500"/>
  <c r="W493"/>
  <c r="W492"/>
  <c r="W485"/>
  <c r="W484"/>
  <c r="W477"/>
  <c r="W476"/>
  <c r="W469"/>
  <c r="W468"/>
  <c r="W461"/>
  <c r="W460"/>
  <c r="W456"/>
  <c r="W454"/>
  <c r="W452"/>
  <c r="W450"/>
  <c r="W448"/>
  <c r="W446"/>
  <c r="W444"/>
  <c r="W442"/>
  <c r="W507"/>
  <c r="W498"/>
  <c r="W475"/>
  <c r="W466"/>
  <c r="W455"/>
  <c r="W453"/>
  <c r="W451"/>
  <c r="W449"/>
  <c r="W447"/>
  <c r="W445"/>
  <c r="W437"/>
  <c r="W436"/>
  <c r="W429"/>
  <c r="W428"/>
  <c r="W421"/>
  <c r="W420"/>
  <c r="W413"/>
  <c r="W412"/>
  <c r="W405"/>
  <c r="W404"/>
  <c r="W397"/>
  <c r="W396"/>
  <c r="W389"/>
  <c r="W388"/>
  <c r="W381"/>
  <c r="W380"/>
  <c r="W373"/>
  <c r="W372"/>
  <c r="W365"/>
  <c r="W364"/>
  <c r="W357"/>
  <c r="W356"/>
  <c r="W349"/>
  <c r="W348"/>
  <c r="W341"/>
  <c r="W340"/>
  <c r="W333"/>
  <c r="W332"/>
  <c r="W325"/>
  <c r="W324"/>
  <c r="W317"/>
  <c r="W316"/>
  <c r="W309"/>
  <c r="W308"/>
  <c r="W301"/>
  <c r="W300"/>
  <c r="W297"/>
  <c r="W515"/>
  <c r="W506"/>
  <c r="W483"/>
  <c r="W474"/>
  <c r="W443"/>
  <c r="W439"/>
  <c r="W438"/>
  <c r="W431"/>
  <c r="W430"/>
  <c r="W423"/>
  <c r="W422"/>
  <c r="W415"/>
  <c r="W414"/>
  <c r="W407"/>
  <c r="W406"/>
  <c r="W399"/>
  <c r="W398"/>
  <c r="W391"/>
  <c r="W390"/>
  <c r="W383"/>
  <c r="W382"/>
  <c r="W375"/>
  <c r="W374"/>
  <c r="W367"/>
  <c r="W366"/>
  <c r="W359"/>
  <c r="W358"/>
  <c r="W351"/>
  <c r="W350"/>
  <c r="W343"/>
  <c r="W342"/>
  <c r="W335"/>
  <c r="W334"/>
  <c r="W327"/>
  <c r="W326"/>
  <c r="W319"/>
  <c r="W318"/>
  <c r="W311"/>
  <c r="W310"/>
  <c r="W303"/>
  <c r="W302"/>
  <c r="W208"/>
  <c r="W207"/>
  <c r="W206"/>
  <c r="W205"/>
  <c r="W204"/>
  <c r="W203"/>
  <c r="W202"/>
  <c r="W201"/>
  <c r="W200"/>
  <c r="W199"/>
  <c r="W198"/>
  <c r="W197"/>
  <c r="W196"/>
  <c r="W195"/>
  <c r="W194"/>
  <c r="W193"/>
  <c r="W192"/>
  <c r="W191"/>
  <c r="W190"/>
  <c r="W189"/>
  <c r="W188"/>
  <c r="W187"/>
  <c r="W186"/>
  <c r="W185"/>
  <c r="W184"/>
  <c r="W183"/>
  <c r="W182"/>
  <c r="W181"/>
  <c r="W180"/>
  <c r="W179"/>
  <c r="W178"/>
  <c r="W177"/>
  <c r="W176"/>
  <c r="W175"/>
  <c r="W174"/>
  <c r="W173"/>
  <c r="W172"/>
  <c r="W171"/>
  <c r="W170"/>
  <c r="W169"/>
  <c r="W168"/>
  <c r="W167"/>
  <c r="W166"/>
  <c r="W165"/>
  <c r="W164"/>
  <c r="W163"/>
  <c r="W162"/>
  <c r="W161"/>
  <c r="W160"/>
  <c r="W159"/>
  <c r="W158"/>
  <c r="W157"/>
  <c r="W156"/>
  <c r="W155"/>
  <c r="W154"/>
  <c r="W153"/>
  <c r="W152"/>
  <c r="W151"/>
  <c r="W150"/>
  <c r="W149"/>
  <c r="W148"/>
  <c r="W147"/>
  <c r="W146"/>
  <c r="W145"/>
  <c r="W144"/>
  <c r="W143"/>
  <c r="W142"/>
  <c r="W141"/>
  <c r="W140"/>
  <c r="W139"/>
  <c r="W138"/>
  <c r="W137"/>
  <c r="W136"/>
  <c r="W135"/>
  <c r="W134"/>
  <c r="W133"/>
  <c r="W132"/>
  <c r="W131"/>
  <c r="W130"/>
  <c r="W129"/>
  <c r="W128"/>
  <c r="W127"/>
  <c r="W126"/>
  <c r="W125"/>
  <c r="W124"/>
  <c r="W123"/>
  <c r="W122"/>
  <c r="W121"/>
  <c r="W120"/>
  <c r="W119"/>
  <c r="W118"/>
  <c r="W117"/>
  <c r="W116"/>
  <c r="W115"/>
  <c r="W114"/>
  <c r="W113"/>
  <c r="W112"/>
  <c r="W111"/>
  <c r="W110"/>
  <c r="W109"/>
  <c r="W108"/>
  <c r="W107"/>
  <c r="W106"/>
  <c r="W105"/>
  <c r="W104"/>
  <c r="W103"/>
  <c r="W102"/>
  <c r="W101"/>
  <c r="W100"/>
  <c r="W99"/>
  <c r="W98"/>
  <c r="W97"/>
  <c r="W96"/>
  <c r="W95"/>
  <c r="W94"/>
  <c r="W93"/>
  <c r="W92"/>
  <c r="W91"/>
  <c r="W90"/>
  <c r="W89"/>
  <c r="W88"/>
  <c r="W87"/>
  <c r="W86"/>
  <c r="W85"/>
  <c r="W84"/>
  <c r="W83"/>
  <c r="W82"/>
  <c r="W81"/>
  <c r="W80"/>
  <c r="W79"/>
  <c r="W78"/>
  <c r="W77"/>
  <c r="W76"/>
  <c r="W75"/>
  <c r="W74"/>
  <c r="W73"/>
  <c r="W72"/>
  <c r="W71"/>
  <c r="W70"/>
  <c r="W69"/>
  <c r="W68"/>
  <c r="W67"/>
  <c r="W66"/>
  <c r="W65"/>
  <c r="W64"/>
  <c r="W63"/>
  <c r="W62"/>
  <c r="W61"/>
  <c r="W60"/>
  <c r="W59"/>
  <c r="W58"/>
  <c r="W57"/>
  <c r="W56"/>
  <c r="W55"/>
  <c r="W54"/>
  <c r="W53"/>
  <c r="W52"/>
  <c r="W51"/>
  <c r="W50"/>
  <c r="W49"/>
  <c r="W48"/>
  <c r="W47"/>
  <c r="W46"/>
  <c r="W45"/>
  <c r="W44"/>
  <c r="W43"/>
  <c r="W514"/>
  <c r="W491"/>
  <c r="W482"/>
  <c r="W459"/>
  <c r="W441"/>
  <c r="W440"/>
  <c r="W433"/>
  <c r="W432"/>
  <c r="W425"/>
  <c r="W424"/>
  <c r="W417"/>
  <c r="W416"/>
  <c r="W409"/>
  <c r="W408"/>
  <c r="W401"/>
  <c r="W400"/>
  <c r="W393"/>
  <c r="W392"/>
  <c r="W385"/>
  <c r="W384"/>
  <c r="W377"/>
  <c r="W376"/>
  <c r="W369"/>
  <c r="W368"/>
  <c r="W361"/>
  <c r="W360"/>
  <c r="W353"/>
  <c r="W352"/>
  <c r="W345"/>
  <c r="W344"/>
  <c r="W337"/>
  <c r="W336"/>
  <c r="W329"/>
  <c r="W328"/>
  <c r="W321"/>
  <c r="W320"/>
  <c r="W313"/>
  <c r="W312"/>
  <c r="W305"/>
  <c r="W304"/>
  <c r="W298"/>
  <c r="W296"/>
  <c r="W294"/>
  <c r="W292"/>
  <c r="W290"/>
  <c r="W288"/>
  <c r="W286"/>
  <c r="W284"/>
  <c r="W282"/>
  <c r="W280"/>
  <c r="W278"/>
  <c r="W276"/>
  <c r="W274"/>
  <c r="W499"/>
  <c r="W490"/>
  <c r="W467"/>
  <c r="W458"/>
  <c r="W435"/>
  <c r="W434"/>
  <c r="W427"/>
  <c r="W426"/>
  <c r="W419"/>
  <c r="W418"/>
  <c r="W411"/>
  <c r="W410"/>
  <c r="W403"/>
  <c r="W402"/>
  <c r="W395"/>
  <c r="W394"/>
  <c r="W387"/>
  <c r="W386"/>
  <c r="W379"/>
  <c r="W378"/>
  <c r="W371"/>
  <c r="W370"/>
  <c r="W363"/>
  <c r="W362"/>
  <c r="W355"/>
  <c r="W354"/>
  <c r="W347"/>
  <c r="W346"/>
  <c r="W339"/>
  <c r="W338"/>
  <c r="W331"/>
  <c r="W330"/>
  <c r="W323"/>
  <c r="W322"/>
  <c r="W315"/>
  <c r="W314"/>
  <c r="W307"/>
  <c r="W306"/>
  <c r="W299"/>
  <c r="W270"/>
  <c r="W266"/>
  <c r="W262"/>
  <c r="W258"/>
  <c r="W254"/>
  <c r="W250"/>
  <c r="W246"/>
  <c r="W242"/>
  <c r="W238"/>
  <c r="W234"/>
  <c r="W230"/>
  <c r="W226"/>
  <c r="W222"/>
  <c r="W218"/>
  <c r="W214"/>
  <c r="W210"/>
  <c r="V196"/>
  <c r="V192"/>
  <c r="V188"/>
  <c r="V184"/>
  <c r="V180"/>
  <c r="V176"/>
  <c r="V172"/>
  <c r="V168"/>
  <c r="V164"/>
  <c r="V160"/>
  <c r="V156"/>
  <c r="V152"/>
  <c r="V148"/>
  <c r="V144"/>
  <c r="V140"/>
  <c r="V136"/>
  <c r="V132"/>
  <c r="V128"/>
  <c r="V124"/>
  <c r="V120"/>
  <c r="V116"/>
  <c r="V112"/>
  <c r="V108"/>
  <c r="V104"/>
  <c r="V100"/>
  <c r="V96"/>
  <c r="V92"/>
  <c r="V88"/>
  <c r="V84"/>
  <c r="V80"/>
  <c r="V76"/>
  <c r="V72"/>
  <c r="V68"/>
  <c r="V64"/>
  <c r="V60"/>
  <c r="V56"/>
  <c r="V52"/>
  <c r="V48"/>
  <c r="V44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8"/>
  <c r="V4"/>
  <c r="W295"/>
  <c r="W293"/>
  <c r="W291"/>
  <c r="W289"/>
  <c r="W287"/>
  <c r="W285"/>
  <c r="W283"/>
  <c r="W281"/>
  <c r="W279"/>
  <c r="W277"/>
  <c r="W275"/>
  <c r="W273"/>
  <c r="W269"/>
  <c r="W265"/>
  <c r="W261"/>
  <c r="W257"/>
  <c r="W253"/>
  <c r="W249"/>
  <c r="W245"/>
  <c r="W241"/>
  <c r="W237"/>
  <c r="W233"/>
  <c r="W229"/>
  <c r="W225"/>
  <c r="W221"/>
  <c r="W217"/>
  <c r="W213"/>
  <c r="W209"/>
  <c r="V208"/>
  <c r="V207"/>
  <c r="V206"/>
  <c r="V205"/>
  <c r="V204"/>
  <c r="V203"/>
  <c r="V202"/>
  <c r="V201"/>
  <c r="V200"/>
  <c r="V199"/>
  <c r="V198"/>
  <c r="V197"/>
  <c r="V193"/>
  <c r="V189"/>
  <c r="V185"/>
  <c r="V181"/>
  <c r="V177"/>
  <c r="V173"/>
  <c r="V169"/>
  <c r="V165"/>
  <c r="V161"/>
  <c r="V157"/>
  <c r="V153"/>
  <c r="V149"/>
  <c r="V145"/>
  <c r="V141"/>
  <c r="V137"/>
  <c r="V133"/>
  <c r="V129"/>
  <c r="V125"/>
  <c r="V121"/>
  <c r="V117"/>
  <c r="V113"/>
  <c r="V109"/>
  <c r="V105"/>
  <c r="V101"/>
  <c r="V97"/>
  <c r="V93"/>
  <c r="V89"/>
  <c r="V85"/>
  <c r="V81"/>
  <c r="V77"/>
  <c r="V73"/>
  <c r="V69"/>
  <c r="V65"/>
  <c r="V61"/>
  <c r="V57"/>
  <c r="V53"/>
  <c r="V49"/>
  <c r="V45"/>
  <c r="W42"/>
  <c r="W41"/>
  <c r="W40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W9"/>
  <c r="W8"/>
  <c r="V7"/>
  <c r="V3"/>
  <c r="V2"/>
  <c r="V6"/>
  <c r="V59"/>
  <c r="V47"/>
  <c r="V5"/>
  <c r="W272"/>
  <c r="W268"/>
  <c r="W264"/>
  <c r="W260"/>
  <c r="W256"/>
  <c r="W252"/>
  <c r="W248"/>
  <c r="W244"/>
  <c r="W240"/>
  <c r="W236"/>
  <c r="W232"/>
  <c r="W228"/>
  <c r="W224"/>
  <c r="W220"/>
  <c r="W216"/>
  <c r="W212"/>
  <c r="V194"/>
  <c r="V190"/>
  <c r="V186"/>
  <c r="V182"/>
  <c r="V178"/>
  <c r="V174"/>
  <c r="V170"/>
  <c r="V166"/>
  <c r="V162"/>
  <c r="V158"/>
  <c r="V154"/>
  <c r="V150"/>
  <c r="V146"/>
  <c r="V142"/>
  <c r="V138"/>
  <c r="V134"/>
  <c r="V130"/>
  <c r="V126"/>
  <c r="V122"/>
  <c r="V118"/>
  <c r="V114"/>
  <c r="V110"/>
  <c r="V106"/>
  <c r="V102"/>
  <c r="V98"/>
  <c r="V94"/>
  <c r="V90"/>
  <c r="V86"/>
  <c r="V82"/>
  <c r="V78"/>
  <c r="V74"/>
  <c r="V70"/>
  <c r="V66"/>
  <c r="V62"/>
  <c r="V58"/>
  <c r="V54"/>
  <c r="V50"/>
  <c r="V46"/>
  <c r="V67"/>
  <c r="V55"/>
  <c r="V43"/>
  <c r="W271"/>
  <c r="W267"/>
  <c r="W263"/>
  <c r="W259"/>
  <c r="W255"/>
  <c r="W251"/>
  <c r="W247"/>
  <c r="W243"/>
  <c r="W239"/>
  <c r="W235"/>
  <c r="W231"/>
  <c r="W227"/>
  <c r="W223"/>
  <c r="W219"/>
  <c r="W215"/>
  <c r="W211"/>
  <c r="V195"/>
  <c r="V191"/>
  <c r="V187"/>
  <c r="V183"/>
  <c r="V179"/>
  <c r="V175"/>
  <c r="V171"/>
  <c r="V167"/>
  <c r="V163"/>
  <c r="V159"/>
  <c r="V155"/>
  <c r="V151"/>
  <c r="V147"/>
  <c r="V143"/>
  <c r="V139"/>
  <c r="V135"/>
  <c r="V131"/>
  <c r="V127"/>
  <c r="V123"/>
  <c r="V119"/>
  <c r="V115"/>
  <c r="V111"/>
  <c r="V107"/>
  <c r="V103"/>
  <c r="V99"/>
  <c r="V95"/>
  <c r="V91"/>
  <c r="V87"/>
  <c r="V83"/>
  <c r="V79"/>
  <c r="V75"/>
  <c r="V71"/>
  <c r="V63"/>
  <c r="V51"/>
  <c r="X51" l="1"/>
  <c r="X63"/>
  <c r="X71"/>
  <c r="X75"/>
  <c r="X79"/>
  <c r="X83"/>
  <c r="X87"/>
  <c r="X91"/>
  <c r="X95"/>
  <c r="X99"/>
  <c r="X103"/>
  <c r="X107"/>
  <c r="X111"/>
  <c r="X115"/>
  <c r="X119"/>
  <c r="X123"/>
  <c r="X127"/>
  <c r="X131"/>
  <c r="X135"/>
  <c r="X139"/>
  <c r="X143"/>
  <c r="X147"/>
  <c r="X151"/>
  <c r="X155"/>
  <c r="X159"/>
  <c r="X163"/>
  <c r="X167"/>
  <c r="X171"/>
  <c r="X175"/>
  <c r="X179"/>
  <c r="X183"/>
  <c r="X187"/>
  <c r="X191"/>
  <c r="X195"/>
  <c r="X43"/>
  <c r="X55"/>
  <c r="X67"/>
  <c r="X46"/>
  <c r="X50"/>
  <c r="X54"/>
  <c r="X58"/>
  <c r="X62"/>
  <c r="X66"/>
  <c r="X70"/>
  <c r="X74"/>
  <c r="X78"/>
  <c r="X82"/>
  <c r="X86"/>
  <c r="X90"/>
  <c r="X94"/>
  <c r="X98"/>
  <c r="X102"/>
  <c r="X106"/>
  <c r="X110"/>
  <c r="X114"/>
  <c r="X118"/>
  <c r="X122"/>
  <c r="X126"/>
  <c r="X130"/>
  <c r="X134"/>
  <c r="X138"/>
  <c r="X142"/>
  <c r="X146"/>
  <c r="X150"/>
  <c r="X154"/>
  <c r="X158"/>
  <c r="X162"/>
  <c r="X166"/>
  <c r="X170"/>
  <c r="X174"/>
  <c r="X178"/>
  <c r="X182"/>
  <c r="X186"/>
  <c r="X190"/>
  <c r="X194"/>
  <c r="X5"/>
  <c r="X47"/>
  <c r="X59"/>
  <c r="X6"/>
  <c r="X2"/>
  <c r="X3"/>
  <c r="X7"/>
  <c r="X45"/>
  <c r="X49"/>
  <c r="X53"/>
  <c r="X57"/>
  <c r="X61"/>
  <c r="X65"/>
  <c r="X69"/>
  <c r="X73"/>
  <c r="X77"/>
  <c r="X81"/>
  <c r="X85"/>
  <c r="X89"/>
  <c r="X93"/>
  <c r="X97"/>
  <c r="X101"/>
  <c r="X105"/>
  <c r="X109"/>
  <c r="X113"/>
  <c r="X117"/>
  <c r="X121"/>
  <c r="X125"/>
  <c r="X129"/>
  <c r="X133"/>
  <c r="X137"/>
  <c r="X141"/>
  <c r="X145"/>
  <c r="X149"/>
  <c r="X153"/>
  <c r="X157"/>
  <c r="X161"/>
  <c r="X165"/>
  <c r="X169"/>
  <c r="X173"/>
  <c r="X177"/>
  <c r="X181"/>
  <c r="X185"/>
  <c r="X189"/>
  <c r="X193"/>
  <c r="X197"/>
  <c r="X198"/>
  <c r="X199"/>
  <c r="X200"/>
  <c r="X201"/>
  <c r="X202"/>
  <c r="X203"/>
  <c r="X204"/>
  <c r="X205"/>
  <c r="X206"/>
  <c r="X207"/>
  <c r="X208"/>
  <c r="X4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X34"/>
  <c r="X35"/>
  <c r="X36"/>
  <c r="X37"/>
  <c r="X38"/>
  <c r="X39"/>
  <c r="X40"/>
  <c r="X41"/>
  <c r="X42"/>
  <c r="X44"/>
  <c r="X48"/>
  <c r="X52"/>
  <c r="X56"/>
  <c r="X60"/>
  <c r="X64"/>
  <c r="X68"/>
  <c r="X72"/>
  <c r="X76"/>
  <c r="X80"/>
  <c r="X84"/>
  <c r="X88"/>
  <c r="X92"/>
  <c r="X96"/>
  <c r="X100"/>
  <c r="X104"/>
  <c r="X108"/>
  <c r="X112"/>
  <c r="X116"/>
  <c r="X120"/>
  <c r="X124"/>
  <c r="X128"/>
  <c r="X132"/>
  <c r="X136"/>
  <c r="X140"/>
  <c r="X144"/>
  <c r="X148"/>
  <c r="X152"/>
  <c r="X156"/>
  <c r="X160"/>
  <c r="X164"/>
  <c r="X168"/>
  <c r="X172"/>
  <c r="X176"/>
  <c r="X180"/>
  <c r="X184"/>
  <c r="X188"/>
  <c r="X192"/>
  <c r="X196"/>
  <c r="X209"/>
  <c r="X210"/>
  <c r="X211"/>
  <c r="X212"/>
  <c r="X213"/>
  <c r="X214"/>
  <c r="X215"/>
  <c r="X216"/>
  <c r="X217"/>
  <c r="X218"/>
  <c r="X219"/>
  <c r="X220"/>
  <c r="X221"/>
  <c r="X222"/>
  <c r="X223"/>
  <c r="X224"/>
  <c r="X225"/>
  <c r="X226"/>
  <c r="X227"/>
  <c r="X228"/>
  <c r="X229"/>
  <c r="X230"/>
  <c r="X231"/>
  <c r="X232"/>
  <c r="X233"/>
  <c r="X234"/>
  <c r="X235"/>
  <c r="X236"/>
  <c r="X237"/>
  <c r="X238"/>
  <c r="X239"/>
  <c r="X240"/>
  <c r="X241"/>
  <c r="X242"/>
  <c r="X243"/>
  <c r="X244"/>
  <c r="X245"/>
  <c r="X246"/>
  <c r="X247"/>
  <c r="X248"/>
  <c r="X249"/>
  <c r="X250"/>
  <c r="X251"/>
  <c r="X252"/>
  <c r="X253"/>
  <c r="X254"/>
  <c r="X255"/>
  <c r="X256"/>
  <c r="X257"/>
  <c r="X258"/>
  <c r="X259"/>
  <c r="X260"/>
  <c r="X261"/>
  <c r="X262"/>
  <c r="X263"/>
  <c r="X264"/>
  <c r="X265"/>
  <c r="X266"/>
  <c r="X267"/>
  <c r="X268"/>
  <c r="X269"/>
  <c r="X270"/>
  <c r="X271"/>
  <c r="X272"/>
  <c r="X273"/>
  <c r="X274"/>
  <c r="X275"/>
  <c r="X276"/>
  <c r="X277"/>
  <c r="X278"/>
  <c r="X279"/>
  <c r="X280"/>
  <c r="X281"/>
  <c r="X282"/>
  <c r="X283"/>
  <c r="X284"/>
  <c r="X285"/>
  <c r="X286"/>
  <c r="X287"/>
  <c r="X288"/>
  <c r="X289"/>
  <c r="X290"/>
  <c r="X291"/>
  <c r="X292"/>
  <c r="X293"/>
  <c r="X294"/>
  <c r="X295"/>
  <c r="X296"/>
  <c r="X297"/>
  <c r="X298"/>
  <c r="X299"/>
  <c r="X300"/>
  <c r="X301"/>
  <c r="X302"/>
  <c r="X303"/>
  <c r="X304"/>
  <c r="X305"/>
  <c r="X306"/>
  <c r="X307"/>
  <c r="X308"/>
  <c r="X309"/>
  <c r="X310"/>
  <c r="X311"/>
  <c r="X312"/>
  <c r="X313"/>
  <c r="X314"/>
  <c r="X315"/>
  <c r="X316"/>
  <c r="X317"/>
  <c r="X318"/>
  <c r="X319"/>
  <c r="X320"/>
  <c r="X321"/>
  <c r="X322"/>
  <c r="X323"/>
  <c r="X324"/>
  <c r="X325"/>
  <c r="X326"/>
  <c r="X327"/>
  <c r="X328"/>
  <c r="X329"/>
  <c r="X330"/>
  <c r="X331"/>
  <c r="X332"/>
  <c r="X333"/>
  <c r="X334"/>
  <c r="X335"/>
  <c r="X336"/>
  <c r="X337"/>
  <c r="X338"/>
  <c r="X339"/>
  <c r="X340"/>
  <c r="X341"/>
  <c r="X342"/>
  <c r="X343"/>
  <c r="X344"/>
  <c r="X345"/>
  <c r="X346"/>
  <c r="X347"/>
  <c r="X348"/>
  <c r="X349"/>
  <c r="X350"/>
  <c r="X351"/>
  <c r="X352"/>
  <c r="X353"/>
  <c r="X354"/>
  <c r="X355"/>
  <c r="X356"/>
  <c r="X357"/>
  <c r="X358"/>
  <c r="X359"/>
  <c r="X360"/>
  <c r="X361"/>
  <c r="X362"/>
  <c r="X363"/>
  <c r="X364"/>
  <c r="X365"/>
  <c r="X366"/>
  <c r="X367"/>
  <c r="X368"/>
  <c r="X369"/>
  <c r="X370"/>
  <c r="X371"/>
  <c r="X372"/>
  <c r="X373"/>
  <c r="X374"/>
  <c r="X375"/>
  <c r="X376"/>
  <c r="X377"/>
  <c r="X378"/>
  <c r="X379"/>
  <c r="X380"/>
  <c r="X381"/>
  <c r="X382"/>
  <c r="X383"/>
  <c r="X384"/>
  <c r="X385"/>
  <c r="X386"/>
  <c r="X387"/>
  <c r="X388"/>
  <c r="X389"/>
  <c r="X390"/>
  <c r="X391"/>
  <c r="X392"/>
  <c r="X393"/>
  <c r="X394"/>
  <c r="X395"/>
  <c r="X396"/>
  <c r="X397"/>
  <c r="X398"/>
  <c r="X399"/>
  <c r="X400"/>
  <c r="X401"/>
  <c r="X402"/>
  <c r="X403"/>
  <c r="X404"/>
  <c r="X405"/>
  <c r="X406"/>
  <c r="X407"/>
  <c r="X408"/>
  <c r="X409"/>
  <c r="X410"/>
  <c r="X411"/>
  <c r="X412"/>
  <c r="X413"/>
  <c r="X414"/>
  <c r="X415"/>
  <c r="X416"/>
  <c r="X417"/>
  <c r="X418"/>
  <c r="X419"/>
  <c r="X420"/>
  <c r="X421"/>
  <c r="X422"/>
  <c r="X423"/>
  <c r="X424"/>
  <c r="X425"/>
  <c r="X426"/>
  <c r="X427"/>
  <c r="X428"/>
  <c r="X429"/>
  <c r="X430"/>
  <c r="X431"/>
  <c r="X432"/>
  <c r="X433"/>
  <c r="X434"/>
  <c r="X435"/>
  <c r="X436"/>
  <c r="X437"/>
  <c r="X438"/>
  <c r="X439"/>
  <c r="X440"/>
  <c r="X441"/>
  <c r="X442"/>
  <c r="X443"/>
  <c r="X444"/>
  <c r="X445"/>
  <c r="X446"/>
  <c r="X447"/>
  <c r="X448"/>
  <c r="X449"/>
  <c r="X450"/>
  <c r="X451"/>
  <c r="X452"/>
  <c r="X453"/>
  <c r="X454"/>
  <c r="X455"/>
  <c r="X456"/>
  <c r="X457"/>
  <c r="X458"/>
  <c r="X459"/>
  <c r="X460"/>
  <c r="X461"/>
  <c r="X462"/>
  <c r="X463"/>
  <c r="X464"/>
  <c r="X465"/>
  <c r="X466"/>
  <c r="X467"/>
  <c r="X468"/>
  <c r="X469"/>
  <c r="X470"/>
  <c r="X471"/>
  <c r="X472"/>
  <c r="X473"/>
  <c r="X474"/>
  <c r="X475"/>
  <c r="X476"/>
  <c r="X477"/>
  <c r="X478"/>
  <c r="X479"/>
  <c r="X480"/>
  <c r="X481"/>
  <c r="X482"/>
  <c r="X483"/>
  <c r="X484"/>
  <c r="X485"/>
  <c r="X486"/>
  <c r="X487"/>
  <c r="X488"/>
  <c r="X489"/>
  <c r="X490"/>
  <c r="X491"/>
  <c r="X492"/>
  <c r="X493"/>
  <c r="X494"/>
  <c r="X495"/>
  <c r="X496"/>
  <c r="X497"/>
  <c r="X498"/>
  <c r="X499"/>
  <c r="X500"/>
  <c r="X501"/>
  <c r="X502"/>
  <c r="X503"/>
  <c r="X504"/>
  <c r="X505"/>
  <c r="X506"/>
  <c r="X507"/>
  <c r="X508"/>
  <c r="X509"/>
  <c r="X510"/>
  <c r="X511"/>
  <c r="X512"/>
  <c r="X513"/>
  <c r="X514"/>
  <c r="X515"/>
  <c r="X516"/>
  <c r="X517"/>
  <c r="X518"/>
  <c r="X519"/>
  <c r="X520"/>
  <c r="X521"/>
  <c r="X522"/>
  <c r="X523"/>
  <c r="X524"/>
  <c r="X525"/>
  <c r="X526"/>
  <c r="X527"/>
  <c r="X528"/>
  <c r="X529"/>
  <c r="X530"/>
  <c r="X531"/>
  <c r="X532"/>
  <c r="X533"/>
  <c r="X534"/>
  <c r="X535"/>
  <c r="X536"/>
  <c r="X537"/>
  <c r="X538"/>
  <c r="X539"/>
  <c r="X540"/>
  <c r="X541"/>
  <c r="X542"/>
  <c r="X543"/>
  <c r="X544"/>
  <c r="X545"/>
  <c r="X546"/>
  <c r="X547"/>
  <c r="X548"/>
  <c r="X549"/>
  <c r="X550"/>
  <c r="X551"/>
  <c r="X552"/>
  <c r="X553"/>
  <c r="X554"/>
  <c r="X555"/>
  <c r="X556"/>
  <c r="X557"/>
  <c r="X558"/>
  <c r="X559"/>
  <c r="X560"/>
  <c r="X561"/>
  <c r="X562"/>
  <c r="X563"/>
  <c r="X564"/>
  <c r="X565"/>
  <c r="X566"/>
  <c r="X567"/>
  <c r="X568"/>
  <c r="X569"/>
  <c r="X570"/>
  <c r="X571"/>
  <c r="X572"/>
  <c r="X573"/>
  <c r="X574"/>
  <c r="X575"/>
  <c r="X576"/>
  <c r="X577"/>
  <c r="X578"/>
  <c r="X579"/>
  <c r="X580"/>
  <c r="X581"/>
  <c r="X582"/>
  <c r="X583"/>
  <c r="X584"/>
  <c r="X585"/>
  <c r="X586"/>
  <c r="X587"/>
  <c r="X588"/>
  <c r="X589"/>
  <c r="X590"/>
  <c r="X591"/>
  <c r="X592"/>
  <c r="X593"/>
  <c r="X594"/>
  <c r="X595"/>
  <c r="X596"/>
  <c r="X597"/>
  <c r="X598"/>
  <c r="X599"/>
  <c r="X600"/>
  <c r="X601"/>
  <c r="X602"/>
  <c r="X603"/>
  <c r="X604"/>
  <c r="X605"/>
  <c r="X606"/>
  <c r="X607"/>
  <c r="X608"/>
  <c r="X609"/>
  <c r="X610"/>
  <c r="X611"/>
  <c r="X612"/>
  <c r="X613"/>
  <c r="X614"/>
  <c r="X615"/>
  <c r="X616"/>
  <c r="X617"/>
  <c r="X618"/>
  <c r="X619"/>
  <c r="X620"/>
  <c r="X621"/>
  <c r="X622"/>
  <c r="X623"/>
  <c r="X624"/>
  <c r="X625"/>
  <c r="X626"/>
  <c r="X627"/>
  <c r="X628"/>
  <c r="X629"/>
  <c r="X630"/>
  <c r="X631"/>
  <c r="X632"/>
  <c r="X633"/>
  <c r="X634"/>
  <c r="X635"/>
  <c r="X636"/>
  <c r="X637"/>
  <c r="X638"/>
  <c r="X639"/>
  <c r="X640"/>
  <c r="X641"/>
  <c r="X642"/>
  <c r="X643"/>
  <c r="X644"/>
  <c r="X645"/>
  <c r="X646"/>
  <c r="X647"/>
  <c r="X648"/>
  <c r="X649"/>
  <c r="X650"/>
  <c r="X651"/>
  <c r="X652"/>
  <c r="X653"/>
  <c r="X654"/>
  <c r="X655"/>
  <c r="X656"/>
  <c r="X657"/>
  <c r="X658"/>
  <c r="X659"/>
  <c r="X660"/>
  <c r="X661"/>
  <c r="X662"/>
  <c r="X663"/>
  <c r="X664"/>
  <c r="X665"/>
  <c r="X666"/>
  <c r="X667"/>
  <c r="X668"/>
  <c r="X669"/>
  <c r="X670"/>
  <c r="X671"/>
  <c r="X672"/>
  <c r="X673"/>
  <c r="X674"/>
  <c r="X675"/>
  <c r="X676"/>
  <c r="X677"/>
  <c r="X678"/>
  <c r="X679"/>
  <c r="X680"/>
  <c r="X681"/>
  <c r="X682"/>
  <c r="X683"/>
  <c r="X684"/>
  <c r="X685"/>
  <c r="X686"/>
  <c r="X687"/>
  <c r="X688"/>
  <c r="X689"/>
  <c r="X690"/>
  <c r="X691"/>
  <c r="X692"/>
  <c r="X693"/>
  <c r="X694"/>
  <c r="X695"/>
  <c r="X696"/>
  <c r="X697"/>
  <c r="X698"/>
  <c r="X699"/>
  <c r="X700"/>
  <c r="X701"/>
  <c r="X702"/>
  <c r="X703"/>
  <c r="X704"/>
  <c r="X705"/>
  <c r="X706"/>
  <c r="X707"/>
  <c r="X708"/>
  <c r="X709"/>
  <c r="X710"/>
  <c r="X711"/>
  <c r="X712"/>
  <c r="X713"/>
  <c r="X714"/>
  <c r="X715"/>
  <c r="X716"/>
  <c r="X717"/>
  <c r="X718"/>
  <c r="X719"/>
  <c r="X720"/>
  <c r="X721"/>
  <c r="X722"/>
  <c r="X723"/>
  <c r="X724"/>
  <c r="X725"/>
  <c r="X726"/>
  <c r="X727"/>
  <c r="X728"/>
  <c r="X729"/>
  <c r="X730"/>
  <c r="X731"/>
  <c r="X732"/>
  <c r="X733"/>
  <c r="X734"/>
  <c r="X735"/>
  <c r="X736"/>
  <c r="X737"/>
  <c r="X738"/>
  <c r="X739"/>
  <c r="X740"/>
  <c r="X741"/>
  <c r="X742"/>
  <c r="X743"/>
  <c r="X744"/>
  <c r="X745"/>
  <c r="X746"/>
  <c r="X747"/>
  <c r="X748"/>
  <c r="X749"/>
  <c r="X750"/>
  <c r="X751"/>
  <c r="X752"/>
  <c r="X753"/>
  <c r="X754"/>
  <c r="X755"/>
  <c r="X756"/>
  <c r="X757"/>
  <c r="X758"/>
  <c r="X759"/>
  <c r="X760"/>
  <c r="X761"/>
  <c r="X762"/>
  <c r="X763"/>
  <c r="X764"/>
  <c r="X765"/>
  <c r="X766"/>
  <c r="X767"/>
  <c r="X768"/>
  <c r="X769"/>
  <c r="X770"/>
  <c r="X771"/>
  <c r="X772"/>
  <c r="X773"/>
  <c r="X774"/>
  <c r="X775"/>
  <c r="X776"/>
  <c r="X777"/>
  <c r="X778"/>
  <c r="X779"/>
  <c r="X780"/>
  <c r="X781"/>
  <c r="X782"/>
  <c r="X783"/>
  <c r="X784"/>
  <c r="X785"/>
  <c r="X786"/>
  <c r="X787"/>
  <c r="X788"/>
  <c r="X789"/>
  <c r="X790"/>
  <c r="X791"/>
  <c r="X792"/>
  <c r="X793"/>
  <c r="X794"/>
  <c r="X795"/>
  <c r="X796"/>
  <c r="X797"/>
  <c r="X798"/>
  <c r="X799"/>
  <c r="X800"/>
  <c r="X801"/>
  <c r="X802"/>
  <c r="X803"/>
  <c r="X804"/>
  <c r="X805"/>
  <c r="X806"/>
  <c r="X808"/>
  <c r="X812"/>
  <c r="X807"/>
  <c r="X811"/>
  <c r="X810"/>
  <c r="X814"/>
  <c r="X809"/>
  <c r="X813"/>
  <c r="X815"/>
  <c r="X816"/>
  <c r="X817"/>
  <c r="X818"/>
  <c r="X819"/>
  <c r="X820"/>
  <c r="X821"/>
  <c r="X822"/>
  <c r="X823"/>
  <c r="X824"/>
  <c r="X825"/>
  <c r="X826"/>
  <c r="X827"/>
  <c r="X828"/>
  <c r="X829"/>
  <c r="X830"/>
  <c r="X831"/>
  <c r="X832"/>
  <c r="X833"/>
  <c r="X834"/>
  <c r="X835"/>
  <c r="X836"/>
  <c r="X837"/>
  <c r="X838"/>
  <c r="X839"/>
  <c r="X840"/>
  <c r="X841"/>
  <c r="X842"/>
  <c r="X843"/>
  <c r="X844"/>
  <c r="X845"/>
  <c r="X846"/>
  <c r="X847"/>
  <c r="X848"/>
  <c r="X849"/>
  <c r="X850"/>
  <c r="X851"/>
  <c r="X852"/>
  <c r="X853"/>
  <c r="X854"/>
  <c r="X855"/>
  <c r="X856"/>
  <c r="X857"/>
  <c r="X858"/>
  <c r="X859"/>
  <c r="X860"/>
  <c r="X861"/>
  <c r="X862"/>
  <c r="X863"/>
  <c r="X864"/>
  <c r="X865"/>
  <c r="X866"/>
  <c r="X867"/>
  <c r="X868"/>
  <c r="X869"/>
  <c r="X870"/>
  <c r="X871"/>
  <c r="X872"/>
  <c r="X873"/>
  <c r="X874"/>
  <c r="X875"/>
  <c r="X876"/>
  <c r="X877"/>
  <c r="X878"/>
  <c r="X879"/>
  <c r="X880"/>
  <c r="X881"/>
  <c r="X882"/>
  <c r="X883"/>
  <c r="X884"/>
  <c r="X885"/>
  <c r="X886"/>
  <c r="X887"/>
  <c r="X888"/>
  <c r="X889"/>
  <c r="X890"/>
  <c r="X891"/>
  <c r="X892"/>
  <c r="X893"/>
  <c r="X894"/>
  <c r="X895"/>
  <c r="X896"/>
  <c r="X897"/>
  <c r="X898"/>
  <c r="X899"/>
  <c r="X900"/>
  <c r="X901"/>
  <c r="X902"/>
  <c r="X903"/>
  <c r="X904"/>
  <c r="X905"/>
  <c r="X906"/>
  <c r="X907"/>
  <c r="X908"/>
  <c r="X909"/>
  <c r="X910"/>
  <c r="X911"/>
  <c r="X912"/>
  <c r="X913"/>
  <c r="X914"/>
  <c r="X915"/>
  <c r="X916"/>
  <c r="X917"/>
  <c r="X918"/>
  <c r="X919"/>
  <c r="X920"/>
  <c r="X921"/>
  <c r="X922"/>
  <c r="X923"/>
  <c r="X924"/>
  <c r="X925"/>
  <c r="X926"/>
  <c r="X927"/>
  <c r="X928"/>
  <c r="X929"/>
  <c r="X930"/>
  <c r="X931"/>
  <c r="X932"/>
  <c r="X933"/>
  <c r="AU2"/>
  <c r="AV2"/>
  <c r="AS4"/>
  <c r="AT4"/>
  <c r="AV43"/>
  <c r="AU43"/>
  <c r="AV51"/>
  <c r="AU51"/>
  <c r="AV59"/>
  <c r="AU59"/>
  <c r="AV67"/>
  <c r="AU67"/>
  <c r="AV75"/>
  <c r="AU75"/>
  <c r="AV83"/>
  <c r="AU83"/>
  <c r="AV91"/>
  <c r="AU91"/>
  <c r="AV99"/>
  <c r="AU99"/>
  <c r="AV107"/>
  <c r="AU107"/>
  <c r="AV115"/>
  <c r="AU115"/>
  <c r="AV123"/>
  <c r="AU123"/>
  <c r="AV131"/>
  <c r="AU131"/>
  <c r="AV139"/>
  <c r="AU139"/>
  <c r="AV147"/>
  <c r="AU147"/>
  <c r="AV155"/>
  <c r="AU155"/>
  <c r="AV163"/>
  <c r="AU163"/>
  <c r="AV171"/>
  <c r="AU171"/>
  <c r="AV179"/>
  <c r="AU179"/>
  <c r="AV187"/>
  <c r="AU187"/>
  <c r="AV195"/>
  <c r="AU195"/>
  <c r="AU6"/>
  <c r="AV6"/>
  <c r="AV47"/>
  <c r="AU47"/>
  <c r="AV55"/>
  <c r="AU55"/>
  <c r="AV63"/>
  <c r="AU63"/>
  <c r="AV71"/>
  <c r="AU71"/>
  <c r="AV79"/>
  <c r="AU79"/>
  <c r="AV87"/>
  <c r="AU87"/>
  <c r="AV95"/>
  <c r="AU95"/>
  <c r="AV103"/>
  <c r="AU103"/>
  <c r="AV111"/>
  <c r="AU111"/>
  <c r="AV119"/>
  <c r="AU119"/>
  <c r="AV127"/>
  <c r="AU127"/>
  <c r="AV135"/>
  <c r="AU135"/>
  <c r="AV143"/>
  <c r="AU143"/>
  <c r="AV151"/>
  <c r="AU151"/>
  <c r="AV159"/>
  <c r="AU159"/>
  <c r="AV167"/>
  <c r="AU167"/>
  <c r="AV175"/>
  <c r="AU175"/>
  <c r="AV183"/>
  <c r="AU183"/>
  <c r="AV191"/>
  <c r="AU191"/>
  <c r="AU211"/>
  <c r="AV211"/>
  <c r="AU215"/>
  <c r="AV215"/>
  <c r="AU219"/>
  <c r="AV219"/>
  <c r="AU223"/>
  <c r="AV223"/>
  <c r="AU227"/>
  <c r="AV227"/>
  <c r="AU231"/>
  <c r="AV231"/>
  <c r="AU235"/>
  <c r="AV235"/>
  <c r="AU239"/>
  <c r="AV239"/>
  <c r="AU243"/>
  <c r="AV243"/>
  <c r="AU247"/>
  <c r="AV247"/>
  <c r="AU251"/>
  <c r="AV251"/>
  <c r="AU255"/>
  <c r="AV255"/>
  <c r="AU259"/>
  <c r="AV259"/>
  <c r="AU263"/>
  <c r="AV263"/>
  <c r="AU267"/>
  <c r="AV267"/>
  <c r="AU271"/>
  <c r="AV271"/>
  <c r="AU341"/>
  <c r="AV341"/>
  <c r="AU429"/>
  <c r="AV429"/>
  <c r="AU274"/>
  <c r="AV274"/>
  <c r="AU276"/>
  <c r="AV276"/>
  <c r="AU278"/>
  <c r="AV278"/>
  <c r="AU280"/>
  <c r="AV280"/>
  <c r="AU282"/>
  <c r="AV282"/>
  <c r="AU284"/>
  <c r="AV284"/>
  <c r="AU286"/>
  <c r="AV286"/>
  <c r="AU288"/>
  <c r="AV288"/>
  <c r="AU290"/>
  <c r="AV290"/>
  <c r="AU292"/>
  <c r="AV292"/>
  <c r="AU294"/>
  <c r="AV294"/>
  <c r="AU357"/>
  <c r="AV357"/>
  <c r="AU373"/>
  <c r="AV373"/>
  <c r="AU389"/>
  <c r="AV389"/>
  <c r="AU405"/>
  <c r="AV405"/>
  <c r="AU421"/>
  <c r="AV421"/>
  <c r="B5" i="2"/>
  <c r="AT212" i="1"/>
  <c r="AT216"/>
  <c r="AT220"/>
  <c r="AT224"/>
  <c r="AT228"/>
  <c r="AT232"/>
  <c r="AT236"/>
  <c r="AT240"/>
  <c r="AT244"/>
  <c r="AT248"/>
  <c r="AT252"/>
  <c r="AT256"/>
  <c r="AT260"/>
  <c r="AT264"/>
  <c r="AT268"/>
  <c r="AT272"/>
  <c r="AU209"/>
  <c r="AV209"/>
  <c r="AU213"/>
  <c r="AV213"/>
  <c r="AU217"/>
  <c r="AV217"/>
  <c r="AU221"/>
  <c r="AV221"/>
  <c r="AU225"/>
  <c r="AV225"/>
  <c r="AU229"/>
  <c r="AV229"/>
  <c r="AU233"/>
  <c r="AV233"/>
  <c r="AU237"/>
  <c r="AV237"/>
  <c r="AU241"/>
  <c r="AV241"/>
  <c r="AU245"/>
  <c r="AV245"/>
  <c r="AU253"/>
  <c r="AV253"/>
  <c r="AU257"/>
  <c r="AV257"/>
  <c r="AU261"/>
  <c r="AV261"/>
  <c r="AU265"/>
  <c r="AV265"/>
  <c r="AU269"/>
  <c r="AV269"/>
  <c r="AU333"/>
  <c r="AV333"/>
  <c r="B4" i="2"/>
  <c r="AV3" i="1"/>
  <c r="AT5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T44"/>
  <c r="AT48"/>
  <c r="AT52"/>
  <c r="AT56"/>
  <c r="AT60"/>
  <c r="AT64"/>
  <c r="AT68"/>
  <c r="AT72"/>
  <c r="AT76"/>
  <c r="AT80"/>
  <c r="AT84"/>
  <c r="AT88"/>
  <c r="AT92"/>
  <c r="AT96"/>
  <c r="AT100"/>
  <c r="AT104"/>
  <c r="AT108"/>
  <c r="AT112"/>
  <c r="AT116"/>
  <c r="AT120"/>
  <c r="AT124"/>
  <c r="AT128"/>
  <c r="AT132"/>
  <c r="AT136"/>
  <c r="AT140"/>
  <c r="AT144"/>
  <c r="AT148"/>
  <c r="AT152"/>
  <c r="AT156"/>
  <c r="AT160"/>
  <c r="AT164"/>
  <c r="AT168"/>
  <c r="AT172"/>
  <c r="AT176"/>
  <c r="AT180"/>
  <c r="AT184"/>
  <c r="AT188"/>
  <c r="AT192"/>
  <c r="AT196"/>
  <c r="AT249"/>
  <c r="AS273"/>
  <c r="AT273"/>
  <c r="AS275"/>
  <c r="AT275"/>
  <c r="AS277"/>
  <c r="AT277"/>
  <c r="AS279"/>
  <c r="AT279"/>
  <c r="AS281"/>
  <c r="AT281"/>
  <c r="AS283"/>
  <c r="AT283"/>
  <c r="AS285"/>
  <c r="AT285"/>
  <c r="AS287"/>
  <c r="AT287"/>
  <c r="AS289"/>
  <c r="AT289"/>
  <c r="AS291"/>
  <c r="AT291"/>
  <c r="AS293"/>
  <c r="AT293"/>
  <c r="AU349"/>
  <c r="AV349"/>
  <c r="AU365"/>
  <c r="AV365"/>
  <c r="AU381"/>
  <c r="AV381"/>
  <c r="AU397"/>
  <c r="AV397"/>
  <c r="AU413"/>
  <c r="AV413"/>
  <c r="AU42"/>
  <c r="AU46"/>
  <c r="AU50"/>
  <c r="AU54"/>
  <c r="AU58"/>
  <c r="AU62"/>
  <c r="AU66"/>
  <c r="AU70"/>
  <c r="AU74"/>
  <c r="AU78"/>
  <c r="AU82"/>
  <c r="AU86"/>
  <c r="AU90"/>
  <c r="AU94"/>
  <c r="AU98"/>
  <c r="AU102"/>
  <c r="AU106"/>
  <c r="AU110"/>
  <c r="AU114"/>
  <c r="AU118"/>
  <c r="AU122"/>
  <c r="AU126"/>
  <c r="AU130"/>
  <c r="AU134"/>
  <c r="AU138"/>
  <c r="AU142"/>
  <c r="AU146"/>
  <c r="AU150"/>
  <c r="AU154"/>
  <c r="AU158"/>
  <c r="AU162"/>
  <c r="AU166"/>
  <c r="AU170"/>
  <c r="AU174"/>
  <c r="AU178"/>
  <c r="AU182"/>
  <c r="AU186"/>
  <c r="AU190"/>
  <c r="AU194"/>
  <c r="AT210"/>
  <c r="AT214"/>
  <c r="AT218"/>
  <c r="AT222"/>
  <c r="AT226"/>
  <c r="AT230"/>
  <c r="AT234"/>
  <c r="AT238"/>
  <c r="AT242"/>
  <c r="AT246"/>
  <c r="AT250"/>
  <c r="AT254"/>
  <c r="AT258"/>
  <c r="AT262"/>
  <c r="AT266"/>
  <c r="AT270"/>
  <c r="AU457"/>
  <c r="AV457"/>
  <c r="AU458"/>
  <c r="AV458"/>
  <c r="AU463"/>
  <c r="AV463"/>
  <c r="AS468"/>
  <c r="AT468"/>
  <c r="AT475"/>
  <c r="AS475"/>
  <c r="AU489"/>
  <c r="AV489"/>
  <c r="AU490"/>
  <c r="AV490"/>
  <c r="AU495"/>
  <c r="AV495"/>
  <c r="AS500"/>
  <c r="AT500"/>
  <c r="AT507"/>
  <c r="AS507"/>
  <c r="AT303"/>
  <c r="AT311"/>
  <c r="AT319"/>
  <c r="AT327"/>
  <c r="AT335"/>
  <c r="AT343"/>
  <c r="AT351"/>
  <c r="AT359"/>
  <c r="AT367"/>
  <c r="AT375"/>
  <c r="AT383"/>
  <c r="AT391"/>
  <c r="AT399"/>
  <c r="AT407"/>
  <c r="AT415"/>
  <c r="AT423"/>
  <c r="AT431"/>
  <c r="AT439"/>
  <c r="AU441"/>
  <c r="AV441"/>
  <c r="AS460"/>
  <c r="AT460"/>
  <c r="AT467"/>
  <c r="AS467"/>
  <c r="AU481"/>
  <c r="AV481"/>
  <c r="AU482"/>
  <c r="AV482"/>
  <c r="AU487"/>
  <c r="AV487"/>
  <c r="AS492"/>
  <c r="AT492"/>
  <c r="AT499"/>
  <c r="AS499"/>
  <c r="AU513"/>
  <c r="AV513"/>
  <c r="AU514"/>
  <c r="AV514"/>
  <c r="AU519"/>
  <c r="AV519"/>
  <c r="AT295"/>
  <c r="AT297"/>
  <c r="AT301"/>
  <c r="AT304"/>
  <c r="AT309"/>
  <c r="AT312"/>
  <c r="AT317"/>
  <c r="AT320"/>
  <c r="AT325"/>
  <c r="AT328"/>
  <c r="AV334"/>
  <c r="AT336"/>
  <c r="AV342"/>
  <c r="AT344"/>
  <c r="AV350"/>
  <c r="AT352"/>
  <c r="AV358"/>
  <c r="AT360"/>
  <c r="AV366"/>
  <c r="AT368"/>
  <c r="AV374"/>
  <c r="AT376"/>
  <c r="AV382"/>
  <c r="AT384"/>
  <c r="AV390"/>
  <c r="AT392"/>
  <c r="AV398"/>
  <c r="AT400"/>
  <c r="AV406"/>
  <c r="AT408"/>
  <c r="AV414"/>
  <c r="AT416"/>
  <c r="AV422"/>
  <c r="AT424"/>
  <c r="AV430"/>
  <c r="AT432"/>
  <c r="AT437"/>
  <c r="AT440"/>
  <c r="AV442"/>
  <c r="AS443"/>
  <c r="AU299"/>
  <c r="AV299"/>
  <c r="AU307"/>
  <c r="AV307"/>
  <c r="AU315"/>
  <c r="AV315"/>
  <c r="AU323"/>
  <c r="AV323"/>
  <c r="AU331"/>
  <c r="AV331"/>
  <c r="AU339"/>
  <c r="AV339"/>
  <c r="AU347"/>
  <c r="AV347"/>
  <c r="AU355"/>
  <c r="AV355"/>
  <c r="AU363"/>
  <c r="AV363"/>
  <c r="AU371"/>
  <c r="AV371"/>
  <c r="AU379"/>
  <c r="AV379"/>
  <c r="AU387"/>
  <c r="AV387"/>
  <c r="AU395"/>
  <c r="AV395"/>
  <c r="AU403"/>
  <c r="AV403"/>
  <c r="AU411"/>
  <c r="AV411"/>
  <c r="AU419"/>
  <c r="AV419"/>
  <c r="AU427"/>
  <c r="AV427"/>
  <c r="AU435"/>
  <c r="AV435"/>
  <c r="AU443"/>
  <c r="AV443"/>
  <c r="AT459"/>
  <c r="AS459"/>
  <c r="AU473"/>
  <c r="AV473"/>
  <c r="AU474"/>
  <c r="AV474"/>
  <c r="AU479"/>
  <c r="AV479"/>
  <c r="AS484"/>
  <c r="AT484"/>
  <c r="AT491"/>
  <c r="AS491"/>
  <c r="AU505"/>
  <c r="AV505"/>
  <c r="AU506"/>
  <c r="AV506"/>
  <c r="AU511"/>
  <c r="AV511"/>
  <c r="AS516"/>
  <c r="AT516"/>
  <c r="AV296"/>
  <c r="AV300"/>
  <c r="AT302"/>
  <c r="AV308"/>
  <c r="AT310"/>
  <c r="AV316"/>
  <c r="AT318"/>
  <c r="AV324"/>
  <c r="AT326"/>
  <c r="AV348"/>
  <c r="AV428"/>
  <c r="AV436"/>
  <c r="AT438"/>
  <c r="AV444"/>
  <c r="AS445"/>
  <c r="AU305"/>
  <c r="AV305"/>
  <c r="AU313"/>
  <c r="AV313"/>
  <c r="AU321"/>
  <c r="AV321"/>
  <c r="AU329"/>
  <c r="AV329"/>
  <c r="AU337"/>
  <c r="AV337"/>
  <c r="AU345"/>
  <c r="AV345"/>
  <c r="AU353"/>
  <c r="AV353"/>
  <c r="AU361"/>
  <c r="AV361"/>
  <c r="AU369"/>
  <c r="AV369"/>
  <c r="AU377"/>
  <c r="AV377"/>
  <c r="AU385"/>
  <c r="AV385"/>
  <c r="AU393"/>
  <c r="AV393"/>
  <c r="AU401"/>
  <c r="AV401"/>
  <c r="AU409"/>
  <c r="AV409"/>
  <c r="AU417"/>
  <c r="AV417"/>
  <c r="AU425"/>
  <c r="AV425"/>
  <c r="AU433"/>
  <c r="AV433"/>
  <c r="AU445"/>
  <c r="AV445"/>
  <c r="AU447"/>
  <c r="AV447"/>
  <c r="AU449"/>
  <c r="AV449"/>
  <c r="AU451"/>
  <c r="AV451"/>
  <c r="AU453"/>
  <c r="AV453"/>
  <c r="AU455"/>
  <c r="AV455"/>
  <c r="AU465"/>
  <c r="AV465"/>
  <c r="AU466"/>
  <c r="AV466"/>
  <c r="AU471"/>
  <c r="AV471"/>
  <c r="AS476"/>
  <c r="AT476"/>
  <c r="AT483"/>
  <c r="AS483"/>
  <c r="AU497"/>
  <c r="AV497"/>
  <c r="AU498"/>
  <c r="AV498"/>
  <c r="AU503"/>
  <c r="AV503"/>
  <c r="AS508"/>
  <c r="AT508"/>
  <c r="AT515"/>
  <c r="AS515"/>
  <c r="AU658"/>
  <c r="AV658"/>
  <c r="AU662"/>
  <c r="AV662"/>
  <c r="AU666"/>
  <c r="AV666"/>
  <c r="AU670"/>
  <c r="AV670"/>
  <c r="AS672"/>
  <c r="AT672"/>
  <c r="AS674"/>
  <c r="AT674"/>
  <c r="AS676"/>
  <c r="AT676"/>
  <c r="AS678"/>
  <c r="AT678"/>
  <c r="AS680"/>
  <c r="AT680"/>
  <c r="AS682"/>
  <c r="AT682"/>
  <c r="AS684"/>
  <c r="AT684"/>
  <c r="AS686"/>
  <c r="AT686"/>
  <c r="AS688"/>
  <c r="AT688"/>
  <c r="AS690"/>
  <c r="AT690"/>
  <c r="AS692"/>
  <c r="AT692"/>
  <c r="AS694"/>
  <c r="AT694"/>
  <c r="AS696"/>
  <c r="AT696"/>
  <c r="AS698"/>
  <c r="AT698"/>
  <c r="AU659"/>
  <c r="AV659"/>
  <c r="AU663"/>
  <c r="AV663"/>
  <c r="AU667"/>
  <c r="AV667"/>
  <c r="AU671"/>
  <c r="AV671"/>
  <c r="AU673"/>
  <c r="AV673"/>
  <c r="AU675"/>
  <c r="AV675"/>
  <c r="AU677"/>
  <c r="AV677"/>
  <c r="AU679"/>
  <c r="AV679"/>
  <c r="AU681"/>
  <c r="AV681"/>
  <c r="AU683"/>
  <c r="AV683"/>
  <c r="AU685"/>
  <c r="AV685"/>
  <c r="AU687"/>
  <c r="AV687"/>
  <c r="AU689"/>
  <c r="AV689"/>
  <c r="AU691"/>
  <c r="AV691"/>
  <c r="AU693"/>
  <c r="AV693"/>
  <c r="AU695"/>
  <c r="AV695"/>
  <c r="AU697"/>
  <c r="AV697"/>
  <c r="AV700"/>
  <c r="AU700"/>
  <c r="AV704"/>
  <c r="AU704"/>
  <c r="AV708"/>
  <c r="AU708"/>
  <c r="AV654"/>
  <c r="AV655"/>
  <c r="AU461"/>
  <c r="AV461"/>
  <c r="AU469"/>
  <c r="AV469"/>
  <c r="AU477"/>
  <c r="AV477"/>
  <c r="AU485"/>
  <c r="AV485"/>
  <c r="AU493"/>
  <c r="AV493"/>
  <c r="AU501"/>
  <c r="AV501"/>
  <c r="AU509"/>
  <c r="AV509"/>
  <c r="AU517"/>
  <c r="AV517"/>
  <c r="AU656"/>
  <c r="AV656"/>
  <c r="AU660"/>
  <c r="AV660"/>
  <c r="AU664"/>
  <c r="AV664"/>
  <c r="AU668"/>
  <c r="AV668"/>
  <c r="AU657"/>
  <c r="AV657"/>
  <c r="AU661"/>
  <c r="AV661"/>
  <c r="AU665"/>
  <c r="AV665"/>
  <c r="AU669"/>
  <c r="AV669"/>
  <c r="AV702"/>
  <c r="AU702"/>
  <c r="AV706"/>
  <c r="AU706"/>
  <c r="AV710"/>
  <c r="AU710"/>
  <c r="AV699"/>
  <c r="AU699"/>
  <c r="AV703"/>
  <c r="AU703"/>
  <c r="AV701"/>
  <c r="AU701"/>
  <c r="AV707"/>
  <c r="AU707"/>
  <c r="AV711"/>
  <c r="AU711"/>
  <c r="AV713"/>
  <c r="AU713"/>
  <c r="AV715"/>
  <c r="AU715"/>
  <c r="AV717"/>
  <c r="AU717"/>
  <c r="AV719"/>
  <c r="AU719"/>
  <c r="AV721"/>
  <c r="AU721"/>
  <c r="AV723"/>
  <c r="AU723"/>
  <c r="AV725"/>
  <c r="AU725"/>
  <c r="AV727"/>
  <c r="AU727"/>
  <c r="AV729"/>
  <c r="AU729"/>
  <c r="AV731"/>
  <c r="AU731"/>
  <c r="AV733"/>
  <c r="AU733"/>
  <c r="AV735"/>
  <c r="AU735"/>
  <c r="AV737"/>
  <c r="AU737"/>
  <c r="AV739"/>
  <c r="AU739"/>
  <c r="AV741"/>
  <c r="AU741"/>
  <c r="AV743"/>
  <c r="AU743"/>
  <c r="AV745"/>
  <c r="AU745"/>
  <c r="AV747"/>
  <c r="AU747"/>
  <c r="AV749"/>
  <c r="AU749"/>
  <c r="AV751"/>
  <c r="AU751"/>
  <c r="AV753"/>
  <c r="AU753"/>
  <c r="AV755"/>
  <c r="AU755"/>
  <c r="AV757"/>
  <c r="AU757"/>
  <c r="AV759"/>
  <c r="AU759"/>
  <c r="AV761"/>
  <c r="AU761"/>
  <c r="AV763"/>
  <c r="AU763"/>
  <c r="AV765"/>
  <c r="AU765"/>
  <c r="AV767"/>
  <c r="AU767"/>
  <c r="AV769"/>
  <c r="AU769"/>
  <c r="AV771"/>
  <c r="AU771"/>
  <c r="AV773"/>
  <c r="AU773"/>
  <c r="AV775"/>
  <c r="AU775"/>
  <c r="AV777"/>
  <c r="AU777"/>
  <c r="AV779"/>
  <c r="AU779"/>
  <c r="AV781"/>
  <c r="AU781"/>
  <c r="AV783"/>
  <c r="AU783"/>
  <c r="AV785"/>
  <c r="AU785"/>
  <c r="AV787"/>
  <c r="AU787"/>
  <c r="AV789"/>
  <c r="AU789"/>
  <c r="AV791"/>
  <c r="AU791"/>
  <c r="AV793"/>
  <c r="AU793"/>
  <c r="AV795"/>
  <c r="AU795"/>
  <c r="AV797"/>
  <c r="AU797"/>
  <c r="AV799"/>
  <c r="AU799"/>
  <c r="AV809"/>
  <c r="AU809"/>
  <c r="AV812"/>
  <c r="AU812"/>
  <c r="AV705"/>
  <c r="AU705"/>
  <c r="AV709"/>
  <c r="AU709"/>
  <c r="AV712"/>
  <c r="AU712"/>
  <c r="AV714"/>
  <c r="AU714"/>
  <c r="AV716"/>
  <c r="AU716"/>
  <c r="AV718"/>
  <c r="AU718"/>
  <c r="AV720"/>
  <c r="AU720"/>
  <c r="AV722"/>
  <c r="AU722"/>
  <c r="AV724"/>
  <c r="AU724"/>
  <c r="AV726"/>
  <c r="AU726"/>
  <c r="AV728"/>
  <c r="AU728"/>
  <c r="AV730"/>
  <c r="AU730"/>
  <c r="AV732"/>
  <c r="AU732"/>
  <c r="AV734"/>
  <c r="AU734"/>
  <c r="AV736"/>
  <c r="AU736"/>
  <c r="AV738"/>
  <c r="AU738"/>
  <c r="AV740"/>
  <c r="AU740"/>
  <c r="AV742"/>
  <c r="AU742"/>
  <c r="AV744"/>
  <c r="AU744"/>
  <c r="AV746"/>
  <c r="AU746"/>
  <c r="AV748"/>
  <c r="AU748"/>
  <c r="AV750"/>
  <c r="AU750"/>
  <c r="AV752"/>
  <c r="AU752"/>
  <c r="AV754"/>
  <c r="AU754"/>
  <c r="AV756"/>
  <c r="AU756"/>
  <c r="AV758"/>
  <c r="AU758"/>
  <c r="AV760"/>
  <c r="AU760"/>
  <c r="AV762"/>
  <c r="AU762"/>
  <c r="AV764"/>
  <c r="AU764"/>
  <c r="AV766"/>
  <c r="AU766"/>
  <c r="AV768"/>
  <c r="AU768"/>
  <c r="AV770"/>
  <c r="AU770"/>
  <c r="AV772"/>
  <c r="AU772"/>
  <c r="AV774"/>
  <c r="AU774"/>
  <c r="AV776"/>
  <c r="AU776"/>
  <c r="AV778"/>
  <c r="AU778"/>
  <c r="AV780"/>
  <c r="AU780"/>
  <c r="AV782"/>
  <c r="AU782"/>
  <c r="AV784"/>
  <c r="AU784"/>
  <c r="AV786"/>
  <c r="AU786"/>
  <c r="AV788"/>
  <c r="AU788"/>
  <c r="AV790"/>
  <c r="AU790"/>
  <c r="AV792"/>
  <c r="AU792"/>
  <c r="AV794"/>
  <c r="AU794"/>
  <c r="AV796"/>
  <c r="AU796"/>
  <c r="AV798"/>
  <c r="AU798"/>
  <c r="AV800"/>
  <c r="AU800"/>
  <c r="AU817"/>
  <c r="AV817"/>
  <c r="AU821"/>
  <c r="AV821"/>
  <c r="AU825"/>
  <c r="AV825"/>
  <c r="AU829"/>
  <c r="AV829"/>
  <c r="AU833"/>
  <c r="AV833"/>
  <c r="AU837"/>
  <c r="AV837"/>
  <c r="AU841"/>
  <c r="AV841"/>
  <c r="AU845"/>
  <c r="AV845"/>
  <c r="AU849"/>
  <c r="AV849"/>
  <c r="AU853"/>
  <c r="AV853"/>
  <c r="AU857"/>
  <c r="AV857"/>
  <c r="AU861"/>
  <c r="AV861"/>
  <c r="AU874"/>
  <c r="AV874"/>
  <c r="AU878"/>
  <c r="AV878"/>
  <c r="AU882"/>
  <c r="AV882"/>
  <c r="AU886"/>
  <c r="AV886"/>
  <c r="AU890"/>
  <c r="AV890"/>
  <c r="AU894"/>
  <c r="AV894"/>
  <c r="AU906"/>
  <c r="AV906"/>
  <c r="AU910"/>
  <c r="AV910"/>
  <c r="AU914"/>
  <c r="AV914"/>
  <c r="AU918"/>
  <c r="AV918"/>
  <c r="AU926"/>
  <c r="AV926"/>
  <c r="AU801"/>
  <c r="AU802"/>
  <c r="AU803"/>
  <c r="AU804"/>
  <c r="AS812"/>
  <c r="AT866"/>
  <c r="AT870"/>
  <c r="AT898"/>
  <c r="AT902"/>
  <c r="AT922"/>
  <c r="AU814"/>
  <c r="AV814"/>
  <c r="AU818"/>
  <c r="AV818"/>
  <c r="AU822"/>
  <c r="AV822"/>
  <c r="AU826"/>
  <c r="AV826"/>
  <c r="AU830"/>
  <c r="AV830"/>
  <c r="AU834"/>
  <c r="AV834"/>
  <c r="AU838"/>
  <c r="AV838"/>
  <c r="AU842"/>
  <c r="AV842"/>
  <c r="AU846"/>
  <c r="AV846"/>
  <c r="AU850"/>
  <c r="AV850"/>
  <c r="AU854"/>
  <c r="AV854"/>
  <c r="AU858"/>
  <c r="AV858"/>
  <c r="AU862"/>
  <c r="AV862"/>
  <c r="AU865"/>
  <c r="AV865"/>
  <c r="AU869"/>
  <c r="AV869"/>
  <c r="AU873"/>
  <c r="AV873"/>
  <c r="AU877"/>
  <c r="AV877"/>
  <c r="AU881"/>
  <c r="AV881"/>
  <c r="AU885"/>
  <c r="AV885"/>
  <c r="AU889"/>
  <c r="AV889"/>
  <c r="AU893"/>
  <c r="AV893"/>
  <c r="AU897"/>
  <c r="AV897"/>
  <c r="AU901"/>
  <c r="AV901"/>
  <c r="AU905"/>
  <c r="AV905"/>
  <c r="AU909"/>
  <c r="AV909"/>
  <c r="AU913"/>
  <c r="AV913"/>
  <c r="AU917"/>
  <c r="AV917"/>
  <c r="AU921"/>
  <c r="AV921"/>
  <c r="AU925"/>
  <c r="AV925"/>
  <c r="AT805"/>
  <c r="AT806"/>
  <c r="AT810"/>
  <c r="AU900"/>
  <c r="AV900"/>
  <c r="AU924"/>
  <c r="AV924"/>
  <c r="AU928"/>
  <c r="AV928"/>
  <c r="AT929"/>
  <c r="AS929"/>
  <c r="AT930"/>
  <c r="AS930"/>
  <c r="AT931"/>
  <c r="AS931"/>
  <c r="AT932"/>
  <c r="AS932"/>
  <c r="AT933"/>
  <c r="AS933"/>
  <c r="AU808"/>
  <c r="AT813"/>
  <c r="AT815"/>
  <c r="AT819"/>
  <c r="AT823"/>
  <c r="AT827"/>
  <c r="AT831"/>
  <c r="AT835"/>
  <c r="AT839"/>
  <c r="AT843"/>
  <c r="AT847"/>
  <c r="AT851"/>
  <c r="AT855"/>
  <c r="AT859"/>
  <c r="AT864"/>
  <c r="AT868"/>
  <c r="AT872"/>
  <c r="AT876"/>
  <c r="AT880"/>
  <c r="AT884"/>
  <c r="AT888"/>
  <c r="AT892"/>
  <c r="AT896"/>
  <c r="AT904"/>
  <c r="AT908"/>
  <c r="AT912"/>
  <c r="AT916"/>
  <c r="AT920"/>
  <c r="AU816"/>
  <c r="AV816"/>
  <c r="AU820"/>
  <c r="AV820"/>
  <c r="AU824"/>
  <c r="AV824"/>
  <c r="AU828"/>
  <c r="AV828"/>
  <c r="AU832"/>
  <c r="AV832"/>
  <c r="AU836"/>
  <c r="AV836"/>
  <c r="AU840"/>
  <c r="AV840"/>
  <c r="AU844"/>
  <c r="AV844"/>
  <c r="AU848"/>
  <c r="AV848"/>
  <c r="AU852"/>
  <c r="AV852"/>
  <c r="AU856"/>
  <c r="AV856"/>
  <c r="AU860"/>
  <c r="AV860"/>
  <c r="AU811"/>
  <c r="AT863"/>
  <c r="AT867"/>
  <c r="AT871"/>
  <c r="AT875"/>
  <c r="AT879"/>
  <c r="AT883"/>
  <c r="AT887"/>
  <c r="AT891"/>
  <c r="AT895"/>
  <c r="AT899"/>
  <c r="AT903"/>
  <c r="AT907"/>
  <c r="AT911"/>
  <c r="AT915"/>
  <c r="AT919"/>
  <c r="AT923"/>
  <c r="AT927"/>
  <c r="AU927" l="1"/>
  <c r="AV927"/>
  <c r="AU895"/>
  <c r="AV895"/>
  <c r="AU912"/>
  <c r="AV912"/>
  <c r="AU859"/>
  <c r="AV859"/>
  <c r="AU827"/>
  <c r="AV827"/>
  <c r="AV805"/>
  <c r="AU805"/>
  <c r="AU902"/>
  <c r="AV902"/>
  <c r="AU516"/>
  <c r="AV516"/>
  <c r="AU392"/>
  <c r="AV392"/>
  <c r="AU376"/>
  <c r="AV376"/>
  <c r="AU328"/>
  <c r="AV328"/>
  <c r="AU297"/>
  <c r="AV297"/>
  <c r="AU460"/>
  <c r="AV460"/>
  <c r="AU375"/>
  <c r="AV375"/>
  <c r="AU500"/>
  <c r="AV500"/>
  <c r="AU262"/>
  <c r="AV262"/>
  <c r="AU214"/>
  <c r="AV214"/>
  <c r="AV172"/>
  <c r="AU172"/>
  <c r="AV124"/>
  <c r="AU124"/>
  <c r="AV76"/>
  <c r="AU76"/>
  <c r="AU5"/>
  <c r="AV5"/>
  <c r="AU236"/>
  <c r="AV236"/>
  <c r="AV806"/>
  <c r="AU806"/>
  <c r="AU698"/>
  <c r="AV698"/>
  <c r="AU694"/>
  <c r="AV694"/>
  <c r="AU690"/>
  <c r="AV690"/>
  <c r="AU686"/>
  <c r="AV686"/>
  <c r="AU682"/>
  <c r="AV682"/>
  <c r="AU678"/>
  <c r="AV678"/>
  <c r="AU674"/>
  <c r="AV674"/>
  <c r="AU476"/>
  <c r="AV476"/>
  <c r="AU438"/>
  <c r="AV438"/>
  <c r="AU326"/>
  <c r="AV326"/>
  <c r="AU310"/>
  <c r="AV310"/>
  <c r="AU459"/>
  <c r="AV459"/>
  <c r="AU317"/>
  <c r="AV317"/>
  <c r="AU301"/>
  <c r="AV301"/>
  <c r="AU467"/>
  <c r="AV467"/>
  <c r="AU415"/>
  <c r="AV415"/>
  <c r="AU383"/>
  <c r="AV383"/>
  <c r="AU351"/>
  <c r="AV351"/>
  <c r="AU319"/>
  <c r="AV319"/>
  <c r="AU507"/>
  <c r="AV507"/>
  <c r="AU266"/>
  <c r="AV266"/>
  <c r="AU250"/>
  <c r="AV250"/>
  <c r="AU234"/>
  <c r="AV234"/>
  <c r="AU218"/>
  <c r="AV218"/>
  <c r="AU293"/>
  <c r="AV293"/>
  <c r="AU289"/>
  <c r="AV289"/>
  <c r="AU285"/>
  <c r="AV285"/>
  <c r="AU281"/>
  <c r="AV281"/>
  <c r="AU277"/>
  <c r="AV277"/>
  <c r="AU273"/>
  <c r="AV273"/>
  <c r="AV192"/>
  <c r="AU192"/>
  <c r="AV176"/>
  <c r="AU176"/>
  <c r="AV160"/>
  <c r="AU160"/>
  <c r="AV144"/>
  <c r="AU144"/>
  <c r="AV128"/>
  <c r="AU128"/>
  <c r="AV112"/>
  <c r="AU112"/>
  <c r="AV96"/>
  <c r="AU96"/>
  <c r="AV80"/>
  <c r="AU80"/>
  <c r="AV64"/>
  <c r="AU64"/>
  <c r="AV48"/>
  <c r="AU48"/>
  <c r="AU272"/>
  <c r="AV272"/>
  <c r="AU256"/>
  <c r="AV256"/>
  <c r="AU240"/>
  <c r="AV240"/>
  <c r="AU224"/>
  <c r="AV224"/>
  <c r="AU863"/>
  <c r="AV863"/>
  <c r="AU876"/>
  <c r="AV876"/>
  <c r="AV813"/>
  <c r="AU813"/>
  <c r="AU424"/>
  <c r="AV424"/>
  <c r="AU344"/>
  <c r="AV344"/>
  <c r="AU439"/>
  <c r="AV439"/>
  <c r="AU311"/>
  <c r="AV311"/>
  <c r="AU230"/>
  <c r="AV230"/>
  <c r="AV156"/>
  <c r="AU156"/>
  <c r="AV92"/>
  <c r="AU92"/>
  <c r="AV44"/>
  <c r="AU44"/>
  <c r="AU252"/>
  <c r="AV252"/>
  <c r="AV4"/>
  <c r="AU4"/>
  <c r="AU915"/>
  <c r="AV915"/>
  <c r="AU883"/>
  <c r="AV883"/>
  <c r="AU896"/>
  <c r="AV896"/>
  <c r="AU864"/>
  <c r="AV864"/>
  <c r="AU831"/>
  <c r="AV831"/>
  <c r="AU933"/>
  <c r="AV933"/>
  <c r="AU929"/>
  <c r="AV929"/>
  <c r="AU922"/>
  <c r="AV922"/>
  <c r="AU903"/>
  <c r="AV903"/>
  <c r="AU871"/>
  <c r="AV871"/>
  <c r="AU904"/>
  <c r="AV904"/>
  <c r="AU868"/>
  <c r="AV868"/>
  <c r="AU819"/>
  <c r="AV819"/>
  <c r="AU432"/>
  <c r="AV432"/>
  <c r="AU400"/>
  <c r="AV400"/>
  <c r="AU368"/>
  <c r="AV368"/>
  <c r="AU336"/>
  <c r="AV336"/>
  <c r="AU304"/>
  <c r="AV304"/>
  <c r="AU423"/>
  <c r="AV423"/>
  <c r="AU359"/>
  <c r="AV359"/>
  <c r="AU254"/>
  <c r="AV254"/>
  <c r="AU222"/>
  <c r="AV222"/>
  <c r="AV196"/>
  <c r="AU196"/>
  <c r="AV180"/>
  <c r="AU180"/>
  <c r="AV164"/>
  <c r="AU164"/>
  <c r="AV148"/>
  <c r="AU148"/>
  <c r="AV132"/>
  <c r="AU132"/>
  <c r="AV116"/>
  <c r="AU116"/>
  <c r="AV100"/>
  <c r="AU100"/>
  <c r="AV84"/>
  <c r="AU84"/>
  <c r="AV68"/>
  <c r="AU68"/>
  <c r="AV52"/>
  <c r="AU52"/>
  <c r="AU260"/>
  <c r="AV260"/>
  <c r="AU244"/>
  <c r="AV244"/>
  <c r="AU228"/>
  <c r="AV228"/>
  <c r="AU212"/>
  <c r="AV212"/>
  <c r="AU899"/>
  <c r="AV899"/>
  <c r="AU867"/>
  <c r="AV867"/>
  <c r="AU916"/>
  <c r="AV916"/>
  <c r="AU880"/>
  <c r="AV880"/>
  <c r="AU847"/>
  <c r="AV847"/>
  <c r="AU815"/>
  <c r="AV815"/>
  <c r="AU931"/>
  <c r="AV931"/>
  <c r="AU866"/>
  <c r="AV866"/>
  <c r="AU919"/>
  <c r="AV919"/>
  <c r="AU887"/>
  <c r="AV887"/>
  <c r="AU920"/>
  <c r="AV920"/>
  <c r="AU884"/>
  <c r="AV884"/>
  <c r="AU851"/>
  <c r="AV851"/>
  <c r="AU835"/>
  <c r="AV835"/>
  <c r="AV810"/>
  <c r="AU810"/>
  <c r="AU870"/>
  <c r="AV870"/>
  <c r="AU483"/>
  <c r="AV483"/>
  <c r="AU484"/>
  <c r="AV484"/>
  <c r="AU416"/>
  <c r="AV416"/>
  <c r="AU384"/>
  <c r="AV384"/>
  <c r="AU352"/>
  <c r="AV352"/>
  <c r="AU320"/>
  <c r="AV320"/>
  <c r="AU492"/>
  <c r="AV492"/>
  <c r="AU391"/>
  <c r="AV391"/>
  <c r="AU327"/>
  <c r="AV327"/>
  <c r="AU468"/>
  <c r="AV468"/>
  <c r="AU270"/>
  <c r="AV270"/>
  <c r="AU238"/>
  <c r="AV238"/>
  <c r="AU923"/>
  <c r="AV923"/>
  <c r="AU907"/>
  <c r="AV907"/>
  <c r="AU891"/>
  <c r="AV891"/>
  <c r="AU875"/>
  <c r="AV875"/>
  <c r="AU908"/>
  <c r="AV908"/>
  <c r="AU888"/>
  <c r="AV888"/>
  <c r="AU872"/>
  <c r="AV872"/>
  <c r="AU855"/>
  <c r="AV855"/>
  <c r="AU839"/>
  <c r="AV839"/>
  <c r="AU823"/>
  <c r="AV823"/>
  <c r="AU932"/>
  <c r="AV932"/>
  <c r="AU930"/>
  <c r="AV930"/>
  <c r="AU898"/>
  <c r="AV898"/>
  <c r="AU696"/>
  <c r="AV696"/>
  <c r="AU692"/>
  <c r="AV692"/>
  <c r="AU688"/>
  <c r="AV688"/>
  <c r="AU684"/>
  <c r="AV684"/>
  <c r="AU680"/>
  <c r="AV680"/>
  <c r="AU676"/>
  <c r="AV676"/>
  <c r="AU672"/>
  <c r="AV672"/>
  <c r="AU508"/>
  <c r="AV508"/>
  <c r="AU318"/>
  <c r="AV318"/>
  <c r="AU302"/>
  <c r="AV302"/>
  <c r="AU491"/>
  <c r="AV491"/>
  <c r="AU437"/>
  <c r="AV437"/>
  <c r="AU325"/>
  <c r="AV325"/>
  <c r="AU309"/>
  <c r="AV309"/>
  <c r="AU295"/>
  <c r="AV295"/>
  <c r="AU499"/>
  <c r="AV499"/>
  <c r="AU431"/>
  <c r="AV431"/>
  <c r="AU399"/>
  <c r="AV399"/>
  <c r="AU367"/>
  <c r="AV367"/>
  <c r="AU335"/>
  <c r="AV335"/>
  <c r="AU303"/>
  <c r="AV303"/>
  <c r="AU475"/>
  <c r="AV475"/>
  <c r="AU258"/>
  <c r="AV258"/>
  <c r="AU242"/>
  <c r="AV242"/>
  <c r="AU226"/>
  <c r="AV226"/>
  <c r="AU210"/>
  <c r="AV210"/>
  <c r="AU291"/>
  <c r="AV291"/>
  <c r="AU287"/>
  <c r="AV287"/>
  <c r="AU283"/>
  <c r="AV283"/>
  <c r="AU279"/>
  <c r="AV279"/>
  <c r="AU275"/>
  <c r="AV275"/>
  <c r="AU249"/>
  <c r="AV249"/>
  <c r="AV184"/>
  <c r="AU184"/>
  <c r="AV168"/>
  <c r="AU168"/>
  <c r="AV152"/>
  <c r="AU152"/>
  <c r="AV136"/>
  <c r="AU136"/>
  <c r="AV120"/>
  <c r="AU120"/>
  <c r="AV104"/>
  <c r="AU104"/>
  <c r="AV88"/>
  <c r="AU88"/>
  <c r="AV72"/>
  <c r="AU72"/>
  <c r="AV56"/>
  <c r="AU56"/>
  <c r="AU264"/>
  <c r="AV264"/>
  <c r="AU248"/>
  <c r="AV248"/>
  <c r="AU232"/>
  <c r="AV232"/>
  <c r="AU216"/>
  <c r="AV216"/>
  <c r="AU911"/>
  <c r="AV911"/>
  <c r="AU879"/>
  <c r="AV879"/>
  <c r="AU892"/>
  <c r="AV892"/>
  <c r="AU843"/>
  <c r="AV843"/>
  <c r="AU515"/>
  <c r="AV515"/>
  <c r="AU440"/>
  <c r="AV440"/>
  <c r="AU408"/>
  <c r="AV408"/>
  <c r="AU360"/>
  <c r="AV360"/>
  <c r="AU312"/>
  <c r="AV312"/>
  <c r="AU407"/>
  <c r="AV407"/>
  <c r="AU343"/>
  <c r="AV343"/>
  <c r="AU246"/>
  <c r="AV246"/>
  <c r="AV188"/>
  <c r="AU188"/>
  <c r="AV140"/>
  <c r="AU140"/>
  <c r="AV108"/>
  <c r="AU108"/>
  <c r="AV60"/>
  <c r="AU60"/>
  <c r="AU268"/>
  <c r="AV268"/>
  <c r="AU220"/>
  <c r="AV220"/>
</calcChain>
</file>

<file path=xl/sharedStrings.xml><?xml version="1.0" encoding="utf-8"?>
<sst xmlns="http://schemas.openxmlformats.org/spreadsheetml/2006/main" count="12886" uniqueCount="2829">
  <si>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</si>
  <si>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</si>
  <si>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</si>
  <si>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</si>
  <si>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</si>
  <si>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</si>
  <si>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</si>
  <si>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</si>
  <si>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</si>
  <si>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</si>
  <si>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</si>
  <si>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</si>
  <si>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</si>
  <si>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</si>
  <si>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</si>
  <si>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</si>
  <si>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</si>
  <si>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</si>
  <si>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</si>
  <si>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</si>
  <si>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</si>
  <si>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Joint</t>
  </si>
  <si>
    <t>conflicting_duplicates</t>
  </si>
  <si>
    <t>exact_duplicate_rows</t>
  </si>
  <si>
    <t>duplicate_order_id_flag</t>
  </si>
  <si>
    <t>duplicate_review_flag</t>
  </si>
  <si>
    <t>data_quality_flag</t>
  </si>
  <si>
    <t>date_quality_flag</t>
  </si>
  <si>
    <t>shipping_delay_days</t>
  </si>
  <si>
    <t>shipping_date_issue</t>
  </si>
  <si>
    <t>date_format_flag</t>
  </si>
  <si>
    <t>flag_valid_order_date</t>
  </si>
  <si>
    <t>flag_valid_shipping_date</t>
  </si>
  <si>
    <t>flag_missing_order_date</t>
  </si>
  <si>
    <t>flag_missing_shipping_date</t>
  </si>
  <si>
    <t>flag_missing_region</t>
  </si>
  <si>
    <t>flag_missing_ship_mode</t>
  </si>
  <si>
    <t>flag_missing_discount</t>
  </si>
  <si>
    <t>flag_negative_discount</t>
  </si>
  <si>
    <t>flag_discount_out_of_range</t>
  </si>
  <si>
    <t>flag_invalid_shipping</t>
  </si>
  <si>
    <t>any_rule_flag</t>
  </si>
  <si>
    <t>cleaned_discount</t>
  </si>
  <si>
    <t>calculated_sales</t>
  </si>
  <si>
    <t>sales difference</t>
  </si>
  <si>
    <t>calculated_profit</t>
  </si>
  <si>
    <t>profit diff</t>
  </si>
  <si>
    <t>Profit_margin</t>
  </si>
  <si>
    <t>Order Month</t>
  </si>
  <si>
    <t>Order year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</si>
  <si>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</si>
  <si>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</si>
  <si>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</si>
  <si>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</si>
  <si>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</si>
  <si>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</si>
  <si>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</si>
  <si>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</si>
  <si>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</si>
  <si>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</si>
  <si>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</si>
  <si>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</si>
  <si>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</si>
  <si>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</si>
  <si>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</si>
  <si>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</si>
  <si>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</si>
  <si>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</si>
  <si>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</si>
  <si>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</si>
  <si>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</si>
  <si>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</si>
  <si>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</si>
  <si>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</si>
  <si>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</si>
  <si>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</si>
  <si>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</si>
  <si>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</si>
  <si>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</si>
  <si>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</si>
  <si>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</si>
  <si>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</si>
  <si>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</si>
  <si>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</si>
  <si>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</si>
  <si>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</si>
  <si>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</si>
  <si>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</si>
  <si>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</si>
  <si>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</si>
  <si>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</si>
  <si>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</si>
  <si>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</si>
  <si>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</si>
  <si>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</si>
  <si>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</si>
  <si>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</si>
  <si>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</si>
  <si>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</si>
  <si>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</si>
  <si>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</si>
  <si>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</si>
  <si>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</si>
  <si>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</si>
  <si>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</si>
  <si>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</si>
  <si>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</si>
  <si>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</si>
  <si>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</si>
  <si>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</si>
  <si>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</si>
  <si>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</si>
  <si>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</si>
  <si>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</si>
  <si>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</si>
  <si>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</si>
  <si>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</si>
  <si>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</si>
  <si>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</si>
  <si>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</si>
  <si>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</si>
  <si>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</si>
  <si>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</si>
  <si>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</si>
  <si>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</si>
  <si>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</si>
  <si>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</si>
  <si>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</si>
  <si>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</si>
  <si>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</si>
  <si>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</si>
  <si>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</si>
  <si>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</si>
  <si>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</si>
  <si>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</si>
  <si>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</si>
  <si>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</si>
  <si>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</si>
  <si>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</si>
  <si>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</si>
  <si>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</si>
  <si>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</si>
  <si>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</si>
  <si>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</si>
  <si>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</si>
  <si>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</si>
  <si>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</si>
  <si>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</si>
  <si>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</si>
  <si>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</si>
  <si>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</si>
  <si>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</si>
  <si>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</si>
  <si>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</si>
  <si>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</si>
  <si>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</si>
  <si>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</si>
  <si>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</si>
  <si>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</si>
  <si>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</si>
  <si>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</si>
  <si>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</si>
  <si>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</si>
  <si>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</si>
  <si>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</si>
  <si>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</si>
  <si>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</si>
  <si>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</si>
  <si>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</si>
  <si>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</si>
  <si>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</si>
  <si>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</si>
  <si>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</si>
  <si>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</si>
  <si>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</si>
  <si>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</si>
  <si>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</si>
  <si>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</si>
  <si>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</si>
  <si>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</si>
  <si>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</si>
  <si>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</si>
  <si>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</si>
  <si>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</si>
  <si>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</si>
  <si>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</si>
  <si>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</si>
  <si>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</si>
  <si>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</si>
  <si>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</si>
  <si>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</si>
  <si>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</si>
  <si>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</si>
  <si>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</si>
  <si>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</si>
  <si>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</si>
  <si>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</si>
  <si>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</si>
  <si>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</si>
  <si>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</si>
  <si>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</si>
  <si>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</si>
  <si>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</si>
  <si>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</si>
  <si>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</si>
  <si>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</si>
  <si>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</si>
  <si>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</si>
  <si>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</si>
  <si>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</si>
  <si>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</si>
  <si>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</si>
  <si>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</si>
  <si>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</si>
  <si>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</si>
  <si>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</si>
  <si>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</si>
  <si>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</si>
  <si>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</si>
  <si>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</si>
  <si>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</si>
  <si>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</si>
  <si>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</si>
  <si>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</si>
  <si>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</si>
  <si>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</si>
  <si>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</si>
  <si>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</si>
  <si>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</si>
  <si>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</si>
  <si>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</si>
  <si>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</si>
  <si>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</si>
  <si>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</si>
  <si>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</si>
  <si>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</si>
  <si>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</si>
  <si>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</si>
  <si>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</si>
  <si>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</si>
  <si>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</si>
  <si>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</si>
  <si>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</si>
  <si>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</si>
  <si>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</si>
  <si>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</si>
  <si>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</si>
  <si>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</si>
  <si>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</si>
  <si>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</si>
  <si>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</si>
  <si>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</si>
  <si>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</si>
  <si>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</si>
  <si>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</si>
  <si>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</si>
  <si>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</si>
  <si>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</si>
  <si>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</si>
  <si>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</si>
  <si>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</si>
  <si>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</si>
  <si>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</si>
  <si>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</si>
  <si>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</si>
  <si>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</si>
  <si>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</si>
  <si>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</si>
  <si>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</si>
  <si>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</si>
  <si>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</si>
  <si>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</si>
  <si>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</si>
  <si>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</si>
  <si>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</si>
  <si>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</si>
  <si>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</si>
  <si>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</si>
  <si>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</si>
  <si>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</si>
  <si>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</si>
  <si>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</si>
  <si>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</si>
  <si>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</si>
  <si>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</si>
  <si>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</si>
  <si>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</si>
  <si>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</si>
  <si>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</si>
  <si>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</si>
  <si>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</si>
  <si>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</si>
  <si>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</si>
  <si>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</si>
  <si>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</si>
  <si>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</si>
  <si>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</si>
  <si>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</si>
  <si>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</si>
  <si>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</si>
  <si>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</si>
  <si>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</si>
  <si>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</si>
  <si>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</si>
  <si>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</si>
  <si>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</si>
  <si>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</si>
  <si>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</si>
  <si>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</si>
  <si>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</si>
  <si>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</si>
  <si>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</si>
  <si>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</si>
  <si>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</si>
  <si>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</si>
  <si>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</si>
  <si>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</si>
  <si>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</si>
  <si>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</si>
  <si>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</si>
  <si>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</si>
  <si>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</si>
  <si>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</si>
  <si>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</si>
  <si>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</si>
  <si>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</si>
  <si>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</si>
  <si>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</si>
  <si>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</si>
  <si>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</si>
  <si>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</si>
  <si>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</si>
  <si>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</si>
  <si>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</si>
  <si>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</si>
  <si>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</si>
  <si>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</si>
  <si>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</si>
  <si>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</si>
  <si>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</si>
  <si>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</si>
  <si>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</si>
  <si>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</si>
  <si>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</si>
  <si>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</si>
  <si>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</si>
  <si>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</si>
  <si>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</si>
  <si>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</si>
  <si>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</si>
  <si>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</si>
  <si>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</si>
  <si>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</si>
  <si>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</si>
  <si>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</si>
  <si>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</si>
  <si>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</si>
  <si>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</si>
  <si>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</si>
  <si>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</si>
  <si>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</si>
  <si>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</si>
  <si>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</si>
  <si>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</si>
  <si>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</si>
  <si>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</si>
  <si>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</si>
  <si>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</si>
  <si>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</si>
  <si>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</si>
  <si>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</si>
  <si>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</si>
  <si>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</si>
  <si>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</si>
  <si>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</si>
  <si>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</si>
  <si>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</si>
  <si>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</si>
  <si>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</si>
  <si>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</si>
  <si>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</si>
  <si>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</si>
  <si>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</si>
  <si>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</si>
  <si>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</si>
  <si>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</si>
  <si>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</si>
  <si>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</si>
  <si>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</si>
  <si>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</si>
  <si>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</si>
  <si>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</si>
  <si>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</si>
  <si>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</si>
  <si>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</si>
  <si>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</si>
  <si>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</si>
  <si>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</si>
  <si>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</si>
  <si>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</si>
  <si>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</si>
  <si>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</si>
  <si>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</si>
  <si>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</si>
  <si>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</si>
  <si>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</si>
  <si>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</si>
  <si>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</si>
  <si>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</si>
  <si>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</si>
  <si>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</si>
  <si>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</si>
  <si>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</si>
  <si>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</si>
  <si>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</si>
  <si>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</si>
  <si>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</si>
  <si>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</si>
  <si>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</si>
  <si>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</si>
  <si>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</si>
  <si>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</si>
  <si>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</si>
  <si>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</si>
  <si>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</si>
  <si>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</si>
  <si>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</si>
  <si>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</si>
  <si>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</si>
  <si>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</si>
  <si>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</si>
  <si>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</si>
  <si>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</si>
  <si>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</si>
  <si>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</si>
  <si>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</si>
  <si>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</si>
  <si>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</si>
  <si>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</si>
  <si>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</si>
  <si>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</si>
  <si>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</si>
  <si>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</si>
  <si>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</si>
  <si>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</si>
  <si>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</si>
  <si>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</si>
  <si>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</si>
  <si>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</si>
  <si>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</si>
  <si>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</si>
  <si>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</si>
  <si>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</si>
  <si>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</si>
  <si>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</si>
  <si>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</si>
  <si>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</si>
  <si>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</si>
  <si>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</si>
  <si>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</si>
  <si>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</si>
  <si>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</si>
  <si>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</si>
  <si>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</si>
  <si>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</si>
  <si>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</si>
  <si>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</si>
  <si>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</si>
  <si>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</si>
  <si>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</si>
  <si>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</si>
  <si>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</si>
  <si>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</si>
  <si>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</si>
  <si>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</si>
  <si>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</si>
  <si>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</si>
  <si>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</si>
  <si>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</si>
  <si>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</si>
  <si>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</si>
  <si>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</si>
  <si>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</si>
  <si>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</si>
  <si>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</si>
  <si>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</si>
  <si>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</si>
  <si>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</si>
  <si>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</si>
  <si>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</si>
  <si>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</si>
  <si>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</si>
  <si>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</si>
  <si>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</si>
  <si>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</si>
  <si>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</si>
  <si>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</si>
  <si>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</si>
  <si>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</si>
  <si>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</si>
  <si>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</si>
  <si>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</si>
  <si>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</si>
  <si>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</si>
  <si>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</si>
  <si>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</si>
  <si>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</si>
  <si>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</si>
  <si>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</si>
  <si>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</si>
  <si>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</si>
  <si>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</si>
  <si>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</si>
  <si>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</si>
  <si>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</si>
  <si>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</si>
  <si>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</si>
  <si>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</si>
  <si>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</si>
  <si>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</si>
  <si>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</si>
  <si>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</si>
  <si>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</si>
  <si>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</si>
  <si>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</si>
  <si>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</si>
  <si>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</si>
  <si>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</si>
  <si>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</si>
  <si>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</si>
  <si>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</si>
  <si>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</si>
  <si>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</si>
  <si>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</si>
  <si>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</si>
  <si>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</si>
  <si>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</si>
  <si>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</si>
  <si>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</si>
  <si>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</si>
  <si>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</si>
  <si>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</si>
  <si>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</si>
  <si>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</si>
  <si>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</si>
  <si>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</si>
  <si>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</si>
  <si>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</si>
  <si>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</si>
  <si>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</si>
  <si>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</si>
  <si>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</si>
  <si>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</si>
  <si>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</si>
  <si>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</si>
  <si>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</si>
  <si>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</si>
  <si>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</si>
  <si>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</si>
  <si>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</si>
  <si>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</si>
  <si>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</si>
  <si>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</si>
  <si>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</si>
  <si>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</si>
  <si>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</si>
  <si>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</si>
  <si>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</si>
  <si>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</si>
  <si>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</si>
  <si>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</si>
  <si>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</si>
  <si>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</si>
  <si>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</si>
  <si>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</si>
  <si>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</si>
  <si>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</si>
  <si>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</si>
  <si>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</si>
  <si>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</si>
  <si>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</si>
  <si>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</si>
  <si>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</si>
  <si>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</si>
  <si>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</si>
  <si>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</si>
  <si>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</si>
  <si>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</si>
  <si>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</si>
  <si>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</si>
  <si>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</si>
  <si>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</si>
  <si>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</si>
  <si>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</si>
  <si>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</si>
  <si>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</si>
  <si>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</si>
  <si>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</si>
  <si>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</si>
  <si>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</si>
  <si>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</si>
  <si>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</si>
  <si>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</si>
  <si>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</si>
  <si>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</si>
  <si>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</si>
  <si>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</si>
  <si>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</si>
  <si>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</si>
  <si>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</si>
  <si>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</si>
  <si>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</si>
  <si>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</si>
  <si>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</si>
  <si>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</si>
  <si>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</si>
  <si>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</si>
  <si>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</si>
  <si>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</si>
  <si>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</si>
  <si>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</si>
  <si>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</si>
  <si>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</si>
  <si>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</si>
  <si>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</si>
  <si>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</si>
  <si>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</si>
  <si>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</si>
  <si>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</si>
  <si>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</si>
  <si>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</si>
  <si>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</si>
  <si>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</si>
  <si>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</si>
  <si>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</si>
  <si>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</si>
  <si>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</si>
  <si>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</si>
  <si>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</si>
  <si>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</si>
  <si>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</si>
  <si>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</si>
  <si>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</si>
  <si>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</si>
  <si>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</si>
  <si>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</si>
  <si>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</si>
  <si>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</si>
  <si>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</si>
  <si>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</si>
  <si>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</si>
  <si>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</si>
  <si>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</si>
  <si>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</si>
  <si>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</si>
  <si>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</si>
  <si>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</si>
  <si>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</si>
  <si>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</si>
  <si>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</si>
  <si>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</si>
  <si>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</si>
  <si>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</si>
  <si>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</si>
  <si>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</si>
  <si>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</si>
  <si>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</si>
  <si>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</si>
  <si>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</si>
  <si>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</si>
  <si>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</si>
  <si>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</si>
  <si>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</si>
  <si>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</si>
  <si>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</si>
  <si>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</si>
  <si>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</si>
  <si>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</si>
  <si>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</si>
  <si>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</si>
  <si>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</si>
  <si>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</si>
  <si>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</si>
  <si>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</si>
  <si>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</si>
  <si>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</si>
  <si>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</si>
  <si>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</si>
  <si>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</si>
  <si>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</si>
  <si>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</si>
  <si>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</si>
  <si>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</si>
  <si>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</si>
  <si>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</si>
  <si>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</si>
  <si>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</si>
  <si>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</si>
  <si>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</si>
  <si>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</si>
  <si>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</si>
  <si>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</si>
  <si>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</si>
  <si>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</si>
  <si>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</si>
  <si>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</si>
  <si>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</si>
  <si>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</si>
  <si>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</si>
  <si>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</si>
  <si>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</si>
  <si>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</si>
  <si>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</si>
  <si>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</si>
  <si>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</si>
  <si>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</si>
  <si>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</si>
  <si>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</si>
  <si>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</si>
  <si>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</si>
  <si>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</si>
  <si>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</si>
  <si>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</si>
  <si>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</si>
  <si>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</si>
  <si>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</si>
  <si>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</si>
  <si>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</si>
  <si>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</si>
  <si>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</si>
  <si>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</si>
  <si>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</si>
  <si>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</si>
  <si>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</si>
  <si>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</si>
  <si>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</si>
  <si>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</si>
  <si>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</si>
  <si>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</si>
  <si>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</si>
  <si>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</si>
  <si>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</si>
  <si>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</si>
  <si>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</si>
  <si>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</si>
  <si>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</si>
  <si>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</si>
  <si>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</si>
  <si>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</si>
  <si>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</si>
  <si>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</si>
  <si>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</si>
  <si>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</si>
  <si>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</si>
  <si>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</si>
  <si>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</si>
  <si>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</si>
  <si>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</si>
  <si>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</si>
  <si>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</si>
  <si>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</si>
  <si>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</si>
  <si>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</si>
  <si>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</si>
  <si>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</si>
  <si>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</si>
  <si>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</si>
  <si>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</si>
  <si>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</si>
  <si>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</si>
  <si>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</si>
  <si>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</si>
  <si>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</si>
  <si>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</si>
  <si>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</si>
  <si>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</si>
  <si>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</si>
  <si>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</si>
  <si>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</si>
  <si>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</si>
  <si>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</si>
  <si>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</si>
  <si>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</si>
  <si>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</si>
  <si>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</si>
  <si>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</si>
  <si>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</si>
  <si>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</si>
  <si>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</si>
  <si>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</si>
  <si>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</si>
  <si>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</si>
  <si>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</si>
  <si>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</si>
  <si>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</si>
  <si>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</si>
  <si>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</si>
  <si>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</si>
  <si>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</si>
  <si>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</si>
  <si>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</si>
  <si>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</si>
  <si>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</si>
  <si>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</si>
  <si>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</si>
  <si>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</si>
  <si>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</si>
  <si>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</si>
  <si>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</si>
  <si>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</si>
  <si>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</si>
  <si>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</si>
  <si>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</si>
  <si>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</si>
  <si>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</si>
  <si>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</si>
  <si>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</si>
  <si>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</si>
  <si>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</si>
  <si>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</si>
  <si>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</si>
  <si>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</si>
  <si>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</si>
  <si>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</si>
  <si>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</si>
  <si>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</si>
  <si>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</si>
  <si>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</si>
  <si>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</si>
  <si>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</si>
  <si>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</si>
  <si>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</si>
  <si>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</si>
  <si>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</si>
  <si>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</si>
  <si>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</si>
  <si>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</si>
  <si>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</si>
  <si>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</si>
  <si>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</si>
  <si>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</si>
  <si>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</si>
  <si>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</si>
  <si>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</si>
  <si>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</si>
  <si>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</si>
  <si>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</si>
  <si>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</si>
  <si>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</si>
  <si>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</si>
  <si>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</si>
  <si>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</si>
  <si>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</si>
  <si>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</si>
  <si>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</si>
  <si>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</si>
  <si>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</si>
  <si>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</si>
  <si>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</si>
  <si>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</si>
  <si>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</si>
  <si>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</si>
  <si>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</si>
  <si>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</si>
  <si>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</si>
  <si>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</si>
  <si>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</si>
  <si>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</si>
  <si>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</si>
  <si>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</si>
  <si>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</si>
  <si>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</si>
  <si>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</si>
  <si>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</si>
  <si>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</si>
  <si>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</si>
  <si>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</si>
  <si>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</si>
  <si>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</si>
  <si>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</si>
  <si>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</si>
  <si>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</si>
  <si>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</si>
  <si>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</si>
  <si>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</si>
  <si>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</si>
  <si>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</si>
  <si>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</si>
  <si>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</si>
  <si>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</si>
  <si>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</si>
  <si>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</si>
  <si>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</si>
  <si>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</si>
  <si>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</si>
  <si>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</si>
  <si>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</si>
  <si>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</si>
  <si>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</si>
  <si>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</si>
  <si>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</si>
  <si>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</si>
  <si>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</si>
  <si>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</si>
  <si>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</si>
  <si>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</si>
  <si>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</si>
  <si>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</si>
  <si>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</si>
  <si>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</si>
  <si>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</si>
  <si>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</si>
  <si>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</si>
  <si>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</si>
  <si>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</si>
  <si>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</si>
  <si>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</si>
  <si>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</si>
  <si>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</si>
  <si>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</si>
  <si>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</si>
  <si>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</si>
  <si>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</si>
  <si>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</si>
  <si>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</si>
  <si>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</si>
  <si>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</si>
  <si>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</si>
  <si>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</si>
  <si>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</si>
  <si>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</si>
  <si>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</si>
  <si>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</si>
  <si>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</si>
  <si>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</si>
  <si>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</si>
  <si>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</si>
  <si>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</si>
  <si>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</si>
  <si>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</si>
  <si>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</si>
  <si>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</si>
  <si>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</si>
  <si>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</si>
  <si>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</si>
  <si>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</si>
  <si>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</si>
  <si>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</si>
  <si>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</si>
  <si>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</si>
  <si>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</si>
  <si>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</si>
  <si>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</si>
  <si>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</si>
  <si>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</si>
  <si>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</si>
  <si>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</si>
  <si>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</si>
  <si>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</si>
  <si>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</si>
  <si>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</si>
  <si>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</si>
  <si>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</si>
  <si>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</si>
  <si>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</si>
  <si>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</si>
  <si>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</si>
  <si>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</si>
  <si>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</si>
  <si>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</si>
  <si>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</si>
  <si>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</si>
  <si>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</si>
  <si>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</si>
  <si>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</si>
  <si>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</si>
  <si>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</si>
  <si>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</si>
  <si>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</si>
  <si>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</si>
  <si>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</si>
  <si>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</si>
  <si>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</si>
  <si>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</si>
  <si>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</si>
  <si>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</si>
  <si>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</si>
  <si>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</si>
  <si>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</si>
  <si>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</si>
  <si>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</si>
  <si>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</si>
  <si>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</si>
  <si>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</si>
  <si>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</si>
  <si>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</si>
  <si>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</si>
  <si>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</si>
  <si>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</si>
  <si>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</si>
  <si>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</si>
  <si>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</si>
  <si>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</si>
  <si>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</si>
  <si>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</si>
  <si>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</si>
  <si>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</si>
  <si>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</si>
  <si>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</si>
  <si>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</si>
  <si>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</si>
  <si>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</si>
  <si>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</si>
  <si>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</si>
  <si>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</si>
  <si>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</si>
  <si>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</si>
  <si>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</si>
  <si>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</si>
  <si>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</si>
  <si>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</si>
  <si>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</si>
  <si>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</si>
  <si>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</si>
  <si>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</si>
  <si>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</si>
  <si>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</si>
  <si>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</si>
  <si>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</si>
  <si>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</si>
  <si>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</si>
  <si>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</si>
  <si>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</si>
  <si>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</si>
  <si>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</si>
  <si>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</si>
  <si>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</si>
  <si>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</si>
  <si>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</si>
  <si>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</si>
  <si>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</si>
  <si>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</si>
  <si>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</si>
  <si>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</si>
  <si>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</si>
  <si>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</si>
  <si>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</si>
  <si>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</si>
  <si>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</si>
  <si>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</si>
  <si>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</si>
  <si>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</si>
  <si>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</si>
  <si>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</si>
  <si>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</si>
  <si>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</si>
  <si>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</si>
  <si>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</si>
  <si>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</si>
  <si>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</si>
  <si>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</si>
  <si>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</si>
  <si>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</si>
  <si>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</si>
  <si>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</si>
  <si>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</si>
  <si>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</si>
  <si>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</si>
  <si>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</si>
  <si>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</si>
  <si>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</si>
  <si>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</si>
  <si>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</si>
  <si>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</si>
  <si>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</si>
  <si>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</si>
  <si>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</si>
  <si>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</si>
  <si>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</si>
  <si>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</si>
  <si>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</si>
  <si>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</si>
  <si>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</si>
  <si>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</si>
  <si>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</si>
  <si>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</si>
  <si>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</si>
  <si>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</si>
  <si>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</si>
  <si>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</si>
  <si>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</si>
  <si>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</si>
  <si>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</si>
  <si>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</si>
  <si>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</si>
  <si>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</si>
  <si>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</si>
  <si>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</si>
  <si>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</si>
  <si>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</si>
  <si>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</si>
  <si>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</si>
  <si>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</si>
  <si>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</si>
  <si>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</si>
  <si>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</si>
  <si>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</si>
  <si>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</si>
  <si>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</si>
  <si>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</si>
  <si>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</si>
  <si>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</si>
  <si>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</si>
  <si>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</si>
  <si>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</si>
  <si>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</si>
  <si>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</si>
  <si>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</si>
  <si>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</si>
  <si>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</si>
  <si>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</si>
  <si>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</si>
  <si>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</si>
  <si>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</si>
  <si>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</si>
  <si>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</si>
  <si>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</si>
  <si>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</si>
  <si>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</si>
  <si>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</si>
  <si>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</si>
  <si>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</si>
  <si>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</si>
  <si>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</si>
  <si>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</si>
  <si>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</si>
  <si>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</si>
  <si>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</si>
  <si>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</si>
  <si>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</si>
  <si>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</si>
  <si>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</si>
  <si>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</si>
  <si>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</si>
  <si>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</si>
  <si>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</si>
  <si>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</si>
  <si>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</si>
  <si>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</si>
  <si>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</si>
  <si>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</si>
  <si>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</si>
  <si>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</si>
  <si>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</si>
  <si>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</si>
  <si>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</si>
  <si>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</si>
  <si>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</si>
  <si>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</si>
  <si>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</si>
  <si>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</si>
  <si>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</si>
  <si>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</si>
  <si>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</si>
  <si>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</si>
  <si>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</si>
  <si>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</si>
  <si>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</si>
  <si>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</si>
  <si>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</si>
  <si>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</si>
  <si>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</si>
  <si>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</si>
  <si>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</si>
  <si>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</si>
  <si>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</si>
  <si>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</si>
  <si>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</si>
  <si>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</si>
  <si>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</si>
  <si>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</si>
  <si>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</si>
  <si>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</si>
  <si>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</si>
  <si>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</si>
  <si>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</si>
  <si>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</si>
  <si>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</si>
  <si>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</si>
  <si>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</si>
  <si>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</si>
  <si>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</si>
  <si>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</si>
  <si>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</si>
  <si>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</si>
  <si>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</si>
  <si>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</si>
  <si>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</si>
  <si>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</si>
  <si>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</si>
  <si>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</si>
  <si>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</si>
  <si>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</si>
  <si>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</si>
  <si>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</si>
  <si>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</si>
  <si>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</si>
  <si>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</si>
  <si>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</si>
  <si>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</si>
  <si>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</si>
  <si>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</si>
  <si>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</si>
  <si>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</si>
  <si>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</si>
  <si>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</si>
  <si>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</si>
  <si>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</si>
  <si>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</si>
  <si>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</si>
  <si>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</si>
  <si>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</si>
  <si>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</si>
  <si>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</si>
  <si>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</si>
  <si>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</si>
  <si>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</si>
  <si>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</si>
  <si>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</si>
  <si>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</si>
  <si>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</si>
  <si>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</si>
  <si>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</si>
  <si>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</si>
  <si>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</si>
  <si>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</si>
  <si>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</si>
  <si>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</si>
  <si>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</si>
  <si>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</si>
  <si>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</si>
  <si>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</si>
  <si>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</si>
  <si>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</si>
  <si>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</si>
  <si>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</si>
  <si>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</si>
  <si>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</si>
  <si>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</si>
  <si>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</si>
  <si>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</si>
  <si>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</si>
  <si>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</si>
  <si>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</si>
  <si>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</si>
  <si>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</si>
  <si>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</si>
  <si>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</si>
  <si>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</si>
  <si>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</si>
  <si>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</si>
  <si>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</si>
  <si>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</si>
  <si>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</si>
  <si>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</si>
  <si>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</si>
  <si>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</si>
  <si>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</si>
  <si>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</si>
  <si>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</si>
  <si>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</si>
  <si>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</si>
  <si>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</si>
  <si>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</si>
  <si>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</si>
  <si>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</si>
  <si>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</si>
  <si>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</si>
  <si>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</si>
  <si>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</si>
  <si>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</si>
  <si>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</si>
  <si>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</si>
  <si>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</si>
  <si>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</si>
  <si>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</si>
  <si>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</si>
  <si>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</si>
  <si>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</si>
  <si>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</si>
  <si>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</si>
  <si>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</si>
  <si>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</si>
  <si>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</si>
  <si>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</si>
  <si>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</si>
  <si>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</si>
  <si>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</si>
  <si>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</si>
  <si>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</si>
  <si>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</si>
  <si>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</si>
  <si>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</si>
  <si>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</si>
  <si>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</si>
  <si>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</si>
  <si>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</si>
  <si>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</si>
  <si>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</si>
  <si>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</si>
  <si>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</si>
  <si>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</si>
  <si>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</si>
  <si>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</si>
  <si>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</si>
  <si>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</si>
  <si>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</si>
  <si>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</si>
  <si>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</si>
  <si>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</si>
  <si>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</si>
  <si>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</si>
  <si>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</si>
  <si>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</si>
  <si>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</si>
  <si>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</si>
  <si>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</si>
  <si>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</si>
  <si>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</si>
  <si>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</si>
  <si>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</si>
  <si>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</si>
  <si>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</si>
  <si>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</si>
  <si>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</si>
  <si>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</si>
  <si>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</si>
  <si>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</si>
  <si>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</si>
  <si>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</si>
  <si>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</si>
  <si>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</si>
  <si>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</si>
  <si>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</si>
  <si>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</si>
  <si>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</si>
  <si>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</si>
  <si>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</si>
  <si>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</si>
  <si>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</si>
  <si>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</si>
  <si>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</si>
  <si>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</si>
  <si>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</si>
  <si>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</si>
  <si>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</si>
  <si>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</si>
  <si>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</si>
  <si>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</si>
  <si>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</si>
  <si>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</si>
  <si>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</si>
  <si>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</si>
  <si>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</si>
  <si>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</si>
  <si>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</si>
  <si>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</si>
  <si>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</si>
  <si>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</si>
  <si>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</si>
  <si>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</si>
  <si>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</si>
  <si>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</si>
  <si>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</si>
  <si>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</si>
  <si>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</si>
  <si>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</si>
  <si>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</si>
  <si>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</si>
  <si>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</si>
  <si>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</si>
  <si>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</si>
  <si>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</si>
  <si>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</si>
  <si>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</si>
  <si>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</si>
  <si>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</si>
  <si>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</si>
  <si>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</si>
  <si>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</si>
  <si>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</si>
  <si>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</si>
  <si>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</si>
  <si>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</si>
  <si>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</si>
  <si>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</si>
  <si>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</si>
  <si>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</si>
  <si>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</si>
  <si>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</si>
  <si>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</si>
  <si>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</si>
  <si>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</si>
  <si>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</si>
  <si>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</si>
  <si>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</si>
  <si>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</si>
  <si>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</si>
  <si>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</si>
  <si>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</si>
  <si>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</si>
  <si>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</si>
  <si>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</si>
  <si>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</si>
  <si>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</si>
  <si>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</si>
  <si>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</si>
  <si>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</si>
  <si>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</si>
  <si>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</si>
  <si>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</si>
  <si>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</si>
  <si>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</si>
  <si>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</si>
  <si>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</si>
  <si>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</si>
  <si>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</si>
  <si>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</si>
  <si>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</si>
  <si>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</si>
  <si>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</si>
  <si>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</si>
  <si>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</si>
  <si>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</si>
  <si>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</si>
  <si>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</si>
  <si>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</si>
  <si>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</si>
  <si>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</si>
  <si>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</si>
  <si>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</si>
  <si>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</si>
  <si>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</si>
  <si>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</si>
  <si>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</si>
  <si>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</si>
  <si>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</si>
  <si>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</si>
  <si>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</si>
  <si>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</si>
  <si>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</si>
  <si>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</si>
  <si>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</si>
  <si>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</si>
  <si>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</si>
  <si>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</si>
  <si>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</si>
  <si>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</si>
  <si>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</si>
  <si>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</si>
  <si>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</si>
  <si>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</si>
  <si>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</si>
  <si>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</si>
  <si>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</si>
  <si>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</si>
  <si>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</si>
  <si>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</si>
  <si>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</si>
  <si>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</si>
  <si>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</si>
  <si>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</si>
  <si>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</si>
  <si>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</si>
  <si>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</si>
  <si>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</si>
  <si>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</si>
  <si>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</si>
  <si>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</si>
  <si>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</si>
  <si>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</si>
  <si>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</si>
  <si>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</si>
  <si>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</si>
  <si>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</si>
  <si>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</si>
  <si>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</si>
  <si>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</si>
  <si>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</si>
  <si>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</si>
  <si>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</si>
  <si>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</si>
  <si>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</si>
  <si>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</si>
  <si>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</si>
  <si>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</si>
  <si>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</si>
  <si>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</si>
  <si>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</si>
  <si>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</si>
  <si>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</si>
  <si>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</si>
  <si>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</si>
  <si>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</si>
  <si>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</si>
  <si>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</si>
  <si>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</si>
  <si>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</si>
  <si>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</si>
  <si>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</si>
  <si>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</si>
  <si>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</si>
  <si>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</si>
  <si>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</si>
  <si>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</si>
  <si>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</si>
  <si>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</si>
  <si>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</si>
  <si>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</si>
  <si>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</si>
  <si>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</si>
  <si>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</si>
  <si>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</si>
  <si>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</si>
  <si>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</si>
  <si>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</si>
  <si>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</si>
  <si>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</si>
  <si>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</si>
  <si>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</si>
  <si>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</si>
  <si>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</si>
  <si>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</si>
  <si>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</si>
  <si>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</si>
  <si>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</si>
  <si>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</si>
  <si>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</si>
  <si>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</si>
  <si>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</si>
  <si>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</si>
  <si>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</si>
  <si>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</si>
  <si>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</si>
  <si>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</si>
  <si>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</si>
  <si>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</si>
  <si>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</si>
  <si>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</si>
  <si>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</si>
  <si>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</si>
  <si>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</si>
  <si>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</si>
  <si>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</si>
  <si>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</si>
  <si>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</si>
  <si>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</si>
  <si>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</si>
  <si>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</si>
  <si>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</si>
  <si>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</si>
  <si>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</si>
  <si>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</si>
  <si>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</si>
  <si>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</si>
  <si>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</si>
  <si>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</si>
  <si>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</si>
  <si>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</si>
  <si>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</si>
  <si>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</si>
  <si>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</si>
  <si>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</si>
  <si>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</si>
  <si>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</si>
  <si>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</si>
  <si>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</si>
  <si>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</si>
  <si>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</si>
  <si>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</si>
  <si>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</si>
  <si>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</si>
  <si>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</si>
  <si>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</si>
  <si>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</si>
  <si>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</si>
  <si>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</si>
  <si>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</si>
  <si>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</si>
  <si>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</si>
  <si>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</si>
  <si>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</si>
  <si>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</si>
  <si>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</si>
  <si>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</si>
  <si>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</si>
  <si>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</si>
  <si>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</si>
  <si>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</si>
  <si>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</si>
  <si>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</si>
  <si>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</si>
  <si>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</si>
  <si>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</si>
  <si>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</si>
  <si>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</si>
  <si>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</si>
  <si>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</si>
  <si>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</si>
  <si>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</si>
  <si>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</si>
  <si>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</si>
  <si>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</si>
  <si>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</si>
  <si>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</si>
  <si>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</si>
  <si>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</si>
  <si>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</si>
  <si>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</si>
  <si>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</si>
  <si>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</si>
  <si>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</si>
  <si>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</si>
  <si>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</si>
  <si>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</si>
  <si>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</si>
  <si>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</si>
  <si>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</si>
  <si>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</si>
  <si>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</si>
  <si>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</si>
  <si>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</si>
  <si>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</si>
  <si>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</si>
  <si>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</si>
  <si>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</si>
  <si>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</si>
  <si>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</si>
  <si>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</si>
  <si>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</si>
  <si>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</si>
  <si>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</si>
  <si>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</si>
  <si>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</si>
  <si>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</si>
  <si>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</si>
  <si>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</si>
  <si>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</si>
  <si>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</si>
  <si>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</si>
  <si>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</si>
  <si>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</si>
  <si>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</si>
  <si>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</si>
  <si>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</si>
  <si>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</si>
  <si>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</si>
  <si>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</si>
  <si>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</si>
  <si>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</si>
  <si>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</si>
  <si>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</si>
  <si>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</si>
  <si>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</si>
  <si>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</si>
  <si>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</si>
  <si>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</si>
  <si>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</si>
  <si>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</si>
  <si>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</si>
  <si>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</si>
  <si>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</si>
  <si>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</si>
  <si>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</si>
  <si>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</si>
  <si>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</si>
  <si>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</si>
  <si>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</si>
  <si>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</si>
  <si>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</si>
  <si>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</si>
  <si>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</si>
  <si>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</si>
  <si>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</si>
  <si>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</si>
  <si>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</si>
  <si>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</si>
  <si>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</si>
  <si>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</si>
  <si>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</si>
  <si>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</si>
  <si>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</si>
  <si>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</si>
  <si>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</si>
  <si>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</si>
  <si>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</si>
  <si>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</si>
  <si>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</si>
  <si>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</si>
  <si>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</si>
  <si>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</si>
  <si>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</si>
  <si>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</si>
  <si>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</si>
  <si>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</si>
  <si>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</si>
  <si>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</si>
  <si>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</si>
  <si>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</si>
  <si>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</si>
  <si>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</si>
  <si>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</si>
  <si>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</si>
  <si>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</si>
  <si>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</si>
  <si>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</si>
  <si>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</si>
  <si>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</si>
  <si>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</si>
  <si>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</si>
  <si>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</si>
  <si>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</si>
  <si>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</si>
  <si>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</si>
  <si>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</si>
  <si>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</si>
  <si>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</si>
  <si>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</si>
  <si>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</si>
  <si>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</si>
  <si>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</si>
  <si>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</si>
  <si>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</si>
  <si>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</si>
  <si>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</si>
  <si>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</si>
  <si>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</si>
  <si>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</si>
  <si>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</si>
  <si>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</si>
  <si>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</si>
  <si>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</si>
  <si>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</si>
  <si>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</si>
  <si>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</si>
  <si>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</si>
  <si>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</si>
  <si>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</si>
  <si>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</si>
  <si>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</si>
  <si>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</si>
  <si>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</si>
  <si>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</si>
  <si>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</si>
  <si>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</si>
  <si>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</si>
  <si>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</si>
  <si>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</si>
  <si>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</si>
  <si>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</si>
  <si>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</si>
  <si>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</si>
  <si>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</si>
  <si>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</si>
  <si>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</si>
  <si>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</si>
  <si>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</si>
  <si>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</si>
  <si>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</si>
  <si>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</si>
  <si>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</si>
  <si>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</si>
  <si>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</si>
  <si>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</si>
  <si>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</si>
  <si>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</si>
  <si>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</si>
  <si>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</si>
  <si>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</si>
  <si>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</si>
  <si>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</si>
  <si>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</si>
  <si>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</si>
  <si>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</si>
  <si>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</si>
  <si>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</si>
  <si>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</si>
  <si>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</si>
  <si>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</si>
  <si>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</si>
  <si>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</si>
  <si>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</si>
  <si>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</si>
  <si>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</si>
  <si>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</si>
  <si>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</si>
  <si>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</si>
  <si>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</si>
  <si>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</si>
  <si>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</si>
  <si>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</si>
  <si>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</si>
  <si>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</si>
  <si>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</si>
  <si>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</si>
  <si>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</si>
  <si>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</si>
  <si>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</si>
  <si>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</si>
  <si>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</si>
  <si>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</si>
  <si>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</si>
  <si>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</si>
  <si>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</si>
  <si>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</si>
  <si>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</si>
  <si>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</si>
  <si>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</si>
  <si>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</si>
  <si>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</si>
  <si>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</si>
  <si>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</si>
  <si>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</si>
  <si>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</si>
  <si>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</si>
  <si>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</si>
  <si>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</si>
  <si>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</si>
  <si>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</si>
  <si>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</si>
  <si>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</si>
  <si>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</si>
  <si>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</si>
  <si>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</si>
  <si>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</si>
  <si>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</si>
  <si>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</si>
  <si>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</si>
  <si>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</si>
  <si>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</si>
  <si>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</si>
  <si>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</si>
  <si>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</si>
  <si>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</si>
  <si>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</si>
  <si>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</si>
  <si>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</si>
  <si>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</si>
  <si>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</si>
  <si>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</si>
  <si>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</si>
  <si>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</si>
  <si>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</si>
  <si>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</si>
  <si>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</si>
  <si>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</si>
  <si>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</si>
  <si>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</si>
  <si>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</si>
  <si>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</si>
  <si>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</si>
  <si>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</si>
  <si>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</si>
  <si>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</si>
  <si>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</si>
  <si>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</si>
  <si>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</si>
  <si>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</si>
  <si>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</si>
  <si>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</si>
  <si>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</si>
  <si>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</si>
  <si>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</si>
  <si>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</si>
  <si>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</si>
  <si>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</si>
  <si>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</si>
  <si>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</si>
  <si>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</si>
  <si>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</si>
  <si>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</si>
  <si>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</si>
  <si>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</si>
  <si>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</si>
  <si>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</si>
  <si>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</si>
  <si>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</si>
  <si>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</si>
  <si>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</si>
  <si>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</si>
  <si>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</si>
  <si>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</si>
  <si>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</si>
  <si>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</si>
  <si>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</si>
  <si>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</si>
  <si>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</si>
  <si>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</si>
  <si>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</si>
  <si>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</si>
  <si>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</si>
  <si>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</si>
  <si>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</si>
  <si>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</si>
  <si>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</si>
  <si>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</si>
  <si>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</si>
  <si>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</si>
  <si>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</si>
  <si>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</si>
  <si>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</si>
  <si>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</si>
  <si>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</si>
  <si>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</si>
  <si>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</si>
  <si>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</si>
  <si>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</si>
  <si>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</si>
  <si>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</si>
  <si>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</si>
  <si>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</si>
  <si>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</si>
  <si>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</si>
  <si>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</si>
  <si>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</si>
  <si>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</si>
  <si>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</si>
  <si>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</si>
  <si>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</si>
  <si>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</si>
  <si>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</si>
  <si>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</si>
  <si>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</si>
  <si>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</si>
  <si>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</si>
  <si>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</si>
  <si>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</si>
  <si>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</si>
  <si>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</si>
  <si>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</si>
  <si>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</si>
  <si>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</si>
  <si>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</si>
  <si>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</si>
  <si>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</si>
  <si>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</si>
  <si>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</si>
  <si>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</si>
  <si>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</si>
  <si>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</si>
  <si>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</si>
  <si>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</si>
  <si>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</si>
  <si>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</si>
  <si>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</si>
  <si>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</si>
  <si>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</si>
  <si>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</si>
  <si>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</si>
  <si>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</si>
  <si>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</si>
  <si>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</si>
  <si>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</si>
  <si>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</si>
  <si>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</si>
  <si>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</si>
  <si>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</si>
  <si>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</si>
  <si>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</si>
  <si>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</si>
  <si>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</si>
  <si>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</si>
  <si>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</si>
  <si>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</si>
  <si>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</si>
  <si>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</si>
  <si>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</si>
  <si>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</si>
  <si>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</si>
  <si>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</si>
  <si>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</si>
  <si>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</si>
  <si>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</si>
  <si>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</si>
  <si>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</si>
  <si>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</si>
  <si>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</si>
  <si>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</si>
  <si>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</si>
  <si>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</si>
  <si>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</si>
  <si>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</si>
  <si>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</si>
  <si>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</si>
  <si>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</si>
  <si>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</si>
  <si>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</si>
  <si>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</si>
  <si>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</si>
  <si>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</si>
  <si>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</si>
  <si>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</si>
  <si>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</si>
  <si>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</si>
  <si>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</si>
  <si>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</si>
  <si>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</si>
  <si>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</si>
  <si>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</si>
  <si>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</si>
  <si>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</si>
  <si>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</si>
  <si>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</si>
  <si>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</si>
  <si>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</si>
  <si>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</si>
  <si>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</si>
  <si>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</si>
  <si>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</si>
  <si>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</si>
  <si>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</si>
  <si>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</si>
  <si>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</si>
  <si>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</si>
  <si>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</si>
  <si>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</si>
  <si>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</si>
  <si>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</si>
  <si>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</si>
  <si>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</si>
  <si>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</si>
  <si>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</si>
  <si>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</si>
  <si>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</si>
  <si>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</si>
  <si>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</si>
  <si>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</si>
  <si>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</si>
  <si>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</si>
  <si>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</si>
  <si>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</si>
  <si>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</si>
  <si>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</si>
  <si>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</si>
  <si>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</si>
  <si>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</si>
  <si>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</si>
  <si>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</si>
  <si>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</si>
  <si>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</si>
  <si>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</si>
  <si>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</si>
  <si>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</si>
  <si>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</si>
  <si>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</si>
  <si>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</si>
  <si>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</si>
  <si>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</si>
  <si>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</si>
  <si>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</si>
  <si>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</si>
  <si>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</si>
  <si>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</si>
  <si>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</si>
  <si>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</si>
  <si>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</si>
  <si>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</si>
  <si>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</si>
  <si>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</si>
  <si>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</si>
  <si>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</si>
  <si>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</si>
  <si>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</si>
  <si>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</si>
  <si>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</si>
  <si>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</si>
  <si>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</si>
  <si>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</si>
  <si>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</si>
  <si>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</si>
  <si>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</si>
  <si>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</si>
  <si>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</si>
  <si>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</si>
  <si>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</si>
  <si>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</si>
  <si>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</si>
  <si>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</si>
  <si>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</si>
  <si>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</si>
  <si>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</si>
  <si>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</si>
  <si>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</si>
  <si>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</si>
  <si>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</si>
  <si>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</si>
  <si>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</si>
  <si>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</si>
  <si>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</si>
  <si>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</si>
  <si>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</si>
  <si>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</si>
  <si>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</si>
  <si>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</si>
  <si>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</si>
  <si>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</si>
  <si>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</si>
  <si>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</si>
  <si>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</si>
  <si>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</si>
  <si>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</si>
  <si>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</si>
  <si>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</si>
  <si>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</si>
  <si>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</si>
  <si>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</si>
  <si>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</si>
  <si>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</si>
  <si>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</si>
  <si>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</si>
  <si>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</si>
  <si>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</si>
  <si>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</si>
  <si>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</si>
  <si>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</si>
  <si>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</si>
  <si>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</si>
  <si>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</si>
  <si>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</si>
  <si>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</si>
  <si>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</si>
  <si>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</si>
  <si>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</si>
  <si>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</si>
  <si>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</si>
  <si>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</si>
  <si>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</si>
  <si>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</si>
  <si>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</si>
  <si>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</si>
  <si>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</si>
  <si>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</si>
  <si>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</si>
  <si>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</si>
  <si>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</si>
  <si>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</si>
  <si>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</si>
  <si>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</si>
  <si>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</si>
  <si>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</si>
  <si>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</si>
  <si>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</si>
  <si>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</si>
  <si>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</si>
  <si>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</si>
  <si>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</si>
  <si>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</si>
  <si>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</si>
  <si>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</si>
  <si>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</si>
  <si>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</si>
  <si>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</si>
  <si>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</si>
  <si>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</si>
  <si>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</si>
  <si>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</si>
  <si>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</si>
  <si>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</si>
  <si>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</si>
  <si>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</si>
  <si>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</si>
  <si>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</si>
  <si>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</si>
  <si>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</si>
  <si>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</si>
  <si>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</si>
  <si>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</si>
  <si>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</si>
  <si>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</si>
  <si>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</si>
  <si>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</si>
  <si>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</si>
  <si>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</si>
  <si>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</si>
  <si>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</si>
  <si>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</si>
  <si>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</si>
  <si>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</si>
  <si>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</si>
  <si>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</si>
  <si>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</si>
  <si>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</si>
  <si>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</si>
  <si>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</si>
  <si>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</si>
  <si>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</si>
  <si>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</si>
  <si>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</si>
  <si>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</si>
  <si>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</si>
  <si>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</si>
  <si>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</si>
  <si>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</si>
  <si>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</si>
  <si>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</si>
  <si>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</si>
  <si>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</si>
  <si>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</si>
  <si>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</si>
  <si>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</si>
  <si>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</si>
  <si>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</si>
  <si>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</si>
  <si>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</si>
  <si>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</si>
  <si>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</si>
  <si>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</si>
  <si>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</si>
  <si>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</si>
  <si>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</si>
  <si>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</si>
  <si>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</si>
  <si>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</si>
  <si>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</si>
  <si>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</si>
  <si>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</si>
  <si>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</si>
  <si>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</si>
  <si>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</si>
  <si>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</si>
  <si>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</si>
  <si>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</si>
  <si>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</si>
  <si>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</si>
  <si>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</si>
  <si>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</si>
  <si>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</si>
  <si>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</si>
  <si>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</si>
  <si>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</si>
  <si>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</si>
  <si>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</si>
  <si>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</si>
  <si>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</si>
  <si>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</si>
  <si>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</si>
  <si>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</si>
  <si>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</si>
  <si>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</si>
  <si>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</si>
  <si>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</si>
  <si>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</si>
  <si>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</si>
  <si>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</si>
  <si>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</si>
  <si>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</si>
  <si>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</si>
  <si>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</si>
  <si>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</si>
  <si>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</si>
  <si>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</si>
  <si>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</si>
  <si>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</si>
  <si>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</si>
  <si>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</si>
  <si>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</si>
  <si>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</si>
  <si>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</si>
  <si>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</si>
  <si>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</si>
  <si>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</si>
  <si>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</si>
  <si>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</si>
  <si>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</si>
  <si>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</si>
  <si>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</si>
  <si>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</si>
  <si>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</si>
  <si>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</si>
  <si>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</si>
  <si>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</si>
  <si>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</si>
  <si>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</si>
  <si>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</si>
  <si>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</si>
  <si>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</si>
  <si>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</si>
  <si>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</si>
  <si>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</si>
  <si>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</si>
  <si>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</si>
  <si>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</si>
  <si>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</si>
  <si>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</si>
  <si>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</si>
  <si>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</si>
  <si>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</si>
  <si>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</si>
  <si>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</si>
  <si>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</si>
  <si>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</si>
  <si>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</si>
  <si>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</si>
  <si>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</si>
  <si>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</si>
  <si>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</si>
  <si>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</si>
  <si>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</si>
  <si>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</si>
  <si>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</si>
  <si>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</si>
  <si>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</si>
  <si>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</si>
  <si>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</si>
  <si>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</si>
  <si>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</si>
  <si>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</si>
  <si>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</si>
  <si>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</si>
  <si>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</si>
  <si>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</si>
  <si>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</si>
  <si>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</si>
  <si>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</si>
  <si>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</si>
  <si>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</si>
  <si>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</si>
  <si>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</si>
  <si>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</si>
  <si>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</si>
  <si>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</si>
  <si>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</si>
  <si>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</si>
  <si>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</si>
  <si>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</si>
  <si>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</si>
  <si>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</si>
  <si>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</si>
  <si>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</si>
  <si>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</si>
  <si>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</si>
  <si>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</si>
  <si>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</si>
  <si>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</si>
  <si>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</si>
  <si>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</si>
  <si>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</si>
  <si>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</si>
  <si>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</si>
  <si>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</si>
  <si>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</si>
  <si>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</si>
  <si>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</si>
  <si>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</si>
  <si>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</si>
  <si>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</si>
  <si>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</si>
  <si>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</si>
  <si>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</si>
  <si>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</si>
  <si>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</si>
  <si>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</si>
  <si>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</si>
  <si>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</si>
  <si>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</si>
  <si>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</si>
  <si>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</si>
  <si>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</si>
  <si>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</si>
  <si>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</si>
  <si>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</si>
  <si>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</si>
  <si>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</si>
  <si>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</si>
  <si>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</si>
  <si>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</si>
  <si>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</si>
  <si>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</si>
  <si>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</si>
  <si>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</si>
  <si>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</si>
  <si>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</si>
  <si>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</si>
  <si>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</si>
  <si>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</si>
  <si>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</si>
  <si>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</si>
  <si>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</si>
  <si>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</si>
  <si>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</si>
  <si>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</si>
  <si>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</si>
  <si>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</si>
  <si>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</si>
  <si>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</si>
  <si>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</si>
  <si>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</si>
  <si>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</si>
  <si>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</si>
  <si>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</si>
  <si>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</si>
  <si>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</si>
  <si>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</si>
  <si>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</si>
  <si>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</si>
  <si>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</si>
  <si>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</si>
  <si>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</si>
  <si>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</si>
  <si>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</si>
  <si>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</si>
  <si>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</si>
  <si>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</si>
  <si>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</si>
  <si>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</si>
  <si>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</si>
  <si>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</si>
  <si>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</si>
  <si>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</si>
  <si>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</si>
  <si>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</si>
  <si>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</si>
  <si>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</si>
  <si>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</si>
  <si>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</si>
  <si>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</si>
  <si>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</si>
  <si>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</si>
  <si>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</si>
  <si>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</si>
  <si>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</si>
  <si>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</si>
  <si>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</si>
  <si>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</si>
  <si>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</si>
  <si>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</si>
  <si>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</si>
  <si>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</si>
  <si>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</si>
  <si>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</si>
  <si>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</si>
  <si>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</si>
  <si>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</si>
  <si>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</si>
  <si>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</si>
  <si>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</si>
  <si>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</si>
  <si>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</si>
  <si>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</si>
  <si>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</si>
  <si>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</si>
  <si>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</si>
  <si>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</si>
  <si>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</si>
  <si>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</si>
  <si>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</si>
  <si>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</si>
  <si>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</si>
  <si>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</si>
  <si>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</si>
  <si>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</si>
  <si>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</si>
  <si>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</si>
  <si>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</si>
  <si>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</si>
  <si>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</si>
  <si>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</si>
  <si>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</si>
  <si>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</si>
  <si>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</si>
  <si>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</si>
  <si>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</si>
  <si>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</si>
  <si>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</si>
  <si>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</si>
  <si>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</si>
  <si>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</si>
  <si>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</si>
  <si>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</si>
  <si>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</si>
  <si>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</si>
  <si>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</si>
  <si>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</si>
  <si>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</si>
  <si>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</si>
  <si>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</si>
  <si>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</si>
  <si>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</si>
  <si>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</si>
  <si>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</si>
  <si>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</si>
  <si>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</si>
  <si>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</si>
  <si>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</si>
  <si>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</si>
  <si>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</si>
  <si>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</si>
  <si>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</si>
  <si>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</si>
  <si>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</si>
  <si>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</si>
  <si>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</si>
  <si>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</si>
  <si>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</si>
  <si>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</si>
  <si>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</si>
  <si>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</si>
  <si>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</si>
  <si>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</si>
  <si>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</si>
  <si>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</si>
  <si>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</si>
  <si>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</si>
  <si>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</si>
  <si>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</si>
  <si>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</si>
  <si>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</si>
  <si>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</si>
  <si>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</si>
  <si>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</si>
  <si>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</si>
  <si>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</si>
  <si>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</si>
  <si>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</si>
  <si>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</si>
  <si>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</si>
  <si>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</si>
  <si>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</si>
  <si>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</si>
  <si>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</si>
  <si>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</si>
  <si>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</si>
  <si>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</si>
  <si>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</si>
  <si>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</si>
  <si>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</si>
  <si>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</si>
  <si>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</si>
  <si>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</si>
  <si>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</si>
  <si>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</si>
  <si>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</si>
  <si>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</si>
  <si>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</si>
  <si>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</si>
  <si>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</si>
  <si>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</si>
  <si>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</si>
  <si>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</si>
  <si>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</si>
  <si>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</si>
  <si>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</si>
  <si>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</si>
  <si>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</si>
  <si>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</si>
  <si>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</si>
  <si>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</si>
  <si>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</si>
  <si>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</si>
  <si>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</si>
  <si>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</si>
  <si>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</si>
  <si>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</si>
  <si>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</si>
  <si>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</si>
  <si>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</si>
  <si>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</si>
  <si>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</si>
  <si>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</si>
  <si>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</si>
  <si>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</si>
  <si>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</si>
  <si>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</si>
  <si>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</si>
  <si>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</si>
  <si>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</si>
  <si>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</si>
  <si>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</si>
  <si>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</si>
  <si>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</si>
  <si>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</si>
  <si>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</si>
  <si>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</si>
  <si>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</si>
  <si>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</si>
  <si>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</si>
  <si>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</si>
  <si>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</si>
  <si>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</si>
  <si>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</si>
  <si>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</si>
  <si>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</si>
  <si>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</si>
  <si>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</si>
  <si>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</si>
  <si>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</si>
  <si>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</si>
  <si>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</si>
  <si>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</si>
  <si>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</si>
  <si>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</si>
  <si>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</si>
  <si>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</si>
  <si>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</si>
  <si>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</si>
  <si>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</si>
  <si>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</si>
  <si>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</si>
  <si>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</si>
  <si>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</si>
  <si>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</si>
  <si>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</si>
  <si>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</si>
  <si>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</si>
  <si>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</si>
  <si>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</si>
  <si>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</si>
  <si>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</si>
  <si>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</si>
  <si>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</si>
  <si>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</si>
  <si>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</si>
  <si>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</si>
  <si>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</si>
  <si>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</si>
  <si>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</si>
  <si>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</si>
  <si>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</si>
  <si>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</si>
  <si>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</si>
  <si>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</si>
  <si>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</si>
  <si>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</si>
  <si>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</si>
  <si>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</si>
  <si>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</si>
  <si>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</si>
  <si>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</si>
  <si>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</si>
  <si>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</si>
  <si>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</si>
  <si>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</si>
  <si>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</si>
  <si>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</si>
  <si>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</si>
  <si>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</si>
  <si>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</si>
  <si>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</si>
  <si>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</si>
  <si>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</si>
  <si>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</si>
  <si>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</si>
  <si>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</si>
  <si>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</si>
  <si>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</si>
  <si>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</si>
  <si>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</si>
  <si>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</si>
  <si>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</si>
  <si>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</si>
  <si>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</si>
  <si>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</si>
  <si>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</si>
  <si>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</si>
  <si>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</si>
  <si>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</si>
  <si>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</si>
  <si>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</si>
  <si>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</si>
  <si>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</si>
  <si>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</si>
  <si>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</si>
  <si>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</si>
  <si>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</si>
  <si>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</si>
  <si>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</si>
  <si>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</si>
  <si>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</si>
  <si>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</si>
  <si>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</si>
  <si>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</si>
  <si>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</si>
  <si>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</si>
  <si>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</si>
  <si>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</si>
  <si>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</si>
  <si>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</si>
  <si>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</si>
  <si>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</si>
  <si>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</si>
  <si>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</si>
  <si>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</si>
  <si>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</si>
  <si>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</si>
  <si>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</si>
  <si>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</si>
  <si>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</si>
  <si>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</si>
  <si>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</si>
  <si>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</si>
  <si>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</si>
  <si>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</si>
  <si>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</si>
  <si>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</si>
  <si>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</si>
  <si>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</si>
  <si>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</si>
  <si>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</si>
  <si>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</si>
  <si>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</si>
  <si>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</si>
  <si>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</si>
  <si>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</si>
  <si>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</si>
  <si>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</si>
  <si>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</si>
  <si>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</si>
  <si>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</si>
  <si>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</si>
  <si>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</si>
  <si>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</si>
  <si>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</si>
  <si>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</si>
  <si>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</si>
  <si>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</si>
  <si>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</si>
  <si>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</si>
  <si>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</si>
  <si>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</si>
  <si>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</si>
  <si>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</si>
  <si>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</si>
  <si>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</si>
  <si>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</si>
  <si>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</si>
  <si>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</si>
  <si>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</si>
  <si>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</si>
  <si>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</si>
  <si>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</si>
  <si>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</si>
  <si>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</si>
  <si>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</si>
  <si>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</si>
  <si>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</si>
  <si>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</si>
  <si>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</si>
  <si>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</si>
  <si>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</si>
  <si>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</si>
  <si>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</si>
  <si>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</si>
  <si>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</si>
  <si>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</si>
  <si>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</si>
  <si>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</si>
  <si>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</si>
  <si>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</si>
  <si>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</si>
  <si>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</si>
  <si>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</si>
  <si>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</si>
  <si>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</si>
  <si>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</si>
  <si>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</si>
  <si>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</si>
  <si>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</si>
  <si>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</si>
  <si>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</si>
  <si>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</si>
  <si>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</si>
  <si>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</si>
  <si>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</si>
  <si>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</si>
  <si>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</si>
  <si>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</si>
  <si>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</si>
  <si>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</si>
  <si>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</si>
  <si>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</si>
  <si>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</si>
  <si>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</si>
  <si>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</si>
  <si>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</si>
  <si>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</si>
  <si>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</si>
  <si>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</si>
  <si>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</si>
  <si>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</si>
  <si>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</si>
  <si>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</si>
  <si>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</si>
  <si>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/>
  </si>
  <si>
    <t>Issue Type</t>
  </si>
  <si>
    <t>Count</t>
  </si>
  <si>
    <t>Missing Order Date</t>
  </si>
  <si>
    <t>Missing Ship Date</t>
  </si>
  <si>
    <t>Invalid Order Date</t>
  </si>
  <si>
    <t>Invalid Ship Date</t>
  </si>
  <si>
    <t>Ship Date Before Order Date</t>
  </si>
  <si>
    <t>Column Name</t>
  </si>
  <si>
    <t>Missing Count</t>
  </si>
  <si>
    <t>Invalid Discount Summary</t>
  </si>
  <si>
    <t>Metric</t>
  </si>
  <si>
    <t>count</t>
  </si>
  <si>
    <t>Negative Discount</t>
  </si>
  <si>
    <t>Discount&lt;100%</t>
  </si>
  <si>
    <t>Missing Discount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</si>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</sst>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>
  <numFmts count="2">
    <numFmt numFmtId="164" formatCode="yyyy&quot;-&quot;mm&quot;-&quot;dd"/>
    <numFmt numFmtId="165" formatCode="yyyy\-mm\-dd\ h:mm:ss"/>
  </numFmts>
  <fonts count="7">
    <font>
      <sz val="11"/>
      <color rgb="FF000000"/>
      <name val="Carlito"/>
      <scheme val="minor"/>
    </font>
    <font>
      <b/>
      <sz val="11"/>
      <color theme="1"/>
      <name val="Calibri"/>
    </font>
    <font>
      <b/>
      <sz val="11"/>
      <color theme="1"/>
      <name val="Carlito"/>
      <scheme val="minor"/>
    </font>
    <font>
      <sz val="11"/>
      <color theme="1"/>
      <name val="Calibri"/>
    </font>
    <font>
      <sz val="11"/>
      <color theme="1"/>
      <name val="Carlito"/>
    </font>
    <font>
      <sz val="11"/>
      <color theme="1"/>
      <name val="Carlito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  <bgColor rgb="FF244062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/>
    <xf numFmtId="0" fontId="2" fillId="0" borderId="0" xfId="0" applyFont="1" applyAlignment="1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1" fontId="1" fillId="0" borderId="0" xfId="0" applyNumberFormat="1" applyFont="1" applyAlignment="1">
      <alignment wrapText="1"/>
    </xf>
    <xf numFmtId="0" fontId="3" fillId="0" borderId="0" xfId="0" applyFont="1" applyAlignment="1"/>
    <xf numFmtId="164" fontId="3" fillId="0" borderId="0" xfId="0" applyNumberFormat="1" applyFont="1" applyAlignment="1"/>
    <xf numFmtId="0" fontId="3" fillId="0" borderId="0" xfId="0" applyFont="1" applyAlignment="1">
      <alignment horizontal="right"/>
    </xf>
    <xf numFmtId="0" fontId="3" fillId="0" borderId="1" xfId="0" applyFont="1" applyBorder="1" applyAlignment="1"/>
    <xf numFmtId="0" fontId="3" fillId="0" borderId="0" xfId="0" applyFont="1" applyAlignment="1"/>
    <xf numFmtId="3" fontId="3" fillId="0" borderId="0" xfId="0" applyNumberFormat="1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" fontId="3" fillId="0" borderId="0" xfId="0" applyNumberFormat="1" applyFont="1" applyAlignment="1">
      <alignment horizontal="right"/>
    </xf>
    <xf numFmtId="10" fontId="3" fillId="0" borderId="0" xfId="0" applyNumberFormat="1" applyFont="1" applyAlignment="1"/>
    <xf numFmtId="165" fontId="3" fillId="0" borderId="0" xfId="0" applyNumberFormat="1" applyFont="1" applyAlignment="1"/>
    <xf numFmtId="0" fontId="3" fillId="0" borderId="0" xfId="0" applyFont="1" applyAlignment="1"/>
    <xf numFmtId="164" fontId="4" fillId="0" borderId="0" xfId="0" applyNumberFormat="1" applyFont="1" applyAlignment="1"/>
    <xf numFmtId="0" fontId="4" fillId="0" borderId="0" xfId="0" applyFont="1" applyAlignment="1"/>
    <xf numFmtId="0" fontId="4" fillId="0" borderId="1" xfId="0" applyFont="1" applyBorder="1" applyAlignment="1"/>
    <xf numFmtId="0" fontId="4" fillId="0" borderId="0" xfId="0" applyFont="1" applyAlignment="1"/>
    <xf numFmtId="3" fontId="4" fillId="0" borderId="0" xfId="0" applyNumberFormat="1" applyFont="1" applyAlignment="1"/>
    <xf numFmtId="10" fontId="5" fillId="0" borderId="0" xfId="0" applyNumberFormat="1" applyFont="1"/>
    <xf numFmtId="165" fontId="4" fillId="0" borderId="0" xfId="0" applyNumberFormat="1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/>
    <xf numFmtId="0" fontId="5" fillId="0" borderId="0" xfId="0" applyFont="1" applyAlignment="1">
      <alignment horizontal="right"/>
    </xf>
    <xf numFmtId="0" fontId="5" fillId="0" borderId="0" xfId="0" applyFont="1"/>
    <xf numFmtId="0" fontId="6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" width="16" customWidth="1"/>
    <col min="2" max="2" width="12" customWidth="1"/>
    <col min="3" max="3" width="17.25" customWidth="1"/>
    <col min="4" max="4" width="13" customWidth="1"/>
    <col min="5" max="5" width="15.875" customWidth="1"/>
    <col min="6" max="6" width="16" customWidth="1"/>
    <col min="7" max="7" width="8.375" customWidth="1"/>
    <col min="8" max="8" width="13.375" customWidth="1"/>
    <col min="9" max="9" width="11.125" customWidth="1"/>
    <col min="10" max="10" width="12" customWidth="1"/>
    <col min="11" max="11" width="13.625" customWidth="1"/>
    <col min="12" max="12" width="18.875" customWidth="1"/>
    <col min="13" max="13" width="16" customWidth="1"/>
    <col min="14" max="14" width="9.875" customWidth="1"/>
    <col min="15" max="15" width="11.25" customWidth="1"/>
    <col min="16" max="16" width="10" customWidth="1"/>
    <col min="17" max="19" width="8" customWidth="1"/>
    <col min="20" max="20" width="15.75" customWidth="1"/>
    <col min="21" max="21" width="13.125" customWidth="1"/>
    <col min="22" max="27" width="16" customWidth="1"/>
    <col min="28" max="29" width="11.25" customWidth="1"/>
    <col min="30" max="36" width="8.75" customWidth="1"/>
    <col min="37" max="37" width="8.625" customWidth="1"/>
    <col min="38" max="38" width="8.75" customWidth="1"/>
    <col min="39" max="42" width="8.625" customWidth="1"/>
    <col min="43" max="43" width="15.25" customWidth="1"/>
    <col min="44" max="45" width="15.875" customWidth="1"/>
    <col min="46" max="47" width="16" customWidth="1"/>
    <col min="48" max="48" width="14" customWidth="1"/>
    <col min="49" max="49" width="13.5" customWidth="1"/>
    <col min="50" max="50" width="11.625" customWidth="1"/>
  </cols>
  <sheetData>
    <row r="1" spans="1:50" ht="69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4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9" t="s">
        <v>46</v>
      </c>
      <c r="AV1" s="6" t="s">
        <v>47</v>
      </c>
      <c r="AW1" s="6" t="s">
        <v>48</v>
      </c>
      <c r="AX1" s="6" t="s">
        <v>49</v>
      </c>
    </row>
    <row r="2" spans="1:50">
      <c r="A2" s="10" t="s">
        <v>50</v>
      </c>
      <c r="B2" s="11">
        <v>45494</v>
      </c>
      <c r="C2" s="11">
        <v>45500</v>
      </c>
      <c r="D2" s="10" t="s">
        <v>51</v>
      </c>
      <c r="E2" s="10" t="s">
        <v>52</v>
      </c>
      <c r="F2" s="10" t="s">
        <v>53</v>
      </c>
      <c r="G2" s="10" t="s">
        <v>54</v>
      </c>
      <c r="H2" s="10" t="s">
        <v>55</v>
      </c>
      <c r="I2" s="10" t="s">
        <v>56</v>
      </c>
      <c r="J2" s="10" t="s">
        <v>57</v>
      </c>
      <c r="K2" s="10" t="s">
        <v>58</v>
      </c>
      <c r="L2" s="10" t="s">
        <v>59</v>
      </c>
      <c r="M2" s="10" t="s">
        <v>60</v>
      </c>
      <c r="N2" s="12">
        <v>8</v>
      </c>
      <c r="O2" s="12">
        <v>2976.45</v>
      </c>
      <c r="P2" s="12">
        <v>0.2</v>
      </c>
      <c r="Q2" s="12">
        <v>19049.28</v>
      </c>
      <c r="R2" s="12">
        <v>15841.89</v>
      </c>
      <c r="S2" s="12">
        <v>3207.39</v>
      </c>
      <c r="T2" s="10" t="s">
        <v>61</v>
      </c>
      <c r="U2" s="13" t="s">
        <v>62</v>
      </c>
      <c r="V2" s="14" t="e">
        <f t="shared" ref="V2:V933" ca="1" si="0">TEXTJOIN("|",TRUE,A2:U2)</f>
        <v>#NAME?</v>
      </c>
      <c r="W2" s="10"/>
      <c r="X2" s="10" t="b">
        <f t="shared" ref="X2:X933" ca="1" si="1">COUNTIF(V:V,V2)&gt;1</f>
        <v>1</v>
      </c>
      <c r="Y2" s="10" t="str">
        <f t="shared" ref="Y2:Y933" si="2">IF(COUNTIF($A:$A,A2)&gt;1,"Duplicate Order ID","Unique")</f>
        <v>Unique</v>
      </c>
      <c r="Z2" s="10" t="str">
        <f>IF(
COUNTIFS($A:$A,A2,$B:$B,B2)=COUNTIF($A:$A,A2),
"Exact Duplicate",
"Conflicting Duplicate"
)</f>
        <v>Exact Duplicate</v>
      </c>
      <c r="AA2" s="10" t="str">
        <f t="shared" ref="AA2:AA933" si="3">IF(
OR(AQ2&lt;0,
AQ2&gt;1,
C2&lt;B2),
"Invalid",
IF(
OR(G2="Unknown",
M2="Unknown"),
"Warning",
"Clean"
)
)</f>
        <v>Clean</v>
      </c>
      <c r="AB2" s="15" t="str">
        <f t="shared" ref="AB2:AB933" si="4">IF(
OR(
B2="",
C2="",
NOT(ISNUMBER(B2)),
NOT(ISNUMBER(C2)),
C2&lt;B2
),
"Invalid",
"Valid"
)</f>
        <v>Valid</v>
      </c>
      <c r="AC2" s="15">
        <v>6</v>
      </c>
      <c r="AD2" s="16" t="str">
        <f t="shared" ref="AD2:AD933" si="5">IF(C2&lt;B2,"Invalid Shipping Date","Valid")</f>
        <v>Valid</v>
      </c>
      <c r="AE2" s="16" t="str">
        <f t="shared" ref="AE2:AE933" si="6">IF(AND(B2&lt;&gt;"",NOT(ISNUMBER(B2))),"Text Not Date","Valid")</f>
        <v>Valid</v>
      </c>
      <c r="AF2" s="16" t="str">
        <f t="shared" ref="AF2:AG2" si="7">IF(ISNUMBER(B2),"Valid","Invalid")</f>
        <v>Valid</v>
      </c>
      <c r="AG2" s="16" t="str">
        <f t="shared" si="7"/>
        <v>Valid</v>
      </c>
      <c r="AH2" s="16" t="str">
        <f t="shared" ref="AH2:AI2" si="8">IF(OR(B2="",ISBLANK(B2)),"Missing","Valid")</f>
        <v>Valid</v>
      </c>
      <c r="AI2" s="16" t="str">
        <f t="shared" si="8"/>
        <v>Valid</v>
      </c>
      <c r="AJ2" s="16" t="b">
        <v>0</v>
      </c>
      <c r="AK2" s="16" t="b">
        <v>0</v>
      </c>
      <c r="AL2" s="16" t="b">
        <v>0</v>
      </c>
      <c r="AM2" s="16" t="b">
        <v>0</v>
      </c>
      <c r="AN2" s="16" t="b">
        <v>0</v>
      </c>
      <c r="AO2" s="16" t="b">
        <v>0</v>
      </c>
      <c r="AP2" s="16" t="b">
        <v>0</v>
      </c>
      <c r="AQ2" s="17">
        <f t="shared" ref="AQ2:AQ933" si="9">IF(OR(P2="",ISBLANK(P2)),0,P2)</f>
        <v>0.2</v>
      </c>
      <c r="AR2" s="12">
        <f t="shared" ref="AR2:AR933" si="10">N2*O2*(1-AQ2)</f>
        <v>19049.28</v>
      </c>
      <c r="AS2" s="18">
        <f t="shared" ref="AS2:AS933" si="11">Q2-AR2</f>
        <v>0</v>
      </c>
      <c r="AT2" s="12">
        <f t="shared" ref="AT2:AT933" si="12">AR2-R2</f>
        <v>3207.3899999999994</v>
      </c>
      <c r="AU2" s="18">
        <f t="shared" ref="AU2:AU933" si="13">S2-AT2</f>
        <v>0</v>
      </c>
      <c r="AV2" s="19">
        <f t="shared" ref="AV2:AV933" si="14">AT2/AR2</f>
        <v>0.16837329284886357</v>
      </c>
      <c r="AW2" s="20" t="str">
        <f t="shared" ref="AW2:AW933" si="15">TEXT(B2,"mmmm")</f>
        <v>July</v>
      </c>
      <c r="AX2" s="21">
        <f t="shared" ref="AX2:AX933" si="16">YEAR(B2)</f>
        <v>2024</v>
      </c>
    </row>
    <row r="3" spans="1:50">
      <c r="A3" s="10" t="s">
        <v>63</v>
      </c>
      <c r="B3" s="11">
        <v>45535</v>
      </c>
      <c r="C3" s="11">
        <v>45540</v>
      </c>
      <c r="D3" s="10" t="s">
        <v>64</v>
      </c>
      <c r="E3" s="10" t="s">
        <v>65</v>
      </c>
      <c r="F3" s="10" t="s">
        <v>66</v>
      </c>
      <c r="G3" s="10" t="s">
        <v>67</v>
      </c>
      <c r="H3" s="10" t="s">
        <v>68</v>
      </c>
      <c r="I3" s="10" t="s">
        <v>69</v>
      </c>
      <c r="J3" s="10" t="s">
        <v>70</v>
      </c>
      <c r="K3" s="10" t="s">
        <v>71</v>
      </c>
      <c r="L3" s="10" t="s">
        <v>72</v>
      </c>
      <c r="M3" s="10" t="s">
        <v>73</v>
      </c>
      <c r="N3" s="12">
        <v>3</v>
      </c>
      <c r="O3" s="12">
        <v>2437.5</v>
      </c>
      <c r="P3" s="12">
        <v>0</v>
      </c>
      <c r="Q3" s="12">
        <v>7312.5</v>
      </c>
      <c r="R3" s="12">
        <v>4904.7299999999996</v>
      </c>
      <c r="S3" s="12">
        <v>2407.77</v>
      </c>
      <c r="T3" s="10" t="s">
        <v>61</v>
      </c>
      <c r="U3" s="13" t="s">
        <v>62</v>
      </c>
      <c r="V3" s="14" t="e">
        <f t="shared" ca="1" si="0"/>
        <v>#NAME?</v>
      </c>
      <c r="W3" s="10"/>
      <c r="X3" s="10" t="b">
        <f t="shared" ca="1" si="1"/>
        <v>1</v>
      </c>
      <c r="Y3" s="10" t="str">
        <f t="shared" si="2"/>
        <v>Unique</v>
      </c>
      <c r="Z3" s="10"/>
      <c r="AA3" s="10" t="str">
        <f t="shared" si="3"/>
        <v>Clean</v>
      </c>
      <c r="AB3" s="15" t="str">
        <f t="shared" si="4"/>
        <v>Valid</v>
      </c>
      <c r="AC3" s="15">
        <v>5</v>
      </c>
      <c r="AD3" s="16" t="str">
        <f t="shared" si="5"/>
        <v>Valid</v>
      </c>
      <c r="AE3" s="16" t="str">
        <f t="shared" si="6"/>
        <v>Valid</v>
      </c>
      <c r="AF3" s="16" t="str">
        <f t="shared" ref="AF3:AG3" si="17">IF(ISNUMBER(B3),"Valid","Invalid")</f>
        <v>Valid</v>
      </c>
      <c r="AG3" s="16" t="str">
        <f t="shared" si="17"/>
        <v>Valid</v>
      </c>
      <c r="AH3" s="16" t="str">
        <f t="shared" ref="AH3:AI3" si="18">IF(OR(B3="",ISBLANK(B3)),"Missing","Valid")</f>
        <v>Valid</v>
      </c>
      <c r="AI3" s="16" t="str">
        <f t="shared" si="18"/>
        <v>Valid</v>
      </c>
      <c r="AJ3" s="16" t="b">
        <v>0</v>
      </c>
      <c r="AK3" s="16" t="b">
        <v>0</v>
      </c>
      <c r="AL3" s="16" t="b">
        <v>0</v>
      </c>
      <c r="AM3" s="16" t="b">
        <v>0</v>
      </c>
      <c r="AN3" s="16" t="b">
        <v>0</v>
      </c>
      <c r="AO3" s="16" t="b">
        <v>0</v>
      </c>
      <c r="AP3" s="16" t="b">
        <v>0</v>
      </c>
      <c r="AQ3" s="17">
        <f t="shared" si="9"/>
        <v>0</v>
      </c>
      <c r="AR3" s="12">
        <f t="shared" si="10"/>
        <v>7312.5</v>
      </c>
      <c r="AS3" s="18">
        <f t="shared" si="11"/>
        <v>0</v>
      </c>
      <c r="AT3" s="12">
        <f t="shared" si="12"/>
        <v>2407.7700000000004</v>
      </c>
      <c r="AU3" s="18">
        <f t="shared" si="13"/>
        <v>0</v>
      </c>
      <c r="AV3" s="19">
        <f t="shared" si="14"/>
        <v>0.32926769230769237</v>
      </c>
      <c r="AW3" s="20" t="str">
        <f t="shared" si="15"/>
        <v>August</v>
      </c>
      <c r="AX3" s="21">
        <f t="shared" si="16"/>
        <v>2024</v>
      </c>
    </row>
    <row r="4" spans="1:50">
      <c r="A4" s="10" t="s">
        <v>74</v>
      </c>
      <c r="B4" s="11">
        <v>45451</v>
      </c>
      <c r="C4" s="11">
        <v>45458</v>
      </c>
      <c r="D4" s="10" t="s">
        <v>75</v>
      </c>
      <c r="E4" s="10" t="s">
        <v>76</v>
      </c>
      <c r="F4" s="10" t="s">
        <v>53</v>
      </c>
      <c r="G4" s="10" t="s">
        <v>67</v>
      </c>
      <c r="H4" s="10" t="s">
        <v>68</v>
      </c>
      <c r="I4" s="10" t="s">
        <v>69</v>
      </c>
      <c r="J4" s="10" t="s">
        <v>57</v>
      </c>
      <c r="K4" s="10" t="s">
        <v>77</v>
      </c>
      <c r="L4" s="10" t="s">
        <v>78</v>
      </c>
      <c r="M4" s="10" t="s">
        <v>79</v>
      </c>
      <c r="N4" s="12">
        <v>4</v>
      </c>
      <c r="O4" s="12">
        <v>1065.43</v>
      </c>
      <c r="P4" s="12">
        <v>0.55000000000000004</v>
      </c>
      <c r="Q4" s="12">
        <v>4261.72</v>
      </c>
      <c r="R4" s="12">
        <v>2465.69</v>
      </c>
      <c r="S4" s="12">
        <v>1796.03</v>
      </c>
      <c r="T4" s="10" t="s">
        <v>61</v>
      </c>
      <c r="U4" s="13" t="s">
        <v>62</v>
      </c>
      <c r="V4" s="14" t="e">
        <f t="shared" ca="1" si="0"/>
        <v>#NAME?</v>
      </c>
      <c r="W4" s="10"/>
      <c r="X4" s="10" t="b">
        <f t="shared" ca="1" si="1"/>
        <v>1</v>
      </c>
      <c r="Y4" s="10" t="str">
        <f t="shared" si="2"/>
        <v>Unique</v>
      </c>
      <c r="Z4" s="10"/>
      <c r="AA4" s="10" t="str">
        <f t="shared" si="3"/>
        <v>Clean</v>
      </c>
      <c r="AB4" s="15" t="str">
        <f t="shared" si="4"/>
        <v>Valid</v>
      </c>
      <c r="AC4" s="15">
        <v>7</v>
      </c>
      <c r="AD4" s="16" t="str">
        <f t="shared" si="5"/>
        <v>Valid</v>
      </c>
      <c r="AE4" s="16" t="str">
        <f t="shared" si="6"/>
        <v>Valid</v>
      </c>
      <c r="AF4" s="16" t="str">
        <f t="shared" ref="AF4:AG4" si="19">IF(ISNUMBER(B4),"Valid","Invalid")</f>
        <v>Valid</v>
      </c>
      <c r="AG4" s="16" t="str">
        <f t="shared" si="19"/>
        <v>Valid</v>
      </c>
      <c r="AH4" s="16" t="str">
        <f t="shared" ref="AH4:AI4" si="20">IF(OR(B4="",ISBLANK(B4)),"Missing","Valid")</f>
        <v>Valid</v>
      </c>
      <c r="AI4" s="16" t="str">
        <f t="shared" si="20"/>
        <v>Valid</v>
      </c>
      <c r="AJ4" s="16" t="b">
        <v>0</v>
      </c>
      <c r="AK4" s="16" t="b">
        <v>0</v>
      </c>
      <c r="AL4" s="16" t="b">
        <v>0</v>
      </c>
      <c r="AM4" s="16" t="b">
        <v>0</v>
      </c>
      <c r="AN4" s="16" t="b">
        <v>0</v>
      </c>
      <c r="AO4" s="16" t="b">
        <v>0</v>
      </c>
      <c r="AP4" s="16" t="b">
        <v>0</v>
      </c>
      <c r="AQ4" s="17">
        <f t="shared" si="9"/>
        <v>0.55000000000000004</v>
      </c>
      <c r="AR4" s="12">
        <f t="shared" si="10"/>
        <v>1917.7739999999999</v>
      </c>
      <c r="AS4" s="18">
        <f t="shared" si="11"/>
        <v>2343.9460000000004</v>
      </c>
      <c r="AT4" s="12">
        <f t="shared" si="12"/>
        <v>-547.91600000000017</v>
      </c>
      <c r="AU4" s="18">
        <f t="shared" si="13"/>
        <v>2343.9459999999999</v>
      </c>
      <c r="AV4" s="19">
        <f t="shared" si="14"/>
        <v>-0.28570415492127865</v>
      </c>
      <c r="AW4" s="20" t="str">
        <f t="shared" si="15"/>
        <v>June</v>
      </c>
      <c r="AX4" s="21">
        <f t="shared" si="16"/>
        <v>2024</v>
      </c>
    </row>
    <row r="5" spans="1:50">
      <c r="A5" s="10" t="s">
        <v>80</v>
      </c>
      <c r="B5" s="11">
        <v>45624</v>
      </c>
      <c r="C5" s="11">
        <v>45625</v>
      </c>
      <c r="D5" s="10" t="s">
        <v>81</v>
      </c>
      <c r="E5" s="10" t="s">
        <v>82</v>
      </c>
      <c r="F5" s="10" t="s">
        <v>66</v>
      </c>
      <c r="G5" s="10" t="s">
        <v>83</v>
      </c>
      <c r="H5" s="10" t="s">
        <v>84</v>
      </c>
      <c r="I5" s="10" t="s">
        <v>85</v>
      </c>
      <c r="J5" s="10" t="s">
        <v>70</v>
      </c>
      <c r="K5" s="10" t="s">
        <v>86</v>
      </c>
      <c r="L5" s="10" t="s">
        <v>87</v>
      </c>
      <c r="M5" s="10" t="s">
        <v>88</v>
      </c>
      <c r="N5" s="12">
        <v>6</v>
      </c>
      <c r="O5" s="12">
        <v>1848.43</v>
      </c>
      <c r="P5" s="12">
        <v>0.25</v>
      </c>
      <c r="Q5" s="12">
        <v>8317.93</v>
      </c>
      <c r="R5" s="12">
        <v>6796.77</v>
      </c>
      <c r="S5" s="12">
        <v>1521.16</v>
      </c>
      <c r="T5" s="10" t="s">
        <v>61</v>
      </c>
      <c r="U5" s="13" t="s">
        <v>62</v>
      </c>
      <c r="V5" s="14" t="e">
        <f t="shared" ca="1" si="0"/>
        <v>#NAME?</v>
      </c>
      <c r="W5" s="10"/>
      <c r="X5" s="10" t="b">
        <f t="shared" ca="1" si="1"/>
        <v>1</v>
      </c>
      <c r="Y5" s="10" t="str">
        <f t="shared" si="2"/>
        <v>Unique</v>
      </c>
      <c r="Z5" s="10"/>
      <c r="AA5" s="10" t="str">
        <f t="shared" si="3"/>
        <v>Clean</v>
      </c>
      <c r="AB5" s="15" t="str">
        <f t="shared" si="4"/>
        <v>Valid</v>
      </c>
      <c r="AC5" s="15">
        <v>1</v>
      </c>
      <c r="AD5" s="16" t="str">
        <f t="shared" si="5"/>
        <v>Valid</v>
      </c>
      <c r="AE5" s="16" t="str">
        <f t="shared" si="6"/>
        <v>Valid</v>
      </c>
      <c r="AF5" s="16" t="str">
        <f t="shared" ref="AF5:AG5" si="21">IF(ISNUMBER(B5),"Valid","Invalid")</f>
        <v>Valid</v>
      </c>
      <c r="AG5" s="16" t="str">
        <f t="shared" si="21"/>
        <v>Valid</v>
      </c>
      <c r="AH5" s="16" t="str">
        <f t="shared" ref="AH5:AI5" si="22">IF(OR(B5="",ISBLANK(B5)),"Missing","Valid")</f>
        <v>Valid</v>
      </c>
      <c r="AI5" s="16" t="str">
        <f t="shared" si="22"/>
        <v>Valid</v>
      </c>
      <c r="AJ5" s="16" t="b">
        <v>0</v>
      </c>
      <c r="AK5" s="16" t="b">
        <v>0</v>
      </c>
      <c r="AL5" s="16" t="b">
        <v>0</v>
      </c>
      <c r="AM5" s="16" t="b">
        <v>0</v>
      </c>
      <c r="AN5" s="16" t="b">
        <v>0</v>
      </c>
      <c r="AO5" s="16" t="b">
        <v>0</v>
      </c>
      <c r="AP5" s="16" t="b">
        <v>0</v>
      </c>
      <c r="AQ5" s="17">
        <f t="shared" si="9"/>
        <v>0.25</v>
      </c>
      <c r="AR5" s="12">
        <f t="shared" si="10"/>
        <v>8317.9349999999995</v>
      </c>
      <c r="AS5" s="18">
        <f t="shared" si="11"/>
        <v>-4.9999999991996447E-3</v>
      </c>
      <c r="AT5" s="12">
        <f t="shared" si="12"/>
        <v>1521.1649999999991</v>
      </c>
      <c r="AU5" s="18">
        <f t="shared" si="13"/>
        <v>-4.999999998972271E-3</v>
      </c>
      <c r="AV5" s="19">
        <f t="shared" si="14"/>
        <v>0.18287772145370204</v>
      </c>
      <c r="AW5" s="20" t="str">
        <f t="shared" si="15"/>
        <v>November</v>
      </c>
      <c r="AX5" s="21">
        <f t="shared" si="16"/>
        <v>2024</v>
      </c>
    </row>
    <row r="6" spans="1:50">
      <c r="A6" s="10" t="s">
        <v>89</v>
      </c>
      <c r="B6" s="11">
        <v>45898</v>
      </c>
      <c r="C6" s="11">
        <v>45901</v>
      </c>
      <c r="D6" s="10" t="s">
        <v>90</v>
      </c>
      <c r="E6" s="10" t="s">
        <v>91</v>
      </c>
      <c r="F6" s="10" t="s">
        <v>66</v>
      </c>
      <c r="G6" s="10" t="s">
        <v>92</v>
      </c>
      <c r="H6" s="10" t="s">
        <v>93</v>
      </c>
      <c r="I6" s="10" t="s">
        <v>94</v>
      </c>
      <c r="J6" s="10" t="s">
        <v>70</v>
      </c>
      <c r="K6" s="10" t="s">
        <v>95</v>
      </c>
      <c r="L6" s="10" t="s">
        <v>96</v>
      </c>
      <c r="M6" s="10" t="s">
        <v>79</v>
      </c>
      <c r="N6" s="12">
        <v>7</v>
      </c>
      <c r="O6" s="12">
        <v>2973.76</v>
      </c>
      <c r="P6" s="12">
        <v>0</v>
      </c>
      <c r="Q6" s="12">
        <v>20816.32</v>
      </c>
      <c r="R6" s="12">
        <v>17705.37</v>
      </c>
      <c r="S6" s="12">
        <v>3110.95</v>
      </c>
      <c r="T6" s="10" t="s">
        <v>61</v>
      </c>
      <c r="U6" s="13" t="s">
        <v>97</v>
      </c>
      <c r="V6" s="14" t="e">
        <f t="shared" ca="1" si="0"/>
        <v>#NAME?</v>
      </c>
      <c r="W6" s="10"/>
      <c r="X6" s="10" t="b">
        <f t="shared" ca="1" si="1"/>
        <v>1</v>
      </c>
      <c r="Y6" s="10" t="str">
        <f t="shared" si="2"/>
        <v>Unique</v>
      </c>
      <c r="Z6" s="10"/>
      <c r="AA6" s="10" t="str">
        <f t="shared" si="3"/>
        <v>Clean</v>
      </c>
      <c r="AB6" s="15" t="str">
        <f t="shared" si="4"/>
        <v>Valid</v>
      </c>
      <c r="AC6" s="15">
        <v>3</v>
      </c>
      <c r="AD6" s="16" t="str">
        <f t="shared" si="5"/>
        <v>Valid</v>
      </c>
      <c r="AE6" s="16" t="str">
        <f t="shared" si="6"/>
        <v>Valid</v>
      </c>
      <c r="AF6" s="16" t="str">
        <f t="shared" ref="AF6:AG6" si="23">IF(ISNUMBER(B6),"Valid","Invalid")</f>
        <v>Valid</v>
      </c>
      <c r="AG6" s="16" t="str">
        <f t="shared" si="23"/>
        <v>Valid</v>
      </c>
      <c r="AH6" s="16" t="str">
        <f t="shared" ref="AH6:AI6" si="24">IF(OR(B6="",ISBLANK(B6)),"Missing","Valid")</f>
        <v>Valid</v>
      </c>
      <c r="AI6" s="16" t="str">
        <f t="shared" si="24"/>
        <v>Valid</v>
      </c>
      <c r="AJ6" s="16" t="b">
        <v>0</v>
      </c>
      <c r="AK6" s="16" t="b">
        <v>0</v>
      </c>
      <c r="AL6" s="16" t="b">
        <v>0</v>
      </c>
      <c r="AM6" s="16" t="b">
        <v>0</v>
      </c>
      <c r="AN6" s="16" t="b">
        <v>0</v>
      </c>
      <c r="AO6" s="16" t="b">
        <v>0</v>
      </c>
      <c r="AP6" s="16" t="b">
        <v>0</v>
      </c>
      <c r="AQ6" s="17">
        <f t="shared" si="9"/>
        <v>0</v>
      </c>
      <c r="AR6" s="12">
        <f t="shared" si="10"/>
        <v>20816.32</v>
      </c>
      <c r="AS6" s="18">
        <f t="shared" si="11"/>
        <v>0</v>
      </c>
      <c r="AT6" s="12">
        <f t="shared" si="12"/>
        <v>3110.9500000000007</v>
      </c>
      <c r="AU6" s="18">
        <f t="shared" si="13"/>
        <v>0</v>
      </c>
      <c r="AV6" s="19">
        <f t="shared" si="14"/>
        <v>0.14944764492475138</v>
      </c>
      <c r="AW6" s="20" t="str">
        <f t="shared" si="15"/>
        <v>August</v>
      </c>
      <c r="AX6" s="21">
        <f t="shared" si="16"/>
        <v>2025</v>
      </c>
    </row>
    <row r="7" spans="1:50">
      <c r="A7" s="10" t="s">
        <v>98</v>
      </c>
      <c r="B7" s="11">
        <v>45436</v>
      </c>
      <c r="C7" s="11">
        <v>45440</v>
      </c>
      <c r="D7" s="10" t="s">
        <v>99</v>
      </c>
      <c r="E7" s="10" t="s">
        <v>100</v>
      </c>
      <c r="F7" s="10" t="s">
        <v>66</v>
      </c>
      <c r="G7" s="10" t="s">
        <v>92</v>
      </c>
      <c r="H7" s="10" t="s">
        <v>101</v>
      </c>
      <c r="I7" s="10" t="s">
        <v>102</v>
      </c>
      <c r="J7" s="10" t="s">
        <v>103</v>
      </c>
      <c r="K7" s="10" t="s">
        <v>104</v>
      </c>
      <c r="L7" s="10" t="s">
        <v>105</v>
      </c>
      <c r="M7" s="10" t="s">
        <v>73</v>
      </c>
      <c r="N7" s="12">
        <v>3</v>
      </c>
      <c r="O7" s="12">
        <v>1053.1099999999999</v>
      </c>
      <c r="P7" s="12">
        <v>0.2</v>
      </c>
      <c r="Q7" s="12">
        <v>2527.46</v>
      </c>
      <c r="R7" s="12">
        <v>1533.58</v>
      </c>
      <c r="S7" s="12">
        <v>993.88</v>
      </c>
      <c r="T7" s="10" t="s">
        <v>61</v>
      </c>
      <c r="U7" s="13" t="s">
        <v>62</v>
      </c>
      <c r="V7" s="14" t="e">
        <f t="shared" ca="1" si="0"/>
        <v>#NAME?</v>
      </c>
      <c r="W7" s="10"/>
      <c r="X7" s="10" t="b">
        <f t="shared" ca="1" si="1"/>
        <v>1</v>
      </c>
      <c r="Y7" s="10" t="str">
        <f t="shared" si="2"/>
        <v>Unique</v>
      </c>
      <c r="Z7" s="10"/>
      <c r="AA7" s="10" t="str">
        <f t="shared" si="3"/>
        <v>Clean</v>
      </c>
      <c r="AB7" s="15" t="str">
        <f t="shared" si="4"/>
        <v>Valid</v>
      </c>
      <c r="AC7" s="15">
        <v>4</v>
      </c>
      <c r="AD7" s="16" t="str">
        <f t="shared" si="5"/>
        <v>Valid</v>
      </c>
      <c r="AE7" s="16" t="str">
        <f t="shared" si="6"/>
        <v>Valid</v>
      </c>
      <c r="AF7" s="16" t="str">
        <f t="shared" ref="AF7:AG7" si="25">IF(ISNUMBER(B7),"Valid","Invalid")</f>
        <v>Valid</v>
      </c>
      <c r="AG7" s="16" t="str">
        <f t="shared" si="25"/>
        <v>Valid</v>
      </c>
      <c r="AH7" s="16" t="str">
        <f t="shared" ref="AH7:AI7" si="26">IF(OR(B7="",ISBLANK(B7)),"Missing","Valid")</f>
        <v>Valid</v>
      </c>
      <c r="AI7" s="16" t="str">
        <f t="shared" si="26"/>
        <v>Valid</v>
      </c>
      <c r="AJ7" s="16" t="b">
        <v>0</v>
      </c>
      <c r="AK7" s="16" t="b">
        <v>0</v>
      </c>
      <c r="AL7" s="16" t="b">
        <v>0</v>
      </c>
      <c r="AM7" s="16" t="b">
        <v>0</v>
      </c>
      <c r="AN7" s="16" t="b">
        <v>0</v>
      </c>
      <c r="AO7" s="16" t="b">
        <v>0</v>
      </c>
      <c r="AP7" s="16" t="b">
        <v>0</v>
      </c>
      <c r="AQ7" s="17">
        <f t="shared" si="9"/>
        <v>0.2</v>
      </c>
      <c r="AR7" s="12">
        <f t="shared" si="10"/>
        <v>2527.4639999999999</v>
      </c>
      <c r="AS7" s="18">
        <f t="shared" si="11"/>
        <v>-3.9999999999054126E-3</v>
      </c>
      <c r="AT7" s="12">
        <f t="shared" si="12"/>
        <v>993.88400000000001</v>
      </c>
      <c r="AU7" s="18">
        <f t="shared" si="13"/>
        <v>-4.0000000000190994E-3</v>
      </c>
      <c r="AV7" s="19">
        <f t="shared" si="14"/>
        <v>0.39323369195367375</v>
      </c>
      <c r="AW7" s="20" t="str">
        <f t="shared" si="15"/>
        <v>May</v>
      </c>
      <c r="AX7" s="21">
        <f t="shared" si="16"/>
        <v>2024</v>
      </c>
    </row>
    <row r="8" spans="1:50">
      <c r="A8" s="10" t="s">
        <v>106</v>
      </c>
      <c r="B8" s="11">
        <v>45757</v>
      </c>
      <c r="C8" s="11">
        <v>45763</v>
      </c>
      <c r="D8" s="10" t="s">
        <v>107</v>
      </c>
      <c r="E8" s="10" t="s">
        <v>108</v>
      </c>
      <c r="F8" s="10" t="s">
        <v>53</v>
      </c>
      <c r="G8" s="10" t="s">
        <v>67</v>
      </c>
      <c r="H8" s="10" t="s">
        <v>68</v>
      </c>
      <c r="I8" s="10" t="s">
        <v>69</v>
      </c>
      <c r="J8" s="10" t="s">
        <v>103</v>
      </c>
      <c r="K8" s="10" t="s">
        <v>109</v>
      </c>
      <c r="L8" s="10" t="s">
        <v>110</v>
      </c>
      <c r="M8" s="10" t="s">
        <v>88</v>
      </c>
      <c r="N8" s="12">
        <v>4</v>
      </c>
      <c r="O8" s="12">
        <v>1719.87</v>
      </c>
      <c r="P8" s="12">
        <v>0.15</v>
      </c>
      <c r="Q8" s="12">
        <v>5847.56</v>
      </c>
      <c r="R8" s="12">
        <v>4727.25</v>
      </c>
      <c r="S8" s="12">
        <v>1120.31</v>
      </c>
      <c r="T8" s="10" t="s">
        <v>61</v>
      </c>
      <c r="U8" s="13" t="s">
        <v>62</v>
      </c>
      <c r="V8" s="14" t="e">
        <f t="shared" ca="1" si="0"/>
        <v>#NAME?</v>
      </c>
      <c r="W8" s="10" t="str">
        <f ca="1">IFERROR(__xludf.DUMMYFUNCTION("IF(COUNTIF($A:$A,A2)=1,
""Unique"",
IF(COUNTUNIQUE(FILTER($V$2:$V$934,$A$2:$A$934=A2))&gt;1,
""Conflicting Duplicate"",
""Exact Duplicate""))"),"Unique")</f>
        <v>Unique</v>
      </c>
      <c r="X8" s="10" t="b">
        <f t="shared" ca="1" si="1"/>
        <v>1</v>
      </c>
      <c r="Y8" s="10" t="str">
        <f t="shared" si="2"/>
        <v>Duplicate Order ID</v>
      </c>
      <c r="Z8" s="10"/>
      <c r="AA8" s="10" t="str">
        <f t="shared" si="3"/>
        <v>Clean</v>
      </c>
      <c r="AB8" s="15" t="str">
        <f t="shared" si="4"/>
        <v>Valid</v>
      </c>
      <c r="AC8" s="15">
        <v>6</v>
      </c>
      <c r="AD8" s="16" t="str">
        <f t="shared" si="5"/>
        <v>Valid</v>
      </c>
      <c r="AE8" s="16" t="str">
        <f t="shared" si="6"/>
        <v>Valid</v>
      </c>
      <c r="AF8" s="16" t="str">
        <f t="shared" ref="AF8:AG8" si="27">IF(ISNUMBER(B8),"Valid","Invalid")</f>
        <v>Valid</v>
      </c>
      <c r="AG8" s="16" t="str">
        <f t="shared" si="27"/>
        <v>Valid</v>
      </c>
      <c r="AH8" s="16" t="str">
        <f t="shared" ref="AH8:AI8" si="28">IF(OR(B8="",ISBLANK(B8)),"Missing","Valid")</f>
        <v>Valid</v>
      </c>
      <c r="AI8" s="16" t="str">
        <f t="shared" si="28"/>
        <v>Valid</v>
      </c>
      <c r="AJ8" s="16" t="b">
        <v>0</v>
      </c>
      <c r="AK8" s="16" t="b">
        <v>0</v>
      </c>
      <c r="AL8" s="16" t="b">
        <v>0</v>
      </c>
      <c r="AM8" s="16" t="b">
        <v>0</v>
      </c>
      <c r="AN8" s="16" t="b">
        <v>0</v>
      </c>
      <c r="AO8" s="16" t="b">
        <v>0</v>
      </c>
      <c r="AP8" s="16" t="b">
        <v>0</v>
      </c>
      <c r="AQ8" s="17">
        <f t="shared" si="9"/>
        <v>0.15</v>
      </c>
      <c r="AR8" s="12">
        <f t="shared" si="10"/>
        <v>5847.5579999999991</v>
      </c>
      <c r="AS8" s="18">
        <f t="shared" si="11"/>
        <v>2.0000000013169483E-3</v>
      </c>
      <c r="AT8" s="12">
        <f t="shared" si="12"/>
        <v>1120.3079999999991</v>
      </c>
      <c r="AU8" s="18">
        <f t="shared" si="13"/>
        <v>2.000000000862201E-3</v>
      </c>
      <c r="AV8" s="19">
        <f t="shared" si="14"/>
        <v>0.19158561573908275</v>
      </c>
      <c r="AW8" s="20" t="str">
        <f t="shared" si="15"/>
        <v>April</v>
      </c>
      <c r="AX8" s="21">
        <f t="shared" si="16"/>
        <v>2025</v>
      </c>
    </row>
    <row r="9" spans="1:50">
      <c r="A9" s="10" t="s">
        <v>111</v>
      </c>
      <c r="B9" s="11">
        <v>45711</v>
      </c>
      <c r="C9" s="11">
        <v>45714</v>
      </c>
      <c r="D9" s="10" t="s">
        <v>112</v>
      </c>
      <c r="E9" s="10" t="s">
        <v>76</v>
      </c>
      <c r="F9" s="10" t="s">
        <v>66</v>
      </c>
      <c r="G9" s="10" t="s">
        <v>83</v>
      </c>
      <c r="H9" s="10" t="s">
        <v>113</v>
      </c>
      <c r="I9" s="10" t="s">
        <v>114</v>
      </c>
      <c r="J9" s="10" t="s">
        <v>57</v>
      </c>
      <c r="K9" s="10" t="s">
        <v>77</v>
      </c>
      <c r="L9" s="10" t="s">
        <v>115</v>
      </c>
      <c r="M9" s="10" t="s">
        <v>79</v>
      </c>
      <c r="N9" s="12">
        <v>1</v>
      </c>
      <c r="O9" s="12">
        <v>2980.71</v>
      </c>
      <c r="P9" s="12">
        <v>0</v>
      </c>
      <c r="Q9" s="12">
        <v>2980.71</v>
      </c>
      <c r="R9" s="12">
        <v>2357.2199999999998</v>
      </c>
      <c r="S9" s="12">
        <v>623.49</v>
      </c>
      <c r="T9" s="10" t="s">
        <v>61</v>
      </c>
      <c r="U9" s="13" t="s">
        <v>62</v>
      </c>
      <c r="V9" s="14" t="e">
        <f t="shared" ca="1" si="0"/>
        <v>#NAME?</v>
      </c>
      <c r="W9" s="10" t="str">
        <f ca="1">IFERROR(__xludf.DUMMYFUNCTION("IF(COUNTIF($A:$A,A3)=1,
""Unique"",
IF(COUNTUNIQUE(FILTER($V$2:$V$934,$A$2:$A$934=A3))&gt;1,
""Conflicting Duplicate"",
""Exact Duplicate""))"),"Unique")</f>
        <v>Unique</v>
      </c>
      <c r="X9" s="10" t="b">
        <f t="shared" ca="1" si="1"/>
        <v>1</v>
      </c>
      <c r="Y9" s="10" t="str">
        <f t="shared" si="2"/>
        <v>Unique</v>
      </c>
      <c r="Z9" s="10"/>
      <c r="AA9" s="10" t="str">
        <f t="shared" si="3"/>
        <v>Clean</v>
      </c>
      <c r="AB9" s="15" t="str">
        <f t="shared" si="4"/>
        <v>Valid</v>
      </c>
      <c r="AC9" s="15">
        <v>3</v>
      </c>
      <c r="AD9" s="16" t="str">
        <f t="shared" si="5"/>
        <v>Valid</v>
      </c>
      <c r="AE9" s="16" t="str">
        <f t="shared" si="6"/>
        <v>Valid</v>
      </c>
      <c r="AF9" s="16" t="str">
        <f t="shared" ref="AF9:AG9" si="29">IF(ISNUMBER(B9),"Valid","Invalid")</f>
        <v>Valid</v>
      </c>
      <c r="AG9" s="16" t="str">
        <f t="shared" si="29"/>
        <v>Valid</v>
      </c>
      <c r="AH9" s="16" t="str">
        <f t="shared" ref="AH9:AI9" si="30">IF(OR(B9="",ISBLANK(B9)),"Missing","Valid")</f>
        <v>Valid</v>
      </c>
      <c r="AI9" s="16" t="str">
        <f t="shared" si="30"/>
        <v>Valid</v>
      </c>
      <c r="AJ9" s="16" t="b">
        <v>0</v>
      </c>
      <c r="AK9" s="16" t="b">
        <v>0</v>
      </c>
      <c r="AL9" s="16" t="b">
        <v>0</v>
      </c>
      <c r="AM9" s="16" t="b">
        <v>0</v>
      </c>
      <c r="AN9" s="16" t="b">
        <v>0</v>
      </c>
      <c r="AO9" s="16" t="b">
        <v>0</v>
      </c>
      <c r="AP9" s="16" t="b">
        <v>0</v>
      </c>
      <c r="AQ9" s="17">
        <f t="shared" si="9"/>
        <v>0</v>
      </c>
      <c r="AR9" s="12">
        <f t="shared" si="10"/>
        <v>2980.71</v>
      </c>
      <c r="AS9" s="18">
        <f t="shared" si="11"/>
        <v>0</v>
      </c>
      <c r="AT9" s="12">
        <f t="shared" si="12"/>
        <v>623.49000000000024</v>
      </c>
      <c r="AU9" s="18">
        <f t="shared" si="13"/>
        <v>0</v>
      </c>
      <c r="AV9" s="19">
        <f t="shared" si="14"/>
        <v>0.20917499521925992</v>
      </c>
      <c r="AW9" s="20" t="str">
        <f t="shared" si="15"/>
        <v>February</v>
      </c>
      <c r="AX9" s="21">
        <f t="shared" si="16"/>
        <v>2025</v>
      </c>
    </row>
    <row r="10" spans="1:50">
      <c r="A10" s="10" t="s">
        <v>116</v>
      </c>
      <c r="B10" s="11">
        <v>45601</v>
      </c>
      <c r="C10" s="11">
        <v>45606</v>
      </c>
      <c r="D10" s="10" t="s">
        <v>117</v>
      </c>
      <c r="E10" s="10" t="s">
        <v>118</v>
      </c>
      <c r="F10" s="10" t="s">
        <v>119</v>
      </c>
      <c r="G10" s="10" t="s">
        <v>83</v>
      </c>
      <c r="H10" s="10" t="s">
        <v>84</v>
      </c>
      <c r="I10" s="10" t="s">
        <v>85</v>
      </c>
      <c r="J10" s="10" t="s">
        <v>57</v>
      </c>
      <c r="K10" s="10" t="s">
        <v>120</v>
      </c>
      <c r="L10" s="10" t="s">
        <v>121</v>
      </c>
      <c r="M10" s="10" t="s">
        <v>79</v>
      </c>
      <c r="N10" s="12">
        <v>8</v>
      </c>
      <c r="O10" s="12">
        <v>3134.2</v>
      </c>
      <c r="P10" s="12">
        <v>0</v>
      </c>
      <c r="Q10" s="12">
        <v>25073.599999999999</v>
      </c>
      <c r="R10" s="12">
        <v>17347.23</v>
      </c>
      <c r="S10" s="12">
        <v>7726.37</v>
      </c>
      <c r="T10" s="10" t="s">
        <v>61</v>
      </c>
      <c r="U10" s="13" t="s">
        <v>62</v>
      </c>
      <c r="V10" s="14" t="e">
        <f t="shared" ca="1" si="0"/>
        <v>#NAME?</v>
      </c>
      <c r="W10" s="10" t="str">
        <f ca="1">IFERROR(__xludf.DUMMYFUNCTION("IF(COUNTIF($A:$A,A4)=1,
""Unique"",
IF(COUNTUNIQUE(FILTER($V$2:$V$934,$A$2:$A$934=A4))&gt;1,
""Conflicting Duplicate"",
""Exact Duplicate""))"),"Unique")</f>
        <v>Unique</v>
      </c>
      <c r="X10" s="10" t="b">
        <f t="shared" ca="1" si="1"/>
        <v>1</v>
      </c>
      <c r="Y10" s="10" t="str">
        <f t="shared" si="2"/>
        <v>Unique</v>
      </c>
      <c r="Z10" s="10"/>
      <c r="AA10" s="10" t="str">
        <f t="shared" si="3"/>
        <v>Clean</v>
      </c>
      <c r="AB10" s="15" t="str">
        <f t="shared" si="4"/>
        <v>Valid</v>
      </c>
      <c r="AC10" s="15">
        <v>5</v>
      </c>
      <c r="AD10" s="16" t="str">
        <f t="shared" si="5"/>
        <v>Valid</v>
      </c>
      <c r="AE10" s="16" t="str">
        <f t="shared" si="6"/>
        <v>Valid</v>
      </c>
      <c r="AF10" s="16" t="str">
        <f t="shared" ref="AF10:AG10" si="31">IF(ISNUMBER(B10),"Valid","Invalid")</f>
        <v>Valid</v>
      </c>
      <c r="AG10" s="16" t="str">
        <f t="shared" si="31"/>
        <v>Valid</v>
      </c>
      <c r="AH10" s="16" t="str">
        <f t="shared" ref="AH10:AI10" si="32">IF(OR(B10="",ISBLANK(B10)),"Missing","Valid")</f>
        <v>Valid</v>
      </c>
      <c r="AI10" s="16" t="str">
        <f t="shared" si="32"/>
        <v>Valid</v>
      </c>
      <c r="AJ10" s="16" t="b">
        <v>0</v>
      </c>
      <c r="AK10" s="16" t="b">
        <v>0</v>
      </c>
      <c r="AL10" s="16" t="b">
        <v>0</v>
      </c>
      <c r="AM10" s="16" t="b">
        <v>0</v>
      </c>
      <c r="AN10" s="16" t="b">
        <v>0</v>
      </c>
      <c r="AO10" s="16" t="b">
        <v>0</v>
      </c>
      <c r="AP10" s="16" t="b">
        <v>0</v>
      </c>
      <c r="AQ10" s="17">
        <f t="shared" si="9"/>
        <v>0</v>
      </c>
      <c r="AR10" s="12">
        <f t="shared" si="10"/>
        <v>25073.599999999999</v>
      </c>
      <c r="AS10" s="18">
        <f t="shared" si="11"/>
        <v>0</v>
      </c>
      <c r="AT10" s="12">
        <f t="shared" si="12"/>
        <v>7726.369999999999</v>
      </c>
      <c r="AU10" s="18">
        <f t="shared" si="13"/>
        <v>0</v>
      </c>
      <c r="AV10" s="19">
        <f t="shared" si="14"/>
        <v>0.30814761342607361</v>
      </c>
      <c r="AW10" s="20" t="str">
        <f t="shared" si="15"/>
        <v>November</v>
      </c>
      <c r="AX10" s="21">
        <f t="shared" si="16"/>
        <v>2024</v>
      </c>
    </row>
    <row r="11" spans="1:50">
      <c r="A11" s="10" t="s">
        <v>122</v>
      </c>
      <c r="B11" s="11">
        <v>45907</v>
      </c>
      <c r="C11" s="11">
        <v>45912</v>
      </c>
      <c r="D11" s="10" t="s">
        <v>123</v>
      </c>
      <c r="E11" s="10" t="s">
        <v>65</v>
      </c>
      <c r="F11" s="10" t="s">
        <v>124</v>
      </c>
      <c r="G11" s="10" t="s">
        <v>83</v>
      </c>
      <c r="H11" s="10" t="s">
        <v>84</v>
      </c>
      <c r="I11" s="10" t="s">
        <v>85</v>
      </c>
      <c r="J11" s="10" t="s">
        <v>57</v>
      </c>
      <c r="K11" s="10" t="s">
        <v>58</v>
      </c>
      <c r="L11" s="10" t="s">
        <v>125</v>
      </c>
      <c r="M11" s="10" t="s">
        <v>60</v>
      </c>
      <c r="N11" s="12">
        <v>9</v>
      </c>
      <c r="O11" s="12">
        <v>852.04</v>
      </c>
      <c r="P11" s="12">
        <v>0.2</v>
      </c>
      <c r="Q11" s="12">
        <v>6134.69</v>
      </c>
      <c r="R11" s="12">
        <v>3800.19</v>
      </c>
      <c r="S11" s="12">
        <v>2334.5</v>
      </c>
      <c r="T11" s="10" t="s">
        <v>61</v>
      </c>
      <c r="U11" s="13" t="s">
        <v>62</v>
      </c>
      <c r="V11" s="14" t="e">
        <f t="shared" ca="1" si="0"/>
        <v>#NAME?</v>
      </c>
      <c r="W11" s="10" t="str">
        <f ca="1">IFERROR(__xludf.DUMMYFUNCTION("IF(COUNTIF($A:$A,A5)=1,
""Unique"",
IF(COUNTUNIQUE(FILTER($V$2:$V$934,$A$2:$A$934=A5))&gt;1,
""Conflicting Duplicate"",
""Exact Duplicate""))"),"Unique")</f>
        <v>Unique</v>
      </c>
      <c r="X11" s="10" t="b">
        <f t="shared" ca="1" si="1"/>
        <v>1</v>
      </c>
      <c r="Y11" s="10" t="str">
        <f t="shared" si="2"/>
        <v>Unique</v>
      </c>
      <c r="Z11" s="10"/>
      <c r="AA11" s="10" t="str">
        <f t="shared" si="3"/>
        <v>Clean</v>
      </c>
      <c r="AB11" s="15" t="str">
        <f t="shared" si="4"/>
        <v>Valid</v>
      </c>
      <c r="AC11" s="15">
        <v>5</v>
      </c>
      <c r="AD11" s="16" t="str">
        <f t="shared" si="5"/>
        <v>Valid</v>
      </c>
      <c r="AE11" s="16" t="str">
        <f t="shared" si="6"/>
        <v>Valid</v>
      </c>
      <c r="AF11" s="16" t="str">
        <f t="shared" ref="AF11:AG11" si="33">IF(ISNUMBER(B11),"Valid","Invalid")</f>
        <v>Valid</v>
      </c>
      <c r="AG11" s="16" t="str">
        <f t="shared" si="33"/>
        <v>Valid</v>
      </c>
      <c r="AH11" s="16" t="str">
        <f t="shared" ref="AH11:AI11" si="34">IF(OR(B11="",ISBLANK(B11)),"Missing","Valid")</f>
        <v>Valid</v>
      </c>
      <c r="AI11" s="16" t="str">
        <f t="shared" si="34"/>
        <v>Valid</v>
      </c>
      <c r="AJ11" s="16" t="b">
        <v>0</v>
      </c>
      <c r="AK11" s="16" t="b">
        <v>0</v>
      </c>
      <c r="AL11" s="16" t="b">
        <v>0</v>
      </c>
      <c r="AM11" s="16" t="b">
        <v>0</v>
      </c>
      <c r="AN11" s="16" t="b">
        <v>0</v>
      </c>
      <c r="AO11" s="16" t="b">
        <v>0</v>
      </c>
      <c r="AP11" s="16" t="b">
        <v>0</v>
      </c>
      <c r="AQ11" s="17">
        <f t="shared" si="9"/>
        <v>0.2</v>
      </c>
      <c r="AR11" s="12">
        <f t="shared" si="10"/>
        <v>6134.6880000000001</v>
      </c>
      <c r="AS11" s="18">
        <f t="shared" si="11"/>
        <v>1.9999999994979589E-3</v>
      </c>
      <c r="AT11" s="12">
        <f t="shared" si="12"/>
        <v>2334.498</v>
      </c>
      <c r="AU11" s="18">
        <f t="shared" si="13"/>
        <v>1.9999999999527063E-3</v>
      </c>
      <c r="AV11" s="19">
        <f t="shared" si="14"/>
        <v>0.38054062407085737</v>
      </c>
      <c r="AW11" s="20" t="str">
        <f t="shared" si="15"/>
        <v>September</v>
      </c>
      <c r="AX11" s="21">
        <f t="shared" si="16"/>
        <v>2025</v>
      </c>
    </row>
    <row r="12" spans="1:50">
      <c r="A12" s="10" t="s">
        <v>126</v>
      </c>
      <c r="B12" s="11">
        <v>45797</v>
      </c>
      <c r="C12" s="11">
        <v>45797</v>
      </c>
      <c r="D12" s="10" t="s">
        <v>127</v>
      </c>
      <c r="E12" s="10" t="s">
        <v>91</v>
      </c>
      <c r="F12" s="10" t="s">
        <v>119</v>
      </c>
      <c r="G12" s="10" t="s">
        <v>67</v>
      </c>
      <c r="H12" s="10" t="s">
        <v>128</v>
      </c>
      <c r="I12" s="10" t="s">
        <v>129</v>
      </c>
      <c r="J12" s="10" t="s">
        <v>57</v>
      </c>
      <c r="K12" s="10" t="s">
        <v>120</v>
      </c>
      <c r="L12" s="10" t="s">
        <v>130</v>
      </c>
      <c r="M12" s="10" t="s">
        <v>60</v>
      </c>
      <c r="N12" s="12">
        <v>3</v>
      </c>
      <c r="O12" s="12">
        <v>3534.83</v>
      </c>
      <c r="P12" s="12">
        <v>0.05</v>
      </c>
      <c r="Q12" s="12">
        <v>10074.27</v>
      </c>
      <c r="R12" s="12">
        <v>6048.27</v>
      </c>
      <c r="S12" s="12">
        <v>4026</v>
      </c>
      <c r="T12" s="10" t="s">
        <v>131</v>
      </c>
      <c r="U12" s="13" t="s">
        <v>132</v>
      </c>
      <c r="V12" s="14" t="e">
        <f t="shared" ca="1" si="0"/>
        <v>#NAME?</v>
      </c>
      <c r="W12" s="10" t="str">
        <f ca="1">IFERROR(__xludf.DUMMYFUNCTION("IF(COUNTIF($A:$A,A6)=1,
""Unique"",
IF(COUNTUNIQUE(FILTER($V$2:$V$934,$A$2:$A$934=A6))&gt;1,
""Conflicting Duplicate"",
""Exact Duplicate""))"),"Unique")</f>
        <v>Unique</v>
      </c>
      <c r="X12" s="10" t="b">
        <f t="shared" ca="1" si="1"/>
        <v>1</v>
      </c>
      <c r="Y12" s="10" t="str">
        <f t="shared" si="2"/>
        <v>Unique</v>
      </c>
      <c r="Z12" s="10"/>
      <c r="AA12" s="10" t="str">
        <f t="shared" si="3"/>
        <v>Clean</v>
      </c>
      <c r="AB12" s="15" t="str">
        <f t="shared" si="4"/>
        <v>Valid</v>
      </c>
      <c r="AC12" s="15">
        <v>0</v>
      </c>
      <c r="AD12" s="16" t="str">
        <f t="shared" si="5"/>
        <v>Valid</v>
      </c>
      <c r="AE12" s="16" t="str">
        <f t="shared" si="6"/>
        <v>Valid</v>
      </c>
      <c r="AF12" s="16" t="str">
        <f t="shared" ref="AF12:AG12" si="35">IF(ISNUMBER(B12),"Valid","Invalid")</f>
        <v>Valid</v>
      </c>
      <c r="AG12" s="16" t="str">
        <f t="shared" si="35"/>
        <v>Valid</v>
      </c>
      <c r="AH12" s="16" t="str">
        <f t="shared" ref="AH12:AI12" si="36">IF(OR(B12="",ISBLANK(B12)),"Missing","Valid")</f>
        <v>Valid</v>
      </c>
      <c r="AI12" s="16" t="str">
        <f t="shared" si="36"/>
        <v>Valid</v>
      </c>
      <c r="AJ12" s="16" t="b">
        <v>0</v>
      </c>
      <c r="AK12" s="16" t="b">
        <v>0</v>
      </c>
      <c r="AL12" s="16" t="b">
        <v>0</v>
      </c>
      <c r="AM12" s="16" t="b">
        <v>0</v>
      </c>
      <c r="AN12" s="16" t="b">
        <v>0</v>
      </c>
      <c r="AO12" s="16" t="b">
        <v>0</v>
      </c>
      <c r="AP12" s="16" t="b">
        <v>0</v>
      </c>
      <c r="AQ12" s="17">
        <f t="shared" si="9"/>
        <v>0.05</v>
      </c>
      <c r="AR12" s="12">
        <f t="shared" si="10"/>
        <v>10074.2655</v>
      </c>
      <c r="AS12" s="18">
        <f t="shared" si="11"/>
        <v>4.5000000009167707E-3</v>
      </c>
      <c r="AT12" s="12">
        <f t="shared" si="12"/>
        <v>4025.9954999999991</v>
      </c>
      <c r="AU12" s="18">
        <f t="shared" si="13"/>
        <v>4.5000000009167707E-3</v>
      </c>
      <c r="AV12" s="19">
        <f t="shared" si="14"/>
        <v>0.39963166545491574</v>
      </c>
      <c r="AW12" s="20" t="str">
        <f t="shared" si="15"/>
        <v>May</v>
      </c>
      <c r="AX12" s="21">
        <f t="shared" si="16"/>
        <v>2025</v>
      </c>
    </row>
    <row r="13" spans="1:50">
      <c r="A13" s="10" t="s">
        <v>133</v>
      </c>
      <c r="B13" s="11">
        <v>45495</v>
      </c>
      <c r="C13" s="11">
        <v>45496</v>
      </c>
      <c r="D13" s="10" t="s">
        <v>134</v>
      </c>
      <c r="E13" s="10" t="s">
        <v>100</v>
      </c>
      <c r="F13" s="10" t="s">
        <v>66</v>
      </c>
      <c r="G13" s="10" t="s">
        <v>67</v>
      </c>
      <c r="H13" s="10" t="s">
        <v>68</v>
      </c>
      <c r="I13" s="10" t="s">
        <v>69</v>
      </c>
      <c r="J13" s="10" t="s">
        <v>103</v>
      </c>
      <c r="K13" s="10" t="s">
        <v>104</v>
      </c>
      <c r="L13" s="10" t="s">
        <v>135</v>
      </c>
      <c r="M13" s="10" t="s">
        <v>73</v>
      </c>
      <c r="N13" s="12">
        <v>6</v>
      </c>
      <c r="O13" s="12">
        <v>2005.95</v>
      </c>
      <c r="P13" s="12">
        <v>0.2</v>
      </c>
      <c r="Q13" s="12">
        <v>9628.56</v>
      </c>
      <c r="R13" s="12">
        <v>8038.59</v>
      </c>
      <c r="S13" s="12">
        <v>1589.97</v>
      </c>
      <c r="T13" s="10" t="s">
        <v>61</v>
      </c>
      <c r="U13" s="13" t="s">
        <v>62</v>
      </c>
      <c r="V13" s="14" t="e">
        <f t="shared" ca="1" si="0"/>
        <v>#NAME?</v>
      </c>
      <c r="W13" s="10" t="str">
        <f ca="1">IFERROR(__xludf.DUMMYFUNCTION("IF(COUNTIF($A:$A,A7)=1,
""Unique"",
IF(COUNTUNIQUE(FILTER($V$2:$V$934,$A$2:$A$934=A7))&gt;1,
""Conflicting Duplicate"",
""Exact Duplicate""))"),"Unique")</f>
        <v>Unique</v>
      </c>
      <c r="X13" s="10" t="b">
        <f t="shared" ca="1" si="1"/>
        <v>1</v>
      </c>
      <c r="Y13" s="10" t="str">
        <f t="shared" si="2"/>
        <v>Unique</v>
      </c>
      <c r="Z13" s="10"/>
      <c r="AA13" s="10" t="str">
        <f t="shared" si="3"/>
        <v>Clean</v>
      </c>
      <c r="AB13" s="15" t="str">
        <f t="shared" si="4"/>
        <v>Valid</v>
      </c>
      <c r="AC13" s="15">
        <v>1</v>
      </c>
      <c r="AD13" s="16" t="str">
        <f t="shared" si="5"/>
        <v>Valid</v>
      </c>
      <c r="AE13" s="16" t="str">
        <f t="shared" si="6"/>
        <v>Valid</v>
      </c>
      <c r="AF13" s="16" t="str">
        <f t="shared" ref="AF13:AG13" si="37">IF(ISNUMBER(B13),"Valid","Invalid")</f>
        <v>Valid</v>
      </c>
      <c r="AG13" s="16" t="str">
        <f t="shared" si="37"/>
        <v>Valid</v>
      </c>
      <c r="AH13" s="16" t="str">
        <f t="shared" ref="AH13:AI13" si="38">IF(OR(B13="",ISBLANK(B13)),"Missing","Valid")</f>
        <v>Valid</v>
      </c>
      <c r="AI13" s="16" t="str">
        <f t="shared" si="38"/>
        <v>Valid</v>
      </c>
      <c r="AJ13" s="16" t="b">
        <v>0</v>
      </c>
      <c r="AK13" s="16" t="b">
        <v>0</v>
      </c>
      <c r="AL13" s="16" t="b">
        <v>0</v>
      </c>
      <c r="AM13" s="16" t="b">
        <v>0</v>
      </c>
      <c r="AN13" s="16" t="b">
        <v>0</v>
      </c>
      <c r="AO13" s="16" t="b">
        <v>0</v>
      </c>
      <c r="AP13" s="16" t="b">
        <v>0</v>
      </c>
      <c r="AQ13" s="17">
        <f t="shared" si="9"/>
        <v>0.2</v>
      </c>
      <c r="AR13" s="12">
        <f t="shared" si="10"/>
        <v>9628.5600000000013</v>
      </c>
      <c r="AS13" s="18">
        <f t="shared" si="11"/>
        <v>0</v>
      </c>
      <c r="AT13" s="12">
        <f t="shared" si="12"/>
        <v>1589.9700000000012</v>
      </c>
      <c r="AU13" s="18">
        <f t="shared" si="13"/>
        <v>0</v>
      </c>
      <c r="AV13" s="19">
        <f t="shared" si="14"/>
        <v>0.16513061143099289</v>
      </c>
      <c r="AW13" s="20" t="str">
        <f t="shared" si="15"/>
        <v>July</v>
      </c>
      <c r="AX13" s="21">
        <f t="shared" si="16"/>
        <v>2024</v>
      </c>
    </row>
    <row r="14" spans="1:50">
      <c r="A14" s="10" t="s">
        <v>136</v>
      </c>
      <c r="B14" s="11">
        <v>45646</v>
      </c>
      <c r="C14" s="11">
        <v>45647</v>
      </c>
      <c r="D14" s="10" t="s">
        <v>137</v>
      </c>
      <c r="E14" s="10" t="s">
        <v>91</v>
      </c>
      <c r="F14" s="10" t="s">
        <v>119</v>
      </c>
      <c r="G14" s="10" t="s">
        <v>92</v>
      </c>
      <c r="H14" s="10" t="s">
        <v>55</v>
      </c>
      <c r="I14" s="10" t="s">
        <v>138</v>
      </c>
      <c r="J14" s="10" t="s">
        <v>57</v>
      </c>
      <c r="K14" s="10" t="s">
        <v>58</v>
      </c>
      <c r="L14" s="10" t="s">
        <v>139</v>
      </c>
      <c r="M14" s="10" t="s">
        <v>79</v>
      </c>
      <c r="N14" s="12">
        <v>1</v>
      </c>
      <c r="O14" s="12">
        <v>702.14</v>
      </c>
      <c r="P14" s="12">
        <v>0.15</v>
      </c>
      <c r="Q14" s="12">
        <v>596.82000000000005</v>
      </c>
      <c r="R14" s="12">
        <v>380.25</v>
      </c>
      <c r="S14" s="12">
        <v>216.57</v>
      </c>
      <c r="T14" s="10" t="s">
        <v>140</v>
      </c>
      <c r="U14" s="13" t="s">
        <v>132</v>
      </c>
      <c r="V14" s="14" t="e">
        <f t="shared" ca="1" si="0"/>
        <v>#NAME?</v>
      </c>
      <c r="W14" s="10" t="str">
        <f ca="1">IFERROR(__xludf.DUMMYFUNCTION("IF(COUNTIF($A:$A,A8)=1,
""Unique"",
IF(COUNTUNIQUE(FILTER($V$2:$V$934,$A$2:$A$934=A8))&gt;1,
""Conflicting Duplicate"",
""Exact Duplicate""))"),"Exact Duplicate")</f>
        <v>Exact Duplicate</v>
      </c>
      <c r="X14" s="10" t="b">
        <f t="shared" ca="1" si="1"/>
        <v>1</v>
      </c>
      <c r="Y14" s="10" t="str">
        <f t="shared" si="2"/>
        <v>Unique</v>
      </c>
      <c r="Z14" s="10"/>
      <c r="AA14" s="10" t="str">
        <f t="shared" si="3"/>
        <v>Clean</v>
      </c>
      <c r="AB14" s="15" t="str">
        <f t="shared" si="4"/>
        <v>Valid</v>
      </c>
      <c r="AC14" s="15">
        <v>1</v>
      </c>
      <c r="AD14" s="16" t="str">
        <f t="shared" si="5"/>
        <v>Valid</v>
      </c>
      <c r="AE14" s="16" t="str">
        <f t="shared" si="6"/>
        <v>Valid</v>
      </c>
      <c r="AF14" s="16" t="str">
        <f t="shared" ref="AF14:AG14" si="39">IF(ISNUMBER(B14),"Valid","Invalid")</f>
        <v>Valid</v>
      </c>
      <c r="AG14" s="16" t="str">
        <f t="shared" si="39"/>
        <v>Valid</v>
      </c>
      <c r="AH14" s="16" t="str">
        <f t="shared" ref="AH14:AI14" si="40">IF(OR(B14="",ISBLANK(B14)),"Missing","Valid")</f>
        <v>Valid</v>
      </c>
      <c r="AI14" s="16" t="str">
        <f t="shared" si="40"/>
        <v>Valid</v>
      </c>
      <c r="AJ14" s="16" t="b">
        <v>0</v>
      </c>
      <c r="AK14" s="16" t="b">
        <v>0</v>
      </c>
      <c r="AL14" s="16" t="b">
        <v>0</v>
      </c>
      <c r="AM14" s="16" t="b">
        <v>0</v>
      </c>
      <c r="AN14" s="16" t="b">
        <v>0</v>
      </c>
      <c r="AO14" s="16" t="b">
        <v>0</v>
      </c>
      <c r="AP14" s="16" t="b">
        <v>0</v>
      </c>
      <c r="AQ14" s="17">
        <f t="shared" si="9"/>
        <v>0.15</v>
      </c>
      <c r="AR14" s="12">
        <f t="shared" si="10"/>
        <v>596.81899999999996</v>
      </c>
      <c r="AS14" s="18">
        <f t="shared" si="11"/>
        <v>1.00000000009004E-3</v>
      </c>
      <c r="AT14" s="12">
        <f t="shared" si="12"/>
        <v>216.56899999999996</v>
      </c>
      <c r="AU14" s="18">
        <f t="shared" si="13"/>
        <v>1.0000000000331966E-3</v>
      </c>
      <c r="AV14" s="19">
        <f t="shared" si="14"/>
        <v>0.36287216057129545</v>
      </c>
      <c r="AW14" s="20" t="str">
        <f t="shared" si="15"/>
        <v>December</v>
      </c>
      <c r="AX14" s="21">
        <f t="shared" si="16"/>
        <v>2024</v>
      </c>
    </row>
    <row r="15" spans="1:50">
      <c r="A15" s="10" t="s">
        <v>141</v>
      </c>
      <c r="B15" s="11">
        <v>45942</v>
      </c>
      <c r="C15" s="11">
        <v>45946</v>
      </c>
      <c r="D15" s="10" t="s">
        <v>142</v>
      </c>
      <c r="E15" s="10" t="s">
        <v>143</v>
      </c>
      <c r="F15" s="10" t="s">
        <v>66</v>
      </c>
      <c r="G15" s="10" t="s">
        <v>92</v>
      </c>
      <c r="H15" s="10" t="s">
        <v>93</v>
      </c>
      <c r="I15" s="10" t="s">
        <v>94</v>
      </c>
      <c r="J15" s="10" t="s">
        <v>57</v>
      </c>
      <c r="K15" s="10" t="s">
        <v>77</v>
      </c>
      <c r="L15" s="10" t="s">
        <v>144</v>
      </c>
      <c r="M15" s="10" t="s">
        <v>60</v>
      </c>
      <c r="N15" s="12">
        <v>7</v>
      </c>
      <c r="O15" s="12">
        <v>3964.72</v>
      </c>
      <c r="P15" s="12">
        <v>0.05</v>
      </c>
      <c r="Q15" s="12">
        <v>26365.39</v>
      </c>
      <c r="R15" s="12">
        <v>22306.240000000002</v>
      </c>
      <c r="S15" s="12">
        <v>4059.15</v>
      </c>
      <c r="T15" s="10" t="s">
        <v>61</v>
      </c>
      <c r="U15" s="13" t="s">
        <v>62</v>
      </c>
      <c r="V15" s="14" t="e">
        <f t="shared" ca="1" si="0"/>
        <v>#NAME?</v>
      </c>
      <c r="W15" s="10" t="str">
        <f ca="1">IFERROR(__xludf.DUMMYFUNCTION("IF(COUNTIF($A:$A,A9)=1,
""Unique"",
IF(COUNTUNIQUE(FILTER($V$2:$V$934,$A$2:$A$934=A9))&gt;1,
""Conflicting Duplicate"",
""Exact Duplicate""))"),"Unique")</f>
        <v>Unique</v>
      </c>
      <c r="X15" s="10" t="b">
        <f t="shared" ca="1" si="1"/>
        <v>1</v>
      </c>
      <c r="Y15" s="10" t="str">
        <f t="shared" si="2"/>
        <v>Unique</v>
      </c>
      <c r="Z15" s="10"/>
      <c r="AA15" s="10" t="str">
        <f t="shared" si="3"/>
        <v>Clean</v>
      </c>
      <c r="AB15" s="15" t="str">
        <f t="shared" si="4"/>
        <v>Valid</v>
      </c>
      <c r="AC15" s="15">
        <v>4</v>
      </c>
      <c r="AD15" s="16" t="str">
        <f t="shared" si="5"/>
        <v>Valid</v>
      </c>
      <c r="AE15" s="16" t="str">
        <f t="shared" si="6"/>
        <v>Valid</v>
      </c>
      <c r="AF15" s="16" t="str">
        <f t="shared" ref="AF15:AG15" si="41">IF(ISNUMBER(B15),"Valid","Invalid")</f>
        <v>Valid</v>
      </c>
      <c r="AG15" s="16" t="str">
        <f t="shared" si="41"/>
        <v>Valid</v>
      </c>
      <c r="AH15" s="16" t="str">
        <f t="shared" ref="AH15:AI15" si="42">IF(OR(B15="",ISBLANK(B15)),"Missing","Valid")</f>
        <v>Valid</v>
      </c>
      <c r="AI15" s="16" t="str">
        <f t="shared" si="42"/>
        <v>Valid</v>
      </c>
      <c r="AJ15" s="16" t="b">
        <v>0</v>
      </c>
      <c r="AK15" s="16" t="b">
        <v>0</v>
      </c>
      <c r="AL15" s="16" t="b">
        <v>0</v>
      </c>
      <c r="AM15" s="16" t="b">
        <v>0</v>
      </c>
      <c r="AN15" s="16" t="b">
        <v>0</v>
      </c>
      <c r="AO15" s="16" t="b">
        <v>0</v>
      </c>
      <c r="AP15" s="16" t="b">
        <v>0</v>
      </c>
      <c r="AQ15" s="17">
        <f t="shared" si="9"/>
        <v>0.05</v>
      </c>
      <c r="AR15" s="12">
        <f t="shared" si="10"/>
        <v>26365.387999999995</v>
      </c>
      <c r="AS15" s="18">
        <f t="shared" si="11"/>
        <v>2.0000000040454324E-3</v>
      </c>
      <c r="AT15" s="12">
        <f t="shared" si="12"/>
        <v>4059.1479999999938</v>
      </c>
      <c r="AU15" s="18">
        <f t="shared" si="13"/>
        <v>2.0000000063191692E-3</v>
      </c>
      <c r="AV15" s="19">
        <f t="shared" si="14"/>
        <v>0.15395745361304733</v>
      </c>
      <c r="AW15" s="20" t="str">
        <f t="shared" si="15"/>
        <v>October</v>
      </c>
      <c r="AX15" s="21">
        <f t="shared" si="16"/>
        <v>2025</v>
      </c>
    </row>
    <row r="16" spans="1:50">
      <c r="A16" s="10" t="s">
        <v>145</v>
      </c>
      <c r="B16" s="11">
        <v>45653</v>
      </c>
      <c r="C16" s="11">
        <v>45654</v>
      </c>
      <c r="D16" s="10" t="s">
        <v>146</v>
      </c>
      <c r="E16" s="10" t="s">
        <v>147</v>
      </c>
      <c r="F16" s="10" t="s">
        <v>53</v>
      </c>
      <c r="G16" s="10" t="s">
        <v>92</v>
      </c>
      <c r="H16" s="10" t="s">
        <v>55</v>
      </c>
      <c r="I16" s="10" t="s">
        <v>138</v>
      </c>
      <c r="J16" s="10" t="s">
        <v>103</v>
      </c>
      <c r="K16" s="10" t="s">
        <v>109</v>
      </c>
      <c r="L16" s="10" t="s">
        <v>148</v>
      </c>
      <c r="M16" s="10" t="s">
        <v>88</v>
      </c>
      <c r="N16" s="12">
        <v>2</v>
      </c>
      <c r="O16" s="12">
        <v>2737.83</v>
      </c>
      <c r="P16" s="12">
        <v>0.25</v>
      </c>
      <c r="Q16" s="12">
        <v>4106.74</v>
      </c>
      <c r="R16" s="12">
        <v>2666.3</v>
      </c>
      <c r="S16" s="12">
        <v>1440.44</v>
      </c>
      <c r="T16" s="10" t="s">
        <v>61</v>
      </c>
      <c r="U16" s="13" t="s">
        <v>62</v>
      </c>
      <c r="V16" s="14" t="e">
        <f t="shared" ca="1" si="0"/>
        <v>#NAME?</v>
      </c>
      <c r="W16" s="10" t="str">
        <f ca="1">IFERROR(__xludf.DUMMYFUNCTION("IF(COUNTIF($A:$A,A10)=1,
""Unique"",
IF(COUNTUNIQUE(FILTER($V$2:$V$934,$A$2:$A$934=A10))&gt;1,
""Conflicting Duplicate"",
""Exact Duplicate""))"),"Unique")</f>
        <v>Unique</v>
      </c>
      <c r="X16" s="10" t="b">
        <f t="shared" ca="1" si="1"/>
        <v>1</v>
      </c>
      <c r="Y16" s="10" t="str">
        <f t="shared" si="2"/>
        <v>Unique</v>
      </c>
      <c r="Z16" s="10"/>
      <c r="AA16" s="10" t="str">
        <f t="shared" si="3"/>
        <v>Clean</v>
      </c>
      <c r="AB16" s="15" t="str">
        <f t="shared" si="4"/>
        <v>Valid</v>
      </c>
      <c r="AC16" s="15">
        <v>1</v>
      </c>
      <c r="AD16" s="16" t="str">
        <f t="shared" si="5"/>
        <v>Valid</v>
      </c>
      <c r="AE16" s="16" t="str">
        <f t="shared" si="6"/>
        <v>Valid</v>
      </c>
      <c r="AF16" s="16" t="str">
        <f t="shared" ref="AF16:AG16" si="43">IF(ISNUMBER(B16),"Valid","Invalid")</f>
        <v>Valid</v>
      </c>
      <c r="AG16" s="16" t="str">
        <f t="shared" si="43"/>
        <v>Valid</v>
      </c>
      <c r="AH16" s="16" t="str">
        <f t="shared" ref="AH16:AI16" si="44">IF(OR(B16="",ISBLANK(B16)),"Missing","Valid")</f>
        <v>Valid</v>
      </c>
      <c r="AI16" s="16" t="str">
        <f t="shared" si="44"/>
        <v>Valid</v>
      </c>
      <c r="AJ16" s="16" t="b">
        <v>0</v>
      </c>
      <c r="AK16" s="16" t="b">
        <v>0</v>
      </c>
      <c r="AL16" s="16" t="b">
        <v>0</v>
      </c>
      <c r="AM16" s="16" t="b">
        <v>0</v>
      </c>
      <c r="AN16" s="16" t="b">
        <v>0</v>
      </c>
      <c r="AO16" s="16" t="b">
        <v>0</v>
      </c>
      <c r="AP16" s="16" t="b">
        <v>0</v>
      </c>
      <c r="AQ16" s="17">
        <f t="shared" si="9"/>
        <v>0.25</v>
      </c>
      <c r="AR16" s="12">
        <f t="shared" si="10"/>
        <v>4106.7449999999999</v>
      </c>
      <c r="AS16" s="18">
        <f t="shared" si="11"/>
        <v>-5.0000000001091394E-3</v>
      </c>
      <c r="AT16" s="12">
        <f t="shared" si="12"/>
        <v>1440.4449999999997</v>
      </c>
      <c r="AU16" s="18">
        <f t="shared" si="13"/>
        <v>-4.999999999654392E-3</v>
      </c>
      <c r="AV16" s="19">
        <f t="shared" si="14"/>
        <v>0.35075102057712365</v>
      </c>
      <c r="AW16" s="20" t="str">
        <f t="shared" si="15"/>
        <v>December</v>
      </c>
      <c r="AX16" s="21">
        <f t="shared" si="16"/>
        <v>2024</v>
      </c>
    </row>
    <row r="17" spans="1:50">
      <c r="A17" s="10" t="s">
        <v>149</v>
      </c>
      <c r="B17" s="11">
        <v>45482</v>
      </c>
      <c r="C17" s="11">
        <v>45482</v>
      </c>
      <c r="D17" s="10" t="s">
        <v>150</v>
      </c>
      <c r="E17" s="10" t="s">
        <v>52</v>
      </c>
      <c r="F17" s="10" t="s">
        <v>66</v>
      </c>
      <c r="G17" s="10" t="s">
        <v>54</v>
      </c>
      <c r="H17" s="10" t="s">
        <v>151</v>
      </c>
      <c r="I17" s="10" t="s">
        <v>152</v>
      </c>
      <c r="J17" s="10" t="s">
        <v>57</v>
      </c>
      <c r="K17" s="10" t="s">
        <v>153</v>
      </c>
      <c r="L17" s="10" t="s">
        <v>154</v>
      </c>
      <c r="M17" s="10" t="s">
        <v>60</v>
      </c>
      <c r="N17" s="12">
        <v>6</v>
      </c>
      <c r="O17" s="12">
        <v>3965.76</v>
      </c>
      <c r="P17" s="12">
        <v>0</v>
      </c>
      <c r="Q17" s="12">
        <v>23794.560000000001</v>
      </c>
      <c r="R17" s="12">
        <v>15698.47</v>
      </c>
      <c r="S17" s="12">
        <v>8096.09</v>
      </c>
      <c r="T17" s="10" t="s">
        <v>61</v>
      </c>
      <c r="U17" s="13" t="s">
        <v>62</v>
      </c>
      <c r="V17" s="14" t="e">
        <f t="shared" ca="1" si="0"/>
        <v>#NAME?</v>
      </c>
      <c r="W17" s="10" t="str">
        <f ca="1">IFERROR(__xludf.DUMMYFUNCTION("IF(COUNTIF($A:$A,A11)=1,
""Unique"",
IF(COUNTUNIQUE(FILTER($V$2:$V$934,$A$2:$A$934=A11))&gt;1,
""Conflicting Duplicate"",
""Exact Duplicate""))"),"Unique")</f>
        <v>Unique</v>
      </c>
      <c r="X17" s="10" t="b">
        <f t="shared" ca="1" si="1"/>
        <v>1</v>
      </c>
      <c r="Y17" s="10" t="str">
        <f t="shared" si="2"/>
        <v>Unique</v>
      </c>
      <c r="Z17" s="10"/>
      <c r="AA17" s="10" t="str">
        <f t="shared" si="3"/>
        <v>Clean</v>
      </c>
      <c r="AB17" s="15" t="str">
        <f t="shared" si="4"/>
        <v>Valid</v>
      </c>
      <c r="AC17" s="15">
        <v>0</v>
      </c>
      <c r="AD17" s="16" t="str">
        <f t="shared" si="5"/>
        <v>Valid</v>
      </c>
      <c r="AE17" s="16" t="str">
        <f t="shared" si="6"/>
        <v>Valid</v>
      </c>
      <c r="AF17" s="16" t="str">
        <f t="shared" ref="AF17:AG17" si="45">IF(ISNUMBER(B17),"Valid","Invalid")</f>
        <v>Valid</v>
      </c>
      <c r="AG17" s="16" t="str">
        <f t="shared" si="45"/>
        <v>Valid</v>
      </c>
      <c r="AH17" s="16" t="str">
        <f t="shared" ref="AH17:AI17" si="46">IF(OR(B17="",ISBLANK(B17)),"Missing","Valid")</f>
        <v>Valid</v>
      </c>
      <c r="AI17" s="16" t="str">
        <f t="shared" si="46"/>
        <v>Valid</v>
      </c>
      <c r="AJ17" s="16" t="b">
        <v>0</v>
      </c>
      <c r="AK17" s="16" t="b">
        <v>0</v>
      </c>
      <c r="AL17" s="16" t="b">
        <v>0</v>
      </c>
      <c r="AM17" s="16" t="b">
        <v>0</v>
      </c>
      <c r="AN17" s="16" t="b">
        <v>0</v>
      </c>
      <c r="AO17" s="16" t="b">
        <v>0</v>
      </c>
      <c r="AP17" s="16" t="b">
        <v>0</v>
      </c>
      <c r="AQ17" s="17">
        <f t="shared" si="9"/>
        <v>0</v>
      </c>
      <c r="AR17" s="12">
        <f t="shared" si="10"/>
        <v>23794.560000000001</v>
      </c>
      <c r="AS17" s="18">
        <f t="shared" si="11"/>
        <v>0</v>
      </c>
      <c r="AT17" s="12">
        <f t="shared" si="12"/>
        <v>8096.090000000002</v>
      </c>
      <c r="AU17" s="18">
        <f t="shared" si="13"/>
        <v>0</v>
      </c>
      <c r="AV17" s="19">
        <f t="shared" si="14"/>
        <v>0.34024962008122872</v>
      </c>
      <c r="AW17" s="20" t="str">
        <f t="shared" si="15"/>
        <v>July</v>
      </c>
      <c r="AX17" s="21">
        <f t="shared" si="16"/>
        <v>2024</v>
      </c>
    </row>
    <row r="18" spans="1:50">
      <c r="A18" s="10" t="s">
        <v>155</v>
      </c>
      <c r="B18" s="11">
        <v>45420</v>
      </c>
      <c r="C18" s="11">
        <v>45427</v>
      </c>
      <c r="D18" s="10" t="s">
        <v>156</v>
      </c>
      <c r="E18" s="10" t="s">
        <v>157</v>
      </c>
      <c r="F18" s="10" t="s">
        <v>53</v>
      </c>
      <c r="G18" s="10" t="s">
        <v>83</v>
      </c>
      <c r="H18" s="10" t="s">
        <v>84</v>
      </c>
      <c r="I18" s="10" t="s">
        <v>85</v>
      </c>
      <c r="J18" s="10" t="s">
        <v>57</v>
      </c>
      <c r="K18" s="10" t="s">
        <v>77</v>
      </c>
      <c r="L18" s="10" t="s">
        <v>158</v>
      </c>
      <c r="M18" s="10" t="s">
        <v>79</v>
      </c>
      <c r="N18" s="12">
        <v>4</v>
      </c>
      <c r="O18" s="12">
        <v>3323.51</v>
      </c>
      <c r="P18" s="12">
        <v>0.25</v>
      </c>
      <c r="Q18" s="12">
        <v>9970.5300000000007</v>
      </c>
      <c r="R18" s="12">
        <v>5668.17</v>
      </c>
      <c r="S18" s="12">
        <v>4302.3599999999997</v>
      </c>
      <c r="T18" s="10" t="s">
        <v>61</v>
      </c>
      <c r="U18" s="13" t="s">
        <v>62</v>
      </c>
      <c r="V18" s="14" t="e">
        <f t="shared" ca="1" si="0"/>
        <v>#NAME?</v>
      </c>
      <c r="W18" s="10" t="str">
        <f ca="1">IFERROR(__xludf.DUMMYFUNCTION("IF(COUNTIF($A:$A,A12)=1,
""Unique"",
IF(COUNTUNIQUE(FILTER($V$2:$V$934,$A$2:$A$934=A12))&gt;1,
""Conflicting Duplicate"",
""Exact Duplicate""))"),"Unique")</f>
        <v>Unique</v>
      </c>
      <c r="X18" s="10" t="b">
        <f t="shared" ca="1" si="1"/>
        <v>1</v>
      </c>
      <c r="Y18" s="10" t="str">
        <f t="shared" si="2"/>
        <v>Unique</v>
      </c>
      <c r="Z18" s="10"/>
      <c r="AA18" s="10" t="str">
        <f t="shared" si="3"/>
        <v>Clean</v>
      </c>
      <c r="AB18" s="15" t="str">
        <f t="shared" si="4"/>
        <v>Valid</v>
      </c>
      <c r="AC18" s="15">
        <v>7</v>
      </c>
      <c r="AD18" s="16" t="str">
        <f t="shared" si="5"/>
        <v>Valid</v>
      </c>
      <c r="AE18" s="16" t="str">
        <f t="shared" si="6"/>
        <v>Valid</v>
      </c>
      <c r="AF18" s="16" t="str">
        <f t="shared" ref="AF18:AG18" si="47">IF(ISNUMBER(B18),"Valid","Invalid")</f>
        <v>Valid</v>
      </c>
      <c r="AG18" s="16" t="str">
        <f t="shared" si="47"/>
        <v>Valid</v>
      </c>
      <c r="AH18" s="16" t="str">
        <f t="shared" ref="AH18:AI18" si="48">IF(OR(B18="",ISBLANK(B18)),"Missing","Valid")</f>
        <v>Valid</v>
      </c>
      <c r="AI18" s="16" t="str">
        <f t="shared" si="48"/>
        <v>Valid</v>
      </c>
      <c r="AJ18" s="16" t="b">
        <v>0</v>
      </c>
      <c r="AK18" s="16" t="b">
        <v>0</v>
      </c>
      <c r="AL18" s="16" t="b">
        <v>0</v>
      </c>
      <c r="AM18" s="16" t="b">
        <v>0</v>
      </c>
      <c r="AN18" s="16" t="b">
        <v>0</v>
      </c>
      <c r="AO18" s="16" t="b">
        <v>0</v>
      </c>
      <c r="AP18" s="16" t="b">
        <v>0</v>
      </c>
      <c r="AQ18" s="17">
        <f t="shared" si="9"/>
        <v>0.25</v>
      </c>
      <c r="AR18" s="12">
        <f t="shared" si="10"/>
        <v>9970.5300000000007</v>
      </c>
      <c r="AS18" s="18">
        <f t="shared" si="11"/>
        <v>0</v>
      </c>
      <c r="AT18" s="12">
        <f t="shared" si="12"/>
        <v>4302.3600000000006</v>
      </c>
      <c r="AU18" s="18">
        <f t="shared" si="13"/>
        <v>0</v>
      </c>
      <c r="AV18" s="19">
        <f t="shared" si="14"/>
        <v>0.43150765305354882</v>
      </c>
      <c r="AW18" s="20" t="str">
        <f t="shared" si="15"/>
        <v>May</v>
      </c>
      <c r="AX18" s="21">
        <f t="shared" si="16"/>
        <v>2024</v>
      </c>
    </row>
    <row r="19" spans="1:50">
      <c r="A19" s="10" t="s">
        <v>159</v>
      </c>
      <c r="B19" s="11">
        <v>45298</v>
      </c>
      <c r="C19" s="11">
        <v>45299</v>
      </c>
      <c r="D19" s="10" t="s">
        <v>160</v>
      </c>
      <c r="E19" s="10" t="s">
        <v>161</v>
      </c>
      <c r="F19" s="10" t="s">
        <v>66</v>
      </c>
      <c r="G19" s="10" t="s">
        <v>54</v>
      </c>
      <c r="H19" s="10" t="s">
        <v>55</v>
      </c>
      <c r="I19" s="10" t="s">
        <v>56</v>
      </c>
      <c r="J19" s="10" t="s">
        <v>70</v>
      </c>
      <c r="K19" s="10" t="s">
        <v>86</v>
      </c>
      <c r="L19" s="10" t="s">
        <v>162</v>
      </c>
      <c r="M19" s="10" t="s">
        <v>73</v>
      </c>
      <c r="N19" s="12">
        <v>5</v>
      </c>
      <c r="O19" s="12">
        <v>1526.78</v>
      </c>
      <c r="P19" s="12">
        <v>0</v>
      </c>
      <c r="Q19" s="12">
        <v>7633.9</v>
      </c>
      <c r="R19" s="12">
        <v>4706.91</v>
      </c>
      <c r="S19" s="12">
        <v>2926.99</v>
      </c>
      <c r="T19" s="10" t="s">
        <v>61</v>
      </c>
      <c r="U19" s="13" t="s">
        <v>62</v>
      </c>
      <c r="V19" s="14" t="e">
        <f t="shared" ca="1" si="0"/>
        <v>#NAME?</v>
      </c>
      <c r="W19" s="10" t="str">
        <f ca="1">IFERROR(__xludf.DUMMYFUNCTION("IF(COUNTIF($A:$A,A13)=1,
""Unique"",
IF(COUNTUNIQUE(FILTER($V$2:$V$934,$A$2:$A$934=A13))&gt;1,
""Conflicting Duplicate"",
""Exact Duplicate""))"),"Unique")</f>
        <v>Unique</v>
      </c>
      <c r="X19" s="10" t="b">
        <f t="shared" ca="1" si="1"/>
        <v>1</v>
      </c>
      <c r="Y19" s="10" t="str">
        <f t="shared" si="2"/>
        <v>Unique</v>
      </c>
      <c r="Z19" s="10"/>
      <c r="AA19" s="10" t="str">
        <f t="shared" si="3"/>
        <v>Clean</v>
      </c>
      <c r="AB19" s="15" t="str">
        <f t="shared" si="4"/>
        <v>Valid</v>
      </c>
      <c r="AC19" s="15">
        <v>1</v>
      </c>
      <c r="AD19" s="16" t="str">
        <f t="shared" si="5"/>
        <v>Valid</v>
      </c>
      <c r="AE19" s="16" t="str">
        <f t="shared" si="6"/>
        <v>Valid</v>
      </c>
      <c r="AF19" s="16" t="str">
        <f t="shared" ref="AF19:AG19" si="49">IF(ISNUMBER(B19),"Valid","Invalid")</f>
        <v>Valid</v>
      </c>
      <c r="AG19" s="16" t="str">
        <f t="shared" si="49"/>
        <v>Valid</v>
      </c>
      <c r="AH19" s="16" t="str">
        <f t="shared" ref="AH19:AI19" si="50">IF(OR(B19="",ISBLANK(B19)),"Missing","Valid")</f>
        <v>Valid</v>
      </c>
      <c r="AI19" s="16" t="str">
        <f t="shared" si="50"/>
        <v>Valid</v>
      </c>
      <c r="AJ19" s="16" t="b">
        <v>0</v>
      </c>
      <c r="AK19" s="16" t="b">
        <v>0</v>
      </c>
      <c r="AL19" s="16" t="b">
        <v>0</v>
      </c>
      <c r="AM19" s="16" t="b">
        <v>0</v>
      </c>
      <c r="AN19" s="16" t="b">
        <v>0</v>
      </c>
      <c r="AO19" s="16" t="b">
        <v>0</v>
      </c>
      <c r="AP19" s="16" t="b">
        <v>0</v>
      </c>
      <c r="AQ19" s="17">
        <f t="shared" si="9"/>
        <v>0</v>
      </c>
      <c r="AR19" s="12">
        <f t="shared" si="10"/>
        <v>7633.9</v>
      </c>
      <c r="AS19" s="18">
        <f t="shared" si="11"/>
        <v>0</v>
      </c>
      <c r="AT19" s="12">
        <f t="shared" si="12"/>
        <v>2926.99</v>
      </c>
      <c r="AU19" s="18">
        <f t="shared" si="13"/>
        <v>0</v>
      </c>
      <c r="AV19" s="19">
        <f t="shared" si="14"/>
        <v>0.38342000812166782</v>
      </c>
      <c r="AW19" s="20" t="str">
        <f t="shared" si="15"/>
        <v>January</v>
      </c>
      <c r="AX19" s="21">
        <f t="shared" si="16"/>
        <v>2024</v>
      </c>
    </row>
    <row r="20" spans="1:50">
      <c r="A20" s="10" t="s">
        <v>163</v>
      </c>
      <c r="B20" s="11">
        <v>45853</v>
      </c>
      <c r="C20" s="11">
        <v>45855</v>
      </c>
      <c r="D20" s="10" t="s">
        <v>164</v>
      </c>
      <c r="E20" s="10" t="s">
        <v>157</v>
      </c>
      <c r="F20" s="10" t="s">
        <v>124</v>
      </c>
      <c r="G20" s="10" t="s">
        <v>54</v>
      </c>
      <c r="H20" s="10" t="s">
        <v>165</v>
      </c>
      <c r="I20" s="10" t="s">
        <v>166</v>
      </c>
      <c r="J20" s="10" t="s">
        <v>103</v>
      </c>
      <c r="K20" s="10" t="s">
        <v>109</v>
      </c>
      <c r="L20" s="10" t="s">
        <v>167</v>
      </c>
      <c r="M20" s="10" t="s">
        <v>79</v>
      </c>
      <c r="N20" s="12">
        <v>2</v>
      </c>
      <c r="O20" s="12">
        <v>1997.99</v>
      </c>
      <c r="P20" s="12">
        <v>0</v>
      </c>
      <c r="Q20" s="12">
        <v>3995.98</v>
      </c>
      <c r="R20" s="12">
        <v>2633.2</v>
      </c>
      <c r="S20" s="12">
        <v>1362.78</v>
      </c>
      <c r="T20" s="10" t="s">
        <v>131</v>
      </c>
      <c r="U20" s="13" t="s">
        <v>97</v>
      </c>
      <c r="V20" s="14" t="e">
        <f t="shared" ca="1" si="0"/>
        <v>#NAME?</v>
      </c>
      <c r="W20" s="10" t="str">
        <f ca="1">IFERROR(__xludf.DUMMYFUNCTION("IF(COUNTIF($A:$A,A14)=1,
""Unique"",
IF(COUNTUNIQUE(FILTER($V$2:$V$934,$A$2:$A$934=A14))&gt;1,
""Conflicting Duplicate"",
""Exact Duplicate""))"),"Unique")</f>
        <v>Unique</v>
      </c>
      <c r="X20" s="10" t="b">
        <f t="shared" ca="1" si="1"/>
        <v>1</v>
      </c>
      <c r="Y20" s="10" t="str">
        <f t="shared" si="2"/>
        <v>Unique</v>
      </c>
      <c r="Z20" s="10"/>
      <c r="AA20" s="10" t="str">
        <f t="shared" si="3"/>
        <v>Clean</v>
      </c>
      <c r="AB20" s="15" t="str">
        <f t="shared" si="4"/>
        <v>Valid</v>
      </c>
      <c r="AC20" s="15">
        <v>2</v>
      </c>
      <c r="AD20" s="16" t="str">
        <f t="shared" si="5"/>
        <v>Valid</v>
      </c>
      <c r="AE20" s="16" t="str">
        <f t="shared" si="6"/>
        <v>Valid</v>
      </c>
      <c r="AF20" s="16" t="str">
        <f t="shared" ref="AF20:AG20" si="51">IF(ISNUMBER(B20),"Valid","Invalid")</f>
        <v>Valid</v>
      </c>
      <c r="AG20" s="16" t="str">
        <f t="shared" si="51"/>
        <v>Valid</v>
      </c>
      <c r="AH20" s="16" t="str">
        <f t="shared" ref="AH20:AI20" si="52">IF(OR(B20="",ISBLANK(B20)),"Missing","Valid")</f>
        <v>Valid</v>
      </c>
      <c r="AI20" s="16" t="str">
        <f t="shared" si="52"/>
        <v>Valid</v>
      </c>
      <c r="AJ20" s="16" t="b">
        <v>0</v>
      </c>
      <c r="AK20" s="16" t="b">
        <v>0</v>
      </c>
      <c r="AL20" s="16" t="b">
        <v>0</v>
      </c>
      <c r="AM20" s="16" t="b">
        <v>0</v>
      </c>
      <c r="AN20" s="16" t="b">
        <v>0</v>
      </c>
      <c r="AO20" s="16" t="b">
        <v>0</v>
      </c>
      <c r="AP20" s="16" t="b">
        <v>0</v>
      </c>
      <c r="AQ20" s="17">
        <f t="shared" si="9"/>
        <v>0</v>
      </c>
      <c r="AR20" s="12">
        <f t="shared" si="10"/>
        <v>3995.98</v>
      </c>
      <c r="AS20" s="18">
        <f t="shared" si="11"/>
        <v>0</v>
      </c>
      <c r="AT20" s="12">
        <f t="shared" si="12"/>
        <v>1362.7800000000002</v>
      </c>
      <c r="AU20" s="18">
        <f t="shared" si="13"/>
        <v>0</v>
      </c>
      <c r="AV20" s="19">
        <f t="shared" si="14"/>
        <v>0.34103774293164635</v>
      </c>
      <c r="AW20" s="20" t="str">
        <f t="shared" si="15"/>
        <v>July</v>
      </c>
      <c r="AX20" s="21">
        <f t="shared" si="16"/>
        <v>2025</v>
      </c>
    </row>
    <row r="21" spans="1:50" ht="15.75" customHeight="1">
      <c r="A21" s="10" t="s">
        <v>168</v>
      </c>
      <c r="B21" s="11">
        <v>45500</v>
      </c>
      <c r="C21" s="11">
        <v>45504</v>
      </c>
      <c r="D21" s="10" t="s">
        <v>169</v>
      </c>
      <c r="E21" s="10" t="s">
        <v>170</v>
      </c>
      <c r="F21" s="10" t="s">
        <v>124</v>
      </c>
      <c r="G21" s="10" t="s">
        <v>92</v>
      </c>
      <c r="H21" s="10" t="s">
        <v>101</v>
      </c>
      <c r="I21" s="10" t="s">
        <v>102</v>
      </c>
      <c r="J21" s="10" t="s">
        <v>57</v>
      </c>
      <c r="K21" s="10" t="s">
        <v>153</v>
      </c>
      <c r="L21" s="10" t="s">
        <v>171</v>
      </c>
      <c r="M21" s="10" t="s">
        <v>60</v>
      </c>
      <c r="N21" s="12">
        <v>3</v>
      </c>
      <c r="O21" s="12">
        <v>3887.94</v>
      </c>
      <c r="P21" s="12">
        <v>-0.19</v>
      </c>
      <c r="Q21" s="12">
        <v>9331.06</v>
      </c>
      <c r="R21" s="12">
        <v>7529.31</v>
      </c>
      <c r="S21" s="12">
        <v>1801.75</v>
      </c>
      <c r="T21" s="10" t="s">
        <v>61</v>
      </c>
      <c r="U21" s="13" t="s">
        <v>62</v>
      </c>
      <c r="V21" s="14" t="e">
        <f t="shared" ca="1" si="0"/>
        <v>#NAME?</v>
      </c>
      <c r="W21" s="10" t="str">
        <f ca="1">IFERROR(__xludf.DUMMYFUNCTION("IF(COUNTIF($A:$A,A15)=1,
""Unique"",
IF(COUNTUNIQUE(FILTER($V$2:$V$934,$A$2:$A$934=A15))&gt;1,
""Conflicting Duplicate"",
""Exact Duplicate""))"),"Unique")</f>
        <v>Unique</v>
      </c>
      <c r="X21" s="10" t="b">
        <f t="shared" ca="1" si="1"/>
        <v>1</v>
      </c>
      <c r="Y21" s="10" t="str">
        <f t="shared" si="2"/>
        <v>Unique</v>
      </c>
      <c r="Z21" s="10"/>
      <c r="AA21" s="10" t="str">
        <f t="shared" si="3"/>
        <v>Invalid</v>
      </c>
      <c r="AB21" s="15" t="str">
        <f t="shared" si="4"/>
        <v>Valid</v>
      </c>
      <c r="AC21" s="15">
        <v>4</v>
      </c>
      <c r="AD21" s="16" t="str">
        <f t="shared" si="5"/>
        <v>Valid</v>
      </c>
      <c r="AE21" s="16" t="str">
        <f t="shared" si="6"/>
        <v>Valid</v>
      </c>
      <c r="AF21" s="16" t="str">
        <f t="shared" ref="AF21:AG21" si="53">IF(ISNUMBER(B21),"Valid","Invalid")</f>
        <v>Valid</v>
      </c>
      <c r="AG21" s="16" t="str">
        <f t="shared" si="53"/>
        <v>Valid</v>
      </c>
      <c r="AH21" s="16" t="str">
        <f t="shared" ref="AH21:AI21" si="54">IF(OR(B21="",ISBLANK(B21)),"Missing","Valid")</f>
        <v>Valid</v>
      </c>
      <c r="AI21" s="16" t="str">
        <f t="shared" si="54"/>
        <v>Valid</v>
      </c>
      <c r="AJ21" s="16" t="b">
        <v>0</v>
      </c>
      <c r="AK21" s="16" t="b">
        <v>0</v>
      </c>
      <c r="AL21" s="16" t="b">
        <v>0</v>
      </c>
      <c r="AM21" s="16" t="b">
        <v>1</v>
      </c>
      <c r="AN21" s="16" t="b">
        <v>0</v>
      </c>
      <c r="AO21" s="16" t="b">
        <v>0</v>
      </c>
      <c r="AP21" s="16" t="b">
        <v>1</v>
      </c>
      <c r="AQ21" s="17">
        <f t="shared" si="9"/>
        <v>-0.19</v>
      </c>
      <c r="AR21" s="12">
        <f t="shared" si="10"/>
        <v>13879.9458</v>
      </c>
      <c r="AS21" s="18">
        <f t="shared" si="11"/>
        <v>-4548.8858</v>
      </c>
      <c r="AT21" s="12">
        <f t="shared" si="12"/>
        <v>6350.6357999999991</v>
      </c>
      <c r="AU21" s="18">
        <f t="shared" si="13"/>
        <v>-4548.8857999999991</v>
      </c>
      <c r="AV21" s="19">
        <f t="shared" si="14"/>
        <v>0.45754038895454474</v>
      </c>
      <c r="AW21" s="20" t="str">
        <f t="shared" si="15"/>
        <v>July</v>
      </c>
      <c r="AX21" s="21">
        <f t="shared" si="16"/>
        <v>2024</v>
      </c>
    </row>
    <row r="22" spans="1:50" ht="15.75" customHeight="1">
      <c r="A22" s="10" t="s">
        <v>172</v>
      </c>
      <c r="B22" s="11">
        <v>45678</v>
      </c>
      <c r="C22" s="11">
        <v>45680</v>
      </c>
      <c r="D22" s="10" t="s">
        <v>173</v>
      </c>
      <c r="E22" s="10" t="s">
        <v>118</v>
      </c>
      <c r="F22" s="10" t="s">
        <v>124</v>
      </c>
      <c r="G22" s="10" t="s">
        <v>67</v>
      </c>
      <c r="H22" s="10" t="s">
        <v>174</v>
      </c>
      <c r="I22" s="10" t="s">
        <v>175</v>
      </c>
      <c r="J22" s="10" t="s">
        <v>103</v>
      </c>
      <c r="K22" s="10" t="s">
        <v>109</v>
      </c>
      <c r="L22" s="10" t="s">
        <v>176</v>
      </c>
      <c r="M22" s="10" t="s">
        <v>79</v>
      </c>
      <c r="N22" s="12">
        <v>5</v>
      </c>
      <c r="O22" s="12">
        <v>4373.0600000000004</v>
      </c>
      <c r="P22" s="12">
        <v>0.25</v>
      </c>
      <c r="Q22" s="12">
        <v>16398.98</v>
      </c>
      <c r="R22" s="12">
        <v>9556.52</v>
      </c>
      <c r="S22" s="12">
        <v>6842.46</v>
      </c>
      <c r="T22" s="10" t="s">
        <v>61</v>
      </c>
      <c r="U22" s="13" t="s">
        <v>62</v>
      </c>
      <c r="V22" s="14" t="e">
        <f t="shared" ca="1" si="0"/>
        <v>#NAME?</v>
      </c>
      <c r="W22" s="10" t="str">
        <f ca="1">IFERROR(__xludf.DUMMYFUNCTION("IF(COUNTIF($A:$A,A16)=1,
""Unique"",
IF(COUNTUNIQUE(FILTER($V$2:$V$934,$A$2:$A$934=A16))&gt;1,
""Conflicting Duplicate"",
""Exact Duplicate""))"),"Unique")</f>
        <v>Unique</v>
      </c>
      <c r="X22" s="10" t="b">
        <f t="shared" ca="1" si="1"/>
        <v>1</v>
      </c>
      <c r="Y22" s="10" t="str">
        <f t="shared" si="2"/>
        <v>Unique</v>
      </c>
      <c r="Z22" s="10"/>
      <c r="AA22" s="10" t="str">
        <f t="shared" si="3"/>
        <v>Clean</v>
      </c>
      <c r="AB22" s="15" t="str">
        <f t="shared" si="4"/>
        <v>Valid</v>
      </c>
      <c r="AC22" s="15">
        <v>2</v>
      </c>
      <c r="AD22" s="16" t="str">
        <f t="shared" si="5"/>
        <v>Valid</v>
      </c>
      <c r="AE22" s="16" t="str">
        <f t="shared" si="6"/>
        <v>Valid</v>
      </c>
      <c r="AF22" s="16" t="str">
        <f t="shared" ref="AF22:AG22" si="55">IF(ISNUMBER(B22),"Valid","Invalid")</f>
        <v>Valid</v>
      </c>
      <c r="AG22" s="16" t="str">
        <f t="shared" si="55"/>
        <v>Valid</v>
      </c>
      <c r="AH22" s="16" t="str">
        <f t="shared" ref="AH22:AI22" si="56">IF(OR(B22="",ISBLANK(B22)),"Missing","Valid")</f>
        <v>Valid</v>
      </c>
      <c r="AI22" s="16" t="str">
        <f t="shared" si="56"/>
        <v>Valid</v>
      </c>
      <c r="AJ22" s="16" t="b">
        <v>0</v>
      </c>
      <c r="AK22" s="16" t="b">
        <v>0</v>
      </c>
      <c r="AL22" s="16" t="b">
        <v>0</v>
      </c>
      <c r="AM22" s="16" t="b">
        <v>0</v>
      </c>
      <c r="AN22" s="16" t="b">
        <v>0</v>
      </c>
      <c r="AO22" s="16" t="b">
        <v>0</v>
      </c>
      <c r="AP22" s="16" t="b">
        <v>0</v>
      </c>
      <c r="AQ22" s="17">
        <f t="shared" si="9"/>
        <v>0.25</v>
      </c>
      <c r="AR22" s="12">
        <f t="shared" si="10"/>
        <v>16398.975000000002</v>
      </c>
      <c r="AS22" s="18">
        <f t="shared" si="11"/>
        <v>4.9999999973806553E-3</v>
      </c>
      <c r="AT22" s="12">
        <f t="shared" si="12"/>
        <v>6842.4550000000017</v>
      </c>
      <c r="AU22" s="18">
        <f t="shared" si="13"/>
        <v>4.99999999829015E-3</v>
      </c>
      <c r="AV22" s="19">
        <f t="shared" si="14"/>
        <v>0.4172489439126531</v>
      </c>
      <c r="AW22" s="20" t="str">
        <f t="shared" si="15"/>
        <v>January</v>
      </c>
      <c r="AX22" s="21">
        <f t="shared" si="16"/>
        <v>2025</v>
      </c>
    </row>
    <row r="23" spans="1:50" ht="15.75" customHeight="1">
      <c r="A23" s="10" t="s">
        <v>177</v>
      </c>
      <c r="B23" s="11">
        <v>45681</v>
      </c>
      <c r="C23" s="11">
        <v>45687</v>
      </c>
      <c r="D23" s="10" t="s">
        <v>178</v>
      </c>
      <c r="E23" s="10" t="s">
        <v>161</v>
      </c>
      <c r="F23" s="10" t="s">
        <v>53</v>
      </c>
      <c r="G23" s="10" t="s">
        <v>92</v>
      </c>
      <c r="H23" s="10" t="s">
        <v>101</v>
      </c>
      <c r="I23" s="10" t="s">
        <v>102</v>
      </c>
      <c r="J23" s="10" t="s">
        <v>70</v>
      </c>
      <c r="K23" s="10" t="s">
        <v>86</v>
      </c>
      <c r="L23" s="10" t="s">
        <v>179</v>
      </c>
      <c r="M23" s="10" t="s">
        <v>60</v>
      </c>
      <c r="N23" s="12">
        <v>4</v>
      </c>
      <c r="O23" s="12">
        <v>697.69</v>
      </c>
      <c r="P23" s="12">
        <v>-0.23</v>
      </c>
      <c r="Q23" s="12">
        <v>2790.76</v>
      </c>
      <c r="R23" s="12">
        <v>2037.71</v>
      </c>
      <c r="S23" s="12">
        <v>753.05</v>
      </c>
      <c r="T23" s="10" t="s">
        <v>61</v>
      </c>
      <c r="U23" s="13" t="s">
        <v>62</v>
      </c>
      <c r="V23" s="14" t="e">
        <f t="shared" ca="1" si="0"/>
        <v>#NAME?</v>
      </c>
      <c r="W23" s="10" t="str">
        <f ca="1">IFERROR(__xludf.DUMMYFUNCTION("IF(COUNTIF($A:$A,A17)=1,
""Unique"",
IF(COUNTUNIQUE(FILTER($V$2:$V$934,$A$2:$A$934=A17))&gt;1,
""Conflicting Duplicate"",
""Exact Duplicate""))"),"Unique")</f>
        <v>Unique</v>
      </c>
      <c r="X23" s="10" t="b">
        <f t="shared" ca="1" si="1"/>
        <v>1</v>
      </c>
      <c r="Y23" s="10" t="str">
        <f t="shared" si="2"/>
        <v>Unique</v>
      </c>
      <c r="Z23" s="10"/>
      <c r="AA23" s="10" t="str">
        <f t="shared" si="3"/>
        <v>Invalid</v>
      </c>
      <c r="AB23" s="15" t="str">
        <f t="shared" si="4"/>
        <v>Valid</v>
      </c>
      <c r="AC23" s="15">
        <v>6</v>
      </c>
      <c r="AD23" s="16" t="str">
        <f t="shared" si="5"/>
        <v>Valid</v>
      </c>
      <c r="AE23" s="16" t="str">
        <f t="shared" si="6"/>
        <v>Valid</v>
      </c>
      <c r="AF23" s="16" t="str">
        <f t="shared" ref="AF23:AG23" si="57">IF(ISNUMBER(B23),"Valid","Invalid")</f>
        <v>Valid</v>
      </c>
      <c r="AG23" s="16" t="str">
        <f t="shared" si="57"/>
        <v>Valid</v>
      </c>
      <c r="AH23" s="16" t="str">
        <f t="shared" ref="AH23:AI23" si="58">IF(OR(B23="",ISBLANK(B23)),"Missing","Valid")</f>
        <v>Valid</v>
      </c>
      <c r="AI23" s="16" t="str">
        <f t="shared" si="58"/>
        <v>Valid</v>
      </c>
      <c r="AJ23" s="16" t="b">
        <v>0</v>
      </c>
      <c r="AK23" s="16" t="b">
        <v>0</v>
      </c>
      <c r="AL23" s="16" t="b">
        <v>0</v>
      </c>
      <c r="AM23" s="16" t="b">
        <v>1</v>
      </c>
      <c r="AN23" s="16" t="b">
        <v>0</v>
      </c>
      <c r="AO23" s="16" t="b">
        <v>0</v>
      </c>
      <c r="AP23" s="16" t="b">
        <v>1</v>
      </c>
      <c r="AQ23" s="17">
        <f t="shared" si="9"/>
        <v>-0.23</v>
      </c>
      <c r="AR23" s="12">
        <f t="shared" si="10"/>
        <v>3432.6348000000003</v>
      </c>
      <c r="AS23" s="18">
        <f t="shared" si="11"/>
        <v>-641.87480000000005</v>
      </c>
      <c r="AT23" s="12">
        <f t="shared" si="12"/>
        <v>1394.9248000000002</v>
      </c>
      <c r="AU23" s="18">
        <f t="shared" si="13"/>
        <v>-641.87480000000028</v>
      </c>
      <c r="AV23" s="19">
        <f t="shared" si="14"/>
        <v>0.40637145553613807</v>
      </c>
      <c r="AW23" s="20" t="str">
        <f t="shared" si="15"/>
        <v>January</v>
      </c>
      <c r="AX23" s="21">
        <f t="shared" si="16"/>
        <v>2025</v>
      </c>
    </row>
    <row r="24" spans="1:50" ht="15.75" customHeight="1">
      <c r="A24" s="10" t="s">
        <v>180</v>
      </c>
      <c r="B24" s="11">
        <v>45676</v>
      </c>
      <c r="C24" s="11">
        <v>45678</v>
      </c>
      <c r="D24" s="10" t="s">
        <v>181</v>
      </c>
      <c r="E24" s="10" t="s">
        <v>65</v>
      </c>
      <c r="F24" s="10" t="s">
        <v>53</v>
      </c>
      <c r="G24" s="10" t="s">
        <v>83</v>
      </c>
      <c r="H24" s="10" t="s">
        <v>84</v>
      </c>
      <c r="I24" s="10" t="s">
        <v>85</v>
      </c>
      <c r="J24" s="10" t="s">
        <v>57</v>
      </c>
      <c r="K24" s="10" t="s">
        <v>182</v>
      </c>
      <c r="L24" s="10" t="s">
        <v>183</v>
      </c>
      <c r="M24" s="10" t="s">
        <v>88</v>
      </c>
      <c r="N24" s="12">
        <v>8</v>
      </c>
      <c r="O24" s="12">
        <v>1219.3399999999999</v>
      </c>
      <c r="P24" s="12">
        <v>0.15</v>
      </c>
      <c r="Q24" s="12">
        <v>8291.51</v>
      </c>
      <c r="R24" s="12">
        <v>6685.03</v>
      </c>
      <c r="S24" s="12">
        <v>1606.48</v>
      </c>
      <c r="T24" s="10" t="s">
        <v>184</v>
      </c>
      <c r="U24" s="13" t="s">
        <v>132</v>
      </c>
      <c r="V24" s="14" t="e">
        <f t="shared" ca="1" si="0"/>
        <v>#NAME?</v>
      </c>
      <c r="W24" s="10" t="str">
        <f ca="1">IFERROR(__xludf.DUMMYFUNCTION("IF(COUNTIF($A:$A,A18)=1,
""Unique"",
IF(COUNTUNIQUE(FILTER($V$2:$V$934,$A$2:$A$934=A18))&gt;1,
""Conflicting Duplicate"",
""Exact Duplicate""))"),"Unique")</f>
        <v>Unique</v>
      </c>
      <c r="X24" s="10" t="b">
        <f t="shared" ca="1" si="1"/>
        <v>1</v>
      </c>
      <c r="Y24" s="10" t="str">
        <f t="shared" si="2"/>
        <v>Unique</v>
      </c>
      <c r="Z24" s="10"/>
      <c r="AA24" s="10" t="str">
        <f t="shared" si="3"/>
        <v>Clean</v>
      </c>
      <c r="AB24" s="15" t="str">
        <f t="shared" si="4"/>
        <v>Valid</v>
      </c>
      <c r="AC24" s="15">
        <v>2</v>
      </c>
      <c r="AD24" s="16" t="str">
        <f t="shared" si="5"/>
        <v>Valid</v>
      </c>
      <c r="AE24" s="16" t="str">
        <f t="shared" si="6"/>
        <v>Valid</v>
      </c>
      <c r="AF24" s="16" t="str">
        <f t="shared" ref="AF24:AG24" si="59">IF(ISNUMBER(B24),"Valid","Invalid")</f>
        <v>Valid</v>
      </c>
      <c r="AG24" s="16" t="str">
        <f t="shared" si="59"/>
        <v>Valid</v>
      </c>
      <c r="AH24" s="16" t="str">
        <f t="shared" ref="AH24:AI24" si="60">IF(OR(B24="",ISBLANK(B24)),"Missing","Valid")</f>
        <v>Valid</v>
      </c>
      <c r="AI24" s="16" t="str">
        <f t="shared" si="60"/>
        <v>Valid</v>
      </c>
      <c r="AJ24" s="16" t="b">
        <v>0</v>
      </c>
      <c r="AK24" s="16" t="b">
        <v>0</v>
      </c>
      <c r="AL24" s="16" t="b">
        <v>0</v>
      </c>
      <c r="AM24" s="16" t="b">
        <v>0</v>
      </c>
      <c r="AN24" s="16" t="b">
        <v>0</v>
      </c>
      <c r="AO24" s="16" t="b">
        <v>0</v>
      </c>
      <c r="AP24" s="16" t="b">
        <v>0</v>
      </c>
      <c r="AQ24" s="17">
        <f t="shared" si="9"/>
        <v>0.15</v>
      </c>
      <c r="AR24" s="12">
        <f t="shared" si="10"/>
        <v>8291.5119999999988</v>
      </c>
      <c r="AS24" s="18">
        <f t="shared" si="11"/>
        <v>-1.9999999985884642E-3</v>
      </c>
      <c r="AT24" s="12">
        <f t="shared" si="12"/>
        <v>1606.4819999999991</v>
      </c>
      <c r="AU24" s="18">
        <f t="shared" si="13"/>
        <v>-1.9999999990432116E-3</v>
      </c>
      <c r="AV24" s="19">
        <f t="shared" si="14"/>
        <v>0.19375018693816029</v>
      </c>
      <c r="AW24" s="20" t="str">
        <f t="shared" si="15"/>
        <v>January</v>
      </c>
      <c r="AX24" s="21">
        <f t="shared" si="16"/>
        <v>2025</v>
      </c>
    </row>
    <row r="25" spans="1:50" ht="15.75" customHeight="1">
      <c r="A25" s="10" t="s">
        <v>185</v>
      </c>
      <c r="B25" s="11">
        <v>45898</v>
      </c>
      <c r="C25" s="11">
        <v>45900</v>
      </c>
      <c r="D25" s="10" t="s">
        <v>186</v>
      </c>
      <c r="E25" s="10" t="s">
        <v>147</v>
      </c>
      <c r="F25" s="10" t="s">
        <v>124</v>
      </c>
      <c r="G25" s="10" t="s">
        <v>67</v>
      </c>
      <c r="H25" s="10" t="s">
        <v>174</v>
      </c>
      <c r="I25" s="10" t="s">
        <v>175</v>
      </c>
      <c r="J25" s="10" t="s">
        <v>70</v>
      </c>
      <c r="K25" s="10" t="s">
        <v>187</v>
      </c>
      <c r="L25" s="10" t="s">
        <v>188</v>
      </c>
      <c r="M25" s="10" t="s">
        <v>79</v>
      </c>
      <c r="N25" s="12">
        <v>4</v>
      </c>
      <c r="O25" s="12">
        <v>1958.01</v>
      </c>
      <c r="P25" s="12">
        <v>0.2</v>
      </c>
      <c r="Q25" s="12">
        <v>6265.63</v>
      </c>
      <c r="R25" s="12">
        <v>4321.8599999999997</v>
      </c>
      <c r="S25" s="12">
        <v>1943.77</v>
      </c>
      <c r="T25" s="10" t="s">
        <v>61</v>
      </c>
      <c r="U25" s="13" t="s">
        <v>62</v>
      </c>
      <c r="V25" s="14" t="e">
        <f t="shared" ca="1" si="0"/>
        <v>#NAME?</v>
      </c>
      <c r="W25" s="10" t="str">
        <f ca="1">IFERROR(__xludf.DUMMYFUNCTION("IF(COUNTIF($A:$A,A19)=1,
""Unique"",
IF(COUNTUNIQUE(FILTER($V$2:$V$934,$A$2:$A$934=A19))&gt;1,
""Conflicting Duplicate"",
""Exact Duplicate""))"),"Unique")</f>
        <v>Unique</v>
      </c>
      <c r="X25" s="10" t="b">
        <f t="shared" ca="1" si="1"/>
        <v>1</v>
      </c>
      <c r="Y25" s="10" t="str">
        <f t="shared" si="2"/>
        <v>Unique</v>
      </c>
      <c r="Z25" s="10"/>
      <c r="AA25" s="10" t="str">
        <f t="shared" si="3"/>
        <v>Clean</v>
      </c>
      <c r="AB25" s="15" t="str">
        <f t="shared" si="4"/>
        <v>Valid</v>
      </c>
      <c r="AC25" s="15">
        <v>2</v>
      </c>
      <c r="AD25" s="16" t="str">
        <f t="shared" si="5"/>
        <v>Valid</v>
      </c>
      <c r="AE25" s="16" t="str">
        <f t="shared" si="6"/>
        <v>Valid</v>
      </c>
      <c r="AF25" s="16" t="str">
        <f t="shared" ref="AF25:AG25" si="61">IF(ISNUMBER(B25),"Valid","Invalid")</f>
        <v>Valid</v>
      </c>
      <c r="AG25" s="16" t="str">
        <f t="shared" si="61"/>
        <v>Valid</v>
      </c>
      <c r="AH25" s="16" t="str">
        <f t="shared" ref="AH25:AI25" si="62">IF(OR(B25="",ISBLANK(B25)),"Missing","Valid")</f>
        <v>Valid</v>
      </c>
      <c r="AI25" s="16" t="str">
        <f t="shared" si="62"/>
        <v>Valid</v>
      </c>
      <c r="AJ25" s="16" t="b">
        <v>0</v>
      </c>
      <c r="AK25" s="16" t="b">
        <v>0</v>
      </c>
      <c r="AL25" s="16" t="b">
        <v>0</v>
      </c>
      <c r="AM25" s="16" t="b">
        <v>0</v>
      </c>
      <c r="AN25" s="16" t="b">
        <v>0</v>
      </c>
      <c r="AO25" s="16" t="b">
        <v>0</v>
      </c>
      <c r="AP25" s="16" t="b">
        <v>0</v>
      </c>
      <c r="AQ25" s="17">
        <f t="shared" si="9"/>
        <v>0.2</v>
      </c>
      <c r="AR25" s="12">
        <f t="shared" si="10"/>
        <v>6265.6320000000005</v>
      </c>
      <c r="AS25" s="18">
        <f t="shared" si="11"/>
        <v>-2.0000000004074536E-3</v>
      </c>
      <c r="AT25" s="12">
        <f t="shared" si="12"/>
        <v>1943.7720000000008</v>
      </c>
      <c r="AU25" s="18">
        <f t="shared" si="13"/>
        <v>-2.000000000862201E-3</v>
      </c>
      <c r="AV25" s="19">
        <f t="shared" si="14"/>
        <v>0.31022760353624351</v>
      </c>
      <c r="AW25" s="20" t="str">
        <f t="shared" si="15"/>
        <v>August</v>
      </c>
      <c r="AX25" s="21">
        <f t="shared" si="16"/>
        <v>2025</v>
      </c>
    </row>
    <row r="26" spans="1:50" ht="15.75" customHeight="1">
      <c r="A26" s="10" t="s">
        <v>189</v>
      </c>
      <c r="B26" s="11">
        <v>45355</v>
      </c>
      <c r="C26" s="11">
        <v>45352</v>
      </c>
      <c r="D26" s="10" t="s">
        <v>190</v>
      </c>
      <c r="E26" s="10" t="s">
        <v>191</v>
      </c>
      <c r="F26" s="10" t="s">
        <v>53</v>
      </c>
      <c r="G26" s="10" t="s">
        <v>54</v>
      </c>
      <c r="H26" s="10" t="s">
        <v>151</v>
      </c>
      <c r="I26" s="10" t="s">
        <v>152</v>
      </c>
      <c r="J26" s="10" t="s">
        <v>57</v>
      </c>
      <c r="K26" s="10" t="s">
        <v>77</v>
      </c>
      <c r="L26" s="10" t="s">
        <v>192</v>
      </c>
      <c r="M26" s="10" t="s">
        <v>88</v>
      </c>
      <c r="N26" s="12">
        <v>4</v>
      </c>
      <c r="O26" s="12">
        <v>4492.9399999999996</v>
      </c>
      <c r="P26" s="12">
        <v>0.25</v>
      </c>
      <c r="Q26" s="12">
        <v>13478.82</v>
      </c>
      <c r="R26" s="12">
        <v>10937.35</v>
      </c>
      <c r="S26" s="12">
        <v>2541.4699999999998</v>
      </c>
      <c r="T26" s="10" t="s">
        <v>140</v>
      </c>
      <c r="U26" s="13" t="s">
        <v>97</v>
      </c>
      <c r="V26" s="14" t="e">
        <f t="shared" ca="1" si="0"/>
        <v>#NAME?</v>
      </c>
      <c r="W26" s="10" t="str">
        <f ca="1">IFERROR(__xludf.DUMMYFUNCTION("IF(COUNTIF($A:$A,A20)=1,
""Unique"",
IF(COUNTUNIQUE(FILTER($V$2:$V$934,$A$2:$A$934=A20))&gt;1,
""Conflicting Duplicate"",
""Exact Duplicate""))"),"Unique")</f>
        <v>Unique</v>
      </c>
      <c r="X26" s="10" t="b">
        <f t="shared" ca="1" si="1"/>
        <v>1</v>
      </c>
      <c r="Y26" s="10" t="str">
        <f t="shared" si="2"/>
        <v>Unique</v>
      </c>
      <c r="Z26" s="10"/>
      <c r="AA26" s="10" t="str">
        <f t="shared" si="3"/>
        <v>Invalid</v>
      </c>
      <c r="AB26" s="15" t="str">
        <f t="shared" si="4"/>
        <v>Invalid</v>
      </c>
      <c r="AC26" s="15">
        <v>-3</v>
      </c>
      <c r="AD26" s="16" t="str">
        <f t="shared" si="5"/>
        <v>Invalid Shipping Date</v>
      </c>
      <c r="AE26" s="16" t="str">
        <f t="shared" si="6"/>
        <v>Valid</v>
      </c>
      <c r="AF26" s="16" t="str">
        <f t="shared" ref="AF26:AG26" si="63">IF(ISNUMBER(B26),"Valid","Invalid")</f>
        <v>Valid</v>
      </c>
      <c r="AG26" s="16" t="str">
        <f t="shared" si="63"/>
        <v>Valid</v>
      </c>
      <c r="AH26" s="16" t="str">
        <f t="shared" ref="AH26:AI26" si="64">IF(OR(B26="",ISBLANK(B26)),"Missing","Valid")</f>
        <v>Valid</v>
      </c>
      <c r="AI26" s="16" t="str">
        <f t="shared" si="64"/>
        <v>Valid</v>
      </c>
      <c r="AJ26" s="16" t="b">
        <v>0</v>
      </c>
      <c r="AK26" s="16" t="b">
        <v>0</v>
      </c>
      <c r="AL26" s="16" t="b">
        <v>0</v>
      </c>
      <c r="AM26" s="16" t="b">
        <v>0</v>
      </c>
      <c r="AN26" s="16" t="b">
        <v>0</v>
      </c>
      <c r="AO26" s="16" t="b">
        <v>1</v>
      </c>
      <c r="AP26" s="16" t="b">
        <v>1</v>
      </c>
      <c r="AQ26" s="17">
        <f t="shared" si="9"/>
        <v>0.25</v>
      </c>
      <c r="AR26" s="12">
        <f t="shared" si="10"/>
        <v>13478.82</v>
      </c>
      <c r="AS26" s="18">
        <f t="shared" si="11"/>
        <v>0</v>
      </c>
      <c r="AT26" s="12">
        <f t="shared" si="12"/>
        <v>2541.4699999999993</v>
      </c>
      <c r="AU26" s="18">
        <f t="shared" si="13"/>
        <v>0</v>
      </c>
      <c r="AV26" s="19">
        <f t="shared" si="14"/>
        <v>0.18855285551702591</v>
      </c>
      <c r="AW26" s="20" t="str">
        <f t="shared" si="15"/>
        <v>March</v>
      </c>
      <c r="AX26" s="21">
        <f t="shared" si="16"/>
        <v>2024</v>
      </c>
    </row>
    <row r="27" spans="1:50" ht="15.75" customHeight="1">
      <c r="A27" s="10" t="s">
        <v>193</v>
      </c>
      <c r="B27" s="11">
        <v>45576</v>
      </c>
      <c r="C27" s="11">
        <v>45584</v>
      </c>
      <c r="D27" s="10" t="s">
        <v>194</v>
      </c>
      <c r="E27" s="10" t="s">
        <v>82</v>
      </c>
      <c r="F27" s="10" t="s">
        <v>119</v>
      </c>
      <c r="G27" s="10" t="s">
        <v>67</v>
      </c>
      <c r="H27" s="10" t="s">
        <v>195</v>
      </c>
      <c r="I27" s="10" t="s">
        <v>196</v>
      </c>
      <c r="J27" s="10" t="s">
        <v>103</v>
      </c>
      <c r="K27" s="10" t="s">
        <v>104</v>
      </c>
      <c r="L27" s="10" t="s">
        <v>197</v>
      </c>
      <c r="M27" s="10" t="s">
        <v>79</v>
      </c>
      <c r="N27" s="12">
        <v>2</v>
      </c>
      <c r="O27" s="12">
        <v>4315.2</v>
      </c>
      <c r="P27" s="12">
        <v>0.15</v>
      </c>
      <c r="Q27" s="12">
        <v>7335.84</v>
      </c>
      <c r="R27" s="12">
        <v>4968.41</v>
      </c>
      <c r="S27" s="12">
        <v>2367.4299999999998</v>
      </c>
      <c r="T27" s="10" t="s">
        <v>61</v>
      </c>
      <c r="U27" s="13" t="s">
        <v>62</v>
      </c>
      <c r="V27" s="14" t="e">
        <f t="shared" ca="1" si="0"/>
        <v>#NAME?</v>
      </c>
      <c r="W27" s="10" t="str">
        <f ca="1">IFERROR(__xludf.DUMMYFUNCTION("IF(COUNTIF($A:$A,A21)=1,
""Unique"",
IF(COUNTUNIQUE(FILTER($V$2:$V$934,$A$2:$A$934=A21))&gt;1,
""Conflicting Duplicate"",
""Exact Duplicate""))"),"Unique")</f>
        <v>Unique</v>
      </c>
      <c r="X27" s="10" t="b">
        <f t="shared" ca="1" si="1"/>
        <v>1</v>
      </c>
      <c r="Y27" s="10" t="str">
        <f t="shared" si="2"/>
        <v>Unique</v>
      </c>
      <c r="Z27" s="10"/>
      <c r="AA27" s="10" t="str">
        <f t="shared" si="3"/>
        <v>Clean</v>
      </c>
      <c r="AB27" s="15" t="str">
        <f t="shared" si="4"/>
        <v>Valid</v>
      </c>
      <c r="AC27" s="15">
        <v>8</v>
      </c>
      <c r="AD27" s="16" t="str">
        <f t="shared" si="5"/>
        <v>Valid</v>
      </c>
      <c r="AE27" s="16" t="str">
        <f t="shared" si="6"/>
        <v>Valid</v>
      </c>
      <c r="AF27" s="16" t="str">
        <f t="shared" ref="AF27:AG27" si="65">IF(ISNUMBER(B27),"Valid","Invalid")</f>
        <v>Valid</v>
      </c>
      <c r="AG27" s="16" t="str">
        <f t="shared" si="65"/>
        <v>Valid</v>
      </c>
      <c r="AH27" s="16" t="str">
        <f t="shared" ref="AH27:AI27" si="66">IF(OR(B27="",ISBLANK(B27)),"Missing","Valid")</f>
        <v>Valid</v>
      </c>
      <c r="AI27" s="16" t="str">
        <f t="shared" si="66"/>
        <v>Valid</v>
      </c>
      <c r="AJ27" s="16" t="b">
        <v>0</v>
      </c>
      <c r="AK27" s="16" t="b">
        <v>0</v>
      </c>
      <c r="AL27" s="16" t="b">
        <v>0</v>
      </c>
      <c r="AM27" s="16" t="b">
        <v>0</v>
      </c>
      <c r="AN27" s="16" t="b">
        <v>0</v>
      </c>
      <c r="AO27" s="16" t="b">
        <v>0</v>
      </c>
      <c r="AP27" s="16" t="b">
        <v>0</v>
      </c>
      <c r="AQ27" s="17">
        <f t="shared" si="9"/>
        <v>0.15</v>
      </c>
      <c r="AR27" s="12">
        <f t="shared" si="10"/>
        <v>7335.8399999999992</v>
      </c>
      <c r="AS27" s="18">
        <f t="shared" si="11"/>
        <v>0</v>
      </c>
      <c r="AT27" s="12">
        <f t="shared" si="12"/>
        <v>2367.4299999999994</v>
      </c>
      <c r="AU27" s="18">
        <f t="shared" si="13"/>
        <v>0</v>
      </c>
      <c r="AV27" s="19">
        <f t="shared" si="14"/>
        <v>0.32272105171323251</v>
      </c>
      <c r="AW27" s="20" t="str">
        <f t="shared" si="15"/>
        <v>October</v>
      </c>
      <c r="AX27" s="21">
        <f t="shared" si="16"/>
        <v>2024</v>
      </c>
    </row>
    <row r="28" spans="1:50" ht="15.75" customHeight="1">
      <c r="A28" s="10" t="s">
        <v>198</v>
      </c>
      <c r="B28" s="11">
        <v>45619</v>
      </c>
      <c r="C28" s="11">
        <v>45619</v>
      </c>
      <c r="D28" s="10" t="s">
        <v>199</v>
      </c>
      <c r="E28" s="10" t="s">
        <v>191</v>
      </c>
      <c r="F28" s="10" t="s">
        <v>119</v>
      </c>
      <c r="G28" s="10" t="s">
        <v>54</v>
      </c>
      <c r="H28" s="10" t="s">
        <v>165</v>
      </c>
      <c r="I28" s="10" t="s">
        <v>166</v>
      </c>
      <c r="J28" s="10" t="s">
        <v>103</v>
      </c>
      <c r="K28" s="10" t="s">
        <v>200</v>
      </c>
      <c r="L28" s="10" t="s">
        <v>201</v>
      </c>
      <c r="M28" s="10" t="s">
        <v>88</v>
      </c>
      <c r="N28" s="12">
        <v>4</v>
      </c>
      <c r="O28" s="12">
        <v>716.13</v>
      </c>
      <c r="P28" s="12">
        <v>0.1</v>
      </c>
      <c r="Q28" s="12">
        <v>2578.0700000000002</v>
      </c>
      <c r="R28" s="12">
        <v>1527.55</v>
      </c>
      <c r="S28" s="12">
        <v>1050.52</v>
      </c>
      <c r="T28" s="10" t="s">
        <v>61</v>
      </c>
      <c r="U28" s="13" t="s">
        <v>132</v>
      </c>
      <c r="V28" s="14" t="e">
        <f t="shared" ca="1" si="0"/>
        <v>#NAME?</v>
      </c>
      <c r="W28" s="10" t="str">
        <f ca="1">IFERROR(__xludf.DUMMYFUNCTION("IF(COUNTIF($A:$A,A22)=1,
""Unique"",
IF(COUNTUNIQUE(FILTER($V$2:$V$934,$A$2:$A$934=A22))&gt;1,
""Conflicting Duplicate"",
""Exact Duplicate""))"),"Unique")</f>
        <v>Unique</v>
      </c>
      <c r="X28" s="10" t="b">
        <f t="shared" ca="1" si="1"/>
        <v>1</v>
      </c>
      <c r="Y28" s="10" t="str">
        <f t="shared" si="2"/>
        <v>Unique</v>
      </c>
      <c r="Z28" s="10"/>
      <c r="AA28" s="10" t="str">
        <f t="shared" si="3"/>
        <v>Clean</v>
      </c>
      <c r="AB28" s="15" t="str">
        <f t="shared" si="4"/>
        <v>Valid</v>
      </c>
      <c r="AC28" s="15">
        <v>0</v>
      </c>
      <c r="AD28" s="16" t="str">
        <f t="shared" si="5"/>
        <v>Valid</v>
      </c>
      <c r="AE28" s="16" t="str">
        <f t="shared" si="6"/>
        <v>Valid</v>
      </c>
      <c r="AF28" s="16" t="str">
        <f t="shared" ref="AF28:AG28" si="67">IF(ISNUMBER(B28),"Valid","Invalid")</f>
        <v>Valid</v>
      </c>
      <c r="AG28" s="16" t="str">
        <f t="shared" si="67"/>
        <v>Valid</v>
      </c>
      <c r="AH28" s="16" t="str">
        <f t="shared" ref="AH28:AI28" si="68">IF(OR(B28="",ISBLANK(B28)),"Missing","Valid")</f>
        <v>Valid</v>
      </c>
      <c r="AI28" s="16" t="str">
        <f t="shared" si="68"/>
        <v>Valid</v>
      </c>
      <c r="AJ28" s="16" t="b">
        <v>0</v>
      </c>
      <c r="AK28" s="16" t="b">
        <v>0</v>
      </c>
      <c r="AL28" s="16" t="b">
        <v>0</v>
      </c>
      <c r="AM28" s="16" t="b">
        <v>0</v>
      </c>
      <c r="AN28" s="16" t="b">
        <v>0</v>
      </c>
      <c r="AO28" s="16" t="b">
        <v>0</v>
      </c>
      <c r="AP28" s="16" t="b">
        <v>0</v>
      </c>
      <c r="AQ28" s="17">
        <f t="shared" si="9"/>
        <v>0.1</v>
      </c>
      <c r="AR28" s="12">
        <f t="shared" si="10"/>
        <v>2578.0680000000002</v>
      </c>
      <c r="AS28" s="18">
        <f t="shared" si="11"/>
        <v>1.9999999999527063E-3</v>
      </c>
      <c r="AT28" s="12">
        <f t="shared" si="12"/>
        <v>1050.5180000000003</v>
      </c>
      <c r="AU28" s="18">
        <f t="shared" si="13"/>
        <v>1.9999999997253326E-3</v>
      </c>
      <c r="AV28" s="19">
        <f t="shared" si="14"/>
        <v>0.40748265755596835</v>
      </c>
      <c r="AW28" s="20" t="str">
        <f t="shared" si="15"/>
        <v>November</v>
      </c>
      <c r="AX28" s="21">
        <f t="shared" si="16"/>
        <v>2024</v>
      </c>
    </row>
    <row r="29" spans="1:50" ht="15.75" customHeight="1">
      <c r="A29" s="10" t="s">
        <v>202</v>
      </c>
      <c r="B29" s="11">
        <v>45929</v>
      </c>
      <c r="C29" s="11">
        <v>45935</v>
      </c>
      <c r="D29" s="10" t="s">
        <v>203</v>
      </c>
      <c r="E29" s="10" t="s">
        <v>82</v>
      </c>
      <c r="F29" s="10" t="s">
        <v>66</v>
      </c>
      <c r="G29" s="10" t="s">
        <v>83</v>
      </c>
      <c r="H29" s="10" t="s">
        <v>204</v>
      </c>
      <c r="I29" s="10" t="s">
        <v>205</v>
      </c>
      <c r="J29" s="10" t="s">
        <v>57</v>
      </c>
      <c r="K29" s="10" t="s">
        <v>58</v>
      </c>
      <c r="L29" s="10" t="s">
        <v>206</v>
      </c>
      <c r="M29" s="10" t="s">
        <v>60</v>
      </c>
      <c r="N29" s="12">
        <v>5</v>
      </c>
      <c r="O29" s="12">
        <v>1806.51</v>
      </c>
      <c r="P29" s="12">
        <v>0.25</v>
      </c>
      <c r="Q29" s="12">
        <v>6774.41</v>
      </c>
      <c r="R29" s="12">
        <v>4710.3599999999997</v>
      </c>
      <c r="S29" s="12">
        <v>2064.0500000000002</v>
      </c>
      <c r="T29" s="10" t="s">
        <v>184</v>
      </c>
      <c r="U29" s="13" t="s">
        <v>132</v>
      </c>
      <c r="V29" s="14" t="e">
        <f t="shared" ca="1" si="0"/>
        <v>#NAME?</v>
      </c>
      <c r="W29" s="10" t="str">
        <f ca="1">IFERROR(__xludf.DUMMYFUNCTION("IF(COUNTIF($A:$A,A23)=1,
""Unique"",
IF(COUNTUNIQUE(FILTER($V$2:$V$934,$A$2:$A$934=A23))&gt;1,
""Conflicting Duplicate"",
""Exact Duplicate""))"),"Unique")</f>
        <v>Unique</v>
      </c>
      <c r="X29" s="10" t="b">
        <f t="shared" ca="1" si="1"/>
        <v>1</v>
      </c>
      <c r="Y29" s="10" t="str">
        <f t="shared" si="2"/>
        <v>Unique</v>
      </c>
      <c r="Z29" s="10"/>
      <c r="AA29" s="10" t="str">
        <f t="shared" si="3"/>
        <v>Clean</v>
      </c>
      <c r="AB29" s="15" t="str">
        <f t="shared" si="4"/>
        <v>Valid</v>
      </c>
      <c r="AC29" s="15">
        <v>6</v>
      </c>
      <c r="AD29" s="16" t="str">
        <f t="shared" si="5"/>
        <v>Valid</v>
      </c>
      <c r="AE29" s="16" t="str">
        <f t="shared" si="6"/>
        <v>Valid</v>
      </c>
      <c r="AF29" s="16" t="str">
        <f t="shared" ref="AF29:AG29" si="69">IF(ISNUMBER(B29),"Valid","Invalid")</f>
        <v>Valid</v>
      </c>
      <c r="AG29" s="16" t="str">
        <f t="shared" si="69"/>
        <v>Valid</v>
      </c>
      <c r="AH29" s="16" t="str">
        <f t="shared" ref="AH29:AI29" si="70">IF(OR(B29="",ISBLANK(B29)),"Missing","Valid")</f>
        <v>Valid</v>
      </c>
      <c r="AI29" s="16" t="str">
        <f t="shared" si="70"/>
        <v>Valid</v>
      </c>
      <c r="AJ29" s="16" t="b">
        <v>0</v>
      </c>
      <c r="AK29" s="16" t="b">
        <v>0</v>
      </c>
      <c r="AL29" s="16" t="b">
        <v>0</v>
      </c>
      <c r="AM29" s="16" t="b">
        <v>0</v>
      </c>
      <c r="AN29" s="16" t="b">
        <v>0</v>
      </c>
      <c r="AO29" s="16" t="b">
        <v>0</v>
      </c>
      <c r="AP29" s="16" t="b">
        <v>0</v>
      </c>
      <c r="AQ29" s="17">
        <f t="shared" si="9"/>
        <v>0.25</v>
      </c>
      <c r="AR29" s="12">
        <f t="shared" si="10"/>
        <v>6774.4124999999995</v>
      </c>
      <c r="AS29" s="18">
        <f t="shared" si="11"/>
        <v>-2.4999999995998223E-3</v>
      </c>
      <c r="AT29" s="12">
        <f t="shared" si="12"/>
        <v>2064.0524999999998</v>
      </c>
      <c r="AU29" s="18">
        <f t="shared" si="13"/>
        <v>-2.4999999995998223E-3</v>
      </c>
      <c r="AV29" s="19">
        <f t="shared" si="14"/>
        <v>0.30468361647596748</v>
      </c>
      <c r="AW29" s="20" t="str">
        <f t="shared" si="15"/>
        <v>September</v>
      </c>
      <c r="AX29" s="21">
        <f t="shared" si="16"/>
        <v>2025</v>
      </c>
    </row>
    <row r="30" spans="1:50" ht="15.75" customHeight="1">
      <c r="A30" s="10" t="s">
        <v>207</v>
      </c>
      <c r="B30" s="11">
        <v>45576</v>
      </c>
      <c r="C30" s="11">
        <v>45583</v>
      </c>
      <c r="D30" s="10" t="s">
        <v>208</v>
      </c>
      <c r="E30" s="10" t="s">
        <v>91</v>
      </c>
      <c r="F30" s="10" t="s">
        <v>124</v>
      </c>
      <c r="G30" s="10" t="s">
        <v>92</v>
      </c>
      <c r="H30" s="10" t="s">
        <v>209</v>
      </c>
      <c r="I30" s="10" t="s">
        <v>210</v>
      </c>
      <c r="J30" s="10" t="s">
        <v>103</v>
      </c>
      <c r="K30" s="10" t="s">
        <v>200</v>
      </c>
      <c r="L30" s="10" t="s">
        <v>211</v>
      </c>
      <c r="M30" s="10" t="s">
        <v>60</v>
      </c>
      <c r="N30" s="12">
        <v>2</v>
      </c>
      <c r="O30" s="12">
        <v>1942.22</v>
      </c>
      <c r="P30" s="12">
        <v>0.25</v>
      </c>
      <c r="Q30" s="12">
        <v>2913.33</v>
      </c>
      <c r="R30" s="12">
        <v>2122.33</v>
      </c>
      <c r="S30" s="12">
        <v>791</v>
      </c>
      <c r="T30" s="10" t="s">
        <v>131</v>
      </c>
      <c r="U30" s="13" t="s">
        <v>97</v>
      </c>
      <c r="V30" s="14" t="e">
        <f t="shared" ca="1" si="0"/>
        <v>#NAME?</v>
      </c>
      <c r="W30" s="10" t="str">
        <f ca="1">IFERROR(__xludf.DUMMYFUNCTION("IF(COUNTIF($A:$A,A24)=1,
""Unique"",
IF(COUNTUNIQUE(FILTER($V$2:$V$934,$A$2:$A$934=A24))&gt;1,
""Conflicting Duplicate"",
""Exact Duplicate""))"),"Unique")</f>
        <v>Unique</v>
      </c>
      <c r="X30" s="10" t="b">
        <f t="shared" ca="1" si="1"/>
        <v>1</v>
      </c>
      <c r="Y30" s="10" t="str">
        <f t="shared" si="2"/>
        <v>Unique</v>
      </c>
      <c r="Z30" s="10"/>
      <c r="AA30" s="10" t="str">
        <f t="shared" si="3"/>
        <v>Clean</v>
      </c>
      <c r="AB30" s="15" t="str">
        <f t="shared" si="4"/>
        <v>Valid</v>
      </c>
      <c r="AC30" s="15">
        <v>7</v>
      </c>
      <c r="AD30" s="16" t="str">
        <f t="shared" si="5"/>
        <v>Valid</v>
      </c>
      <c r="AE30" s="16" t="str">
        <f t="shared" si="6"/>
        <v>Valid</v>
      </c>
      <c r="AF30" s="16" t="str">
        <f t="shared" ref="AF30:AG30" si="71">IF(ISNUMBER(B30),"Valid","Invalid")</f>
        <v>Valid</v>
      </c>
      <c r="AG30" s="16" t="str">
        <f t="shared" si="71"/>
        <v>Valid</v>
      </c>
      <c r="AH30" s="16" t="str">
        <f t="shared" ref="AH30:AI30" si="72">IF(OR(B30="",ISBLANK(B30)),"Missing","Valid")</f>
        <v>Valid</v>
      </c>
      <c r="AI30" s="16" t="str">
        <f t="shared" si="72"/>
        <v>Valid</v>
      </c>
      <c r="AJ30" s="16" t="b">
        <v>0</v>
      </c>
      <c r="AK30" s="16" t="b">
        <v>0</v>
      </c>
      <c r="AL30" s="16" t="b">
        <v>0</v>
      </c>
      <c r="AM30" s="16" t="b">
        <v>0</v>
      </c>
      <c r="AN30" s="16" t="b">
        <v>0</v>
      </c>
      <c r="AO30" s="16" t="b">
        <v>0</v>
      </c>
      <c r="AP30" s="16" t="b">
        <v>0</v>
      </c>
      <c r="AQ30" s="17">
        <f t="shared" si="9"/>
        <v>0.25</v>
      </c>
      <c r="AR30" s="12">
        <f t="shared" si="10"/>
        <v>2913.33</v>
      </c>
      <c r="AS30" s="18">
        <f t="shared" si="11"/>
        <v>0</v>
      </c>
      <c r="AT30" s="12">
        <f t="shared" si="12"/>
        <v>791</v>
      </c>
      <c r="AU30" s="18">
        <f t="shared" si="13"/>
        <v>0</v>
      </c>
      <c r="AV30" s="19">
        <f t="shared" si="14"/>
        <v>0.27151060813570727</v>
      </c>
      <c r="AW30" s="20" t="str">
        <f t="shared" si="15"/>
        <v>October</v>
      </c>
      <c r="AX30" s="21">
        <f t="shared" si="16"/>
        <v>2024</v>
      </c>
    </row>
    <row r="31" spans="1:50" ht="15.75" customHeight="1">
      <c r="A31" s="10" t="s">
        <v>212</v>
      </c>
      <c r="B31" s="11">
        <v>45882</v>
      </c>
      <c r="C31" s="11">
        <v>45882</v>
      </c>
      <c r="D31" s="10" t="s">
        <v>213</v>
      </c>
      <c r="E31" s="10" t="s">
        <v>170</v>
      </c>
      <c r="F31" s="10" t="s">
        <v>124</v>
      </c>
      <c r="G31" s="10" t="s">
        <v>83</v>
      </c>
      <c r="H31" s="10" t="s">
        <v>214</v>
      </c>
      <c r="I31" s="10" t="s">
        <v>215</v>
      </c>
      <c r="J31" s="10" t="s">
        <v>103</v>
      </c>
      <c r="K31" s="10" t="s">
        <v>200</v>
      </c>
      <c r="L31" s="10" t="s">
        <v>216</v>
      </c>
      <c r="M31" s="10" t="s">
        <v>88</v>
      </c>
      <c r="N31" s="12">
        <v>1</v>
      </c>
      <c r="O31" s="12">
        <v>256.01</v>
      </c>
      <c r="P31" s="12">
        <v>0.15</v>
      </c>
      <c r="Q31" s="12">
        <v>217.61</v>
      </c>
      <c r="R31" s="12">
        <v>119.77</v>
      </c>
      <c r="S31" s="12">
        <v>97.84</v>
      </c>
      <c r="T31" s="10" t="s">
        <v>61</v>
      </c>
      <c r="U31" s="13" t="s">
        <v>62</v>
      </c>
      <c r="V31" s="14" t="e">
        <f t="shared" ca="1" si="0"/>
        <v>#NAME?</v>
      </c>
      <c r="W31" s="10" t="str">
        <f ca="1">IFERROR(__xludf.DUMMYFUNCTION("IF(COUNTIF($A:$A,A25)=1,
""Unique"",
IF(COUNTUNIQUE(FILTER($V$2:$V$934,$A$2:$A$934=A25))&gt;1,
""Conflicting Duplicate"",
""Exact Duplicate""))"),"Unique")</f>
        <v>Unique</v>
      </c>
      <c r="X31" s="10" t="b">
        <f t="shared" ca="1" si="1"/>
        <v>1</v>
      </c>
      <c r="Y31" s="10" t="str">
        <f t="shared" si="2"/>
        <v>Unique</v>
      </c>
      <c r="Z31" s="10"/>
      <c r="AA31" s="10" t="str">
        <f t="shared" si="3"/>
        <v>Clean</v>
      </c>
      <c r="AB31" s="15" t="str">
        <f t="shared" si="4"/>
        <v>Valid</v>
      </c>
      <c r="AC31" s="15">
        <v>0</v>
      </c>
      <c r="AD31" s="16" t="str">
        <f t="shared" si="5"/>
        <v>Valid</v>
      </c>
      <c r="AE31" s="16" t="str">
        <f t="shared" si="6"/>
        <v>Valid</v>
      </c>
      <c r="AF31" s="16" t="str">
        <f t="shared" ref="AF31:AG31" si="73">IF(ISNUMBER(B31),"Valid","Invalid")</f>
        <v>Valid</v>
      </c>
      <c r="AG31" s="16" t="str">
        <f t="shared" si="73"/>
        <v>Valid</v>
      </c>
      <c r="AH31" s="16" t="str">
        <f t="shared" ref="AH31:AI31" si="74">IF(OR(B31="",ISBLANK(B31)),"Missing","Valid")</f>
        <v>Valid</v>
      </c>
      <c r="AI31" s="16" t="str">
        <f t="shared" si="74"/>
        <v>Valid</v>
      </c>
      <c r="AJ31" s="16" t="b">
        <v>0</v>
      </c>
      <c r="AK31" s="16" t="b">
        <v>0</v>
      </c>
      <c r="AL31" s="16" t="b">
        <v>0</v>
      </c>
      <c r="AM31" s="16" t="b">
        <v>0</v>
      </c>
      <c r="AN31" s="16" t="b">
        <v>0</v>
      </c>
      <c r="AO31" s="16" t="b">
        <v>0</v>
      </c>
      <c r="AP31" s="16" t="b">
        <v>0</v>
      </c>
      <c r="AQ31" s="17">
        <f t="shared" si="9"/>
        <v>0.15</v>
      </c>
      <c r="AR31" s="12">
        <f t="shared" si="10"/>
        <v>217.60849999999999</v>
      </c>
      <c r="AS31" s="18">
        <f t="shared" si="11"/>
        <v>1.5000000000213731E-3</v>
      </c>
      <c r="AT31" s="12">
        <f t="shared" si="12"/>
        <v>97.838499999999996</v>
      </c>
      <c r="AU31" s="18">
        <f t="shared" si="13"/>
        <v>1.5000000000071623E-3</v>
      </c>
      <c r="AV31" s="19">
        <f t="shared" si="14"/>
        <v>0.44960789675035673</v>
      </c>
      <c r="AW31" s="20" t="str">
        <f t="shared" si="15"/>
        <v>August</v>
      </c>
      <c r="AX31" s="21">
        <f t="shared" si="16"/>
        <v>2025</v>
      </c>
    </row>
    <row r="32" spans="1:50" ht="15.75" customHeight="1">
      <c r="A32" s="10" t="s">
        <v>217</v>
      </c>
      <c r="B32" s="11">
        <v>45331</v>
      </c>
      <c r="C32" s="11">
        <v>45334</v>
      </c>
      <c r="D32" s="10" t="s">
        <v>218</v>
      </c>
      <c r="E32" s="10" t="s">
        <v>91</v>
      </c>
      <c r="F32" s="10" t="s">
        <v>119</v>
      </c>
      <c r="G32" s="10" t="s">
        <v>92</v>
      </c>
      <c r="H32" s="10" t="s">
        <v>219</v>
      </c>
      <c r="I32" s="10" t="s">
        <v>220</v>
      </c>
      <c r="J32" s="10" t="s">
        <v>57</v>
      </c>
      <c r="K32" s="10" t="s">
        <v>120</v>
      </c>
      <c r="L32" s="10" t="s">
        <v>221</v>
      </c>
      <c r="M32" s="10" t="s">
        <v>79</v>
      </c>
      <c r="N32" s="12">
        <v>1</v>
      </c>
      <c r="O32" s="12">
        <v>3421.77</v>
      </c>
      <c r="P32" s="12">
        <v>0.1</v>
      </c>
      <c r="Q32" s="12">
        <v>3079.59</v>
      </c>
      <c r="R32" s="12">
        <v>2001.89</v>
      </c>
      <c r="S32" s="12">
        <v>1077.7</v>
      </c>
      <c r="T32" s="10" t="s">
        <v>61</v>
      </c>
      <c r="U32" s="13" t="s">
        <v>62</v>
      </c>
      <c r="V32" s="14" t="e">
        <f t="shared" ca="1" si="0"/>
        <v>#NAME?</v>
      </c>
      <c r="W32" s="10" t="str">
        <f ca="1">IFERROR(__xludf.DUMMYFUNCTION("IF(COUNTIF($A:$A,A26)=1,
""Unique"",
IF(COUNTUNIQUE(FILTER($V$2:$V$934,$A$2:$A$934=A26))&gt;1,
""Conflicting Duplicate"",
""Exact Duplicate""))"),"Unique")</f>
        <v>Unique</v>
      </c>
      <c r="X32" s="10" t="b">
        <f t="shared" ca="1" si="1"/>
        <v>1</v>
      </c>
      <c r="Y32" s="10" t="str">
        <f t="shared" si="2"/>
        <v>Unique</v>
      </c>
      <c r="Z32" s="10"/>
      <c r="AA32" s="10" t="str">
        <f t="shared" si="3"/>
        <v>Clean</v>
      </c>
      <c r="AB32" s="15" t="str">
        <f t="shared" si="4"/>
        <v>Valid</v>
      </c>
      <c r="AC32" s="15">
        <v>3</v>
      </c>
      <c r="AD32" s="16" t="str">
        <f t="shared" si="5"/>
        <v>Valid</v>
      </c>
      <c r="AE32" s="16" t="str">
        <f t="shared" si="6"/>
        <v>Valid</v>
      </c>
      <c r="AF32" s="16" t="str">
        <f t="shared" ref="AF32:AG32" si="75">IF(ISNUMBER(B32),"Valid","Invalid")</f>
        <v>Valid</v>
      </c>
      <c r="AG32" s="16" t="str">
        <f t="shared" si="75"/>
        <v>Valid</v>
      </c>
      <c r="AH32" s="16" t="str">
        <f t="shared" ref="AH32:AI32" si="76">IF(OR(B32="",ISBLANK(B32)),"Missing","Valid")</f>
        <v>Valid</v>
      </c>
      <c r="AI32" s="16" t="str">
        <f t="shared" si="76"/>
        <v>Valid</v>
      </c>
      <c r="AJ32" s="16" t="b">
        <v>0</v>
      </c>
      <c r="AK32" s="16" t="b">
        <v>0</v>
      </c>
      <c r="AL32" s="16" t="b">
        <v>0</v>
      </c>
      <c r="AM32" s="16" t="b">
        <v>0</v>
      </c>
      <c r="AN32" s="16" t="b">
        <v>0</v>
      </c>
      <c r="AO32" s="16" t="b">
        <v>0</v>
      </c>
      <c r="AP32" s="16" t="b">
        <v>0</v>
      </c>
      <c r="AQ32" s="17">
        <f t="shared" si="9"/>
        <v>0.1</v>
      </c>
      <c r="AR32" s="12">
        <f t="shared" si="10"/>
        <v>3079.5929999999998</v>
      </c>
      <c r="AS32" s="18">
        <f t="shared" si="11"/>
        <v>-2.9999999997016857E-3</v>
      </c>
      <c r="AT32" s="12">
        <f t="shared" si="12"/>
        <v>1077.7029999999997</v>
      </c>
      <c r="AU32" s="18">
        <f t="shared" si="13"/>
        <v>-2.9999999997016857E-3</v>
      </c>
      <c r="AV32" s="19">
        <f t="shared" si="14"/>
        <v>0.34994981479695525</v>
      </c>
      <c r="AW32" s="20" t="str">
        <f t="shared" si="15"/>
        <v>February</v>
      </c>
      <c r="AX32" s="21">
        <f t="shared" si="16"/>
        <v>2024</v>
      </c>
    </row>
    <row r="33" spans="1:50" ht="15.75" customHeight="1">
      <c r="A33" s="10" t="s">
        <v>222</v>
      </c>
      <c r="B33" s="11">
        <v>45823</v>
      </c>
      <c r="C33" s="11">
        <v>45827</v>
      </c>
      <c r="D33" s="10" t="s">
        <v>223</v>
      </c>
      <c r="E33" s="10" t="s">
        <v>52</v>
      </c>
      <c r="F33" s="10" t="s">
        <v>66</v>
      </c>
      <c r="G33" s="10" t="s">
        <v>92</v>
      </c>
      <c r="H33" s="10" t="s">
        <v>101</v>
      </c>
      <c r="I33" s="10" t="s">
        <v>102</v>
      </c>
      <c r="J33" s="10" t="s">
        <v>57</v>
      </c>
      <c r="K33" s="10" t="s">
        <v>58</v>
      </c>
      <c r="L33" s="10" t="s">
        <v>224</v>
      </c>
      <c r="M33" s="10" t="s">
        <v>60</v>
      </c>
      <c r="N33" s="12">
        <v>9</v>
      </c>
      <c r="O33" s="12">
        <v>3092.55</v>
      </c>
      <c r="P33" s="12">
        <v>0</v>
      </c>
      <c r="Q33" s="12">
        <v>27832.95</v>
      </c>
      <c r="R33" s="12">
        <v>17769.75</v>
      </c>
      <c r="S33" s="12">
        <v>10063.200000000001</v>
      </c>
      <c r="T33" s="10" t="s">
        <v>184</v>
      </c>
      <c r="U33" s="13" t="s">
        <v>132</v>
      </c>
      <c r="V33" s="14" t="e">
        <f t="shared" ca="1" si="0"/>
        <v>#NAME?</v>
      </c>
      <c r="W33" s="10" t="str">
        <f ca="1">IFERROR(__xludf.DUMMYFUNCTION("IF(COUNTIF($A:$A,A27)=1,
""Unique"",
IF(COUNTUNIQUE(FILTER($V$2:$V$934,$A$2:$A$934=A27))&gt;1,
""Conflicting Duplicate"",
""Exact Duplicate""))"),"Unique")</f>
        <v>Unique</v>
      </c>
      <c r="X33" s="10" t="b">
        <f t="shared" ca="1" si="1"/>
        <v>1</v>
      </c>
      <c r="Y33" s="10" t="str">
        <f t="shared" si="2"/>
        <v>Unique</v>
      </c>
      <c r="Z33" s="10"/>
      <c r="AA33" s="10" t="str">
        <f t="shared" si="3"/>
        <v>Clean</v>
      </c>
      <c r="AB33" s="15" t="str">
        <f t="shared" si="4"/>
        <v>Valid</v>
      </c>
      <c r="AC33" s="15">
        <v>4</v>
      </c>
      <c r="AD33" s="16" t="str">
        <f t="shared" si="5"/>
        <v>Valid</v>
      </c>
      <c r="AE33" s="16" t="str">
        <f t="shared" si="6"/>
        <v>Valid</v>
      </c>
      <c r="AF33" s="16" t="str">
        <f t="shared" ref="AF33:AG33" si="77">IF(ISNUMBER(B33),"Valid","Invalid")</f>
        <v>Valid</v>
      </c>
      <c r="AG33" s="16" t="str">
        <f t="shared" si="77"/>
        <v>Valid</v>
      </c>
      <c r="AH33" s="16" t="str">
        <f t="shared" ref="AH33:AI33" si="78">IF(OR(B33="",ISBLANK(B33)),"Missing","Valid")</f>
        <v>Valid</v>
      </c>
      <c r="AI33" s="16" t="str">
        <f t="shared" si="78"/>
        <v>Valid</v>
      </c>
      <c r="AJ33" s="16" t="b">
        <v>0</v>
      </c>
      <c r="AK33" s="16" t="b">
        <v>0</v>
      </c>
      <c r="AL33" s="16" t="b">
        <v>0</v>
      </c>
      <c r="AM33" s="16" t="b">
        <v>0</v>
      </c>
      <c r="AN33" s="16" t="b">
        <v>0</v>
      </c>
      <c r="AO33" s="16" t="b">
        <v>0</v>
      </c>
      <c r="AP33" s="16" t="b">
        <v>0</v>
      </c>
      <c r="AQ33" s="17">
        <f t="shared" si="9"/>
        <v>0</v>
      </c>
      <c r="AR33" s="12">
        <f t="shared" si="10"/>
        <v>27832.95</v>
      </c>
      <c r="AS33" s="18">
        <f t="shared" si="11"/>
        <v>0</v>
      </c>
      <c r="AT33" s="12">
        <f t="shared" si="12"/>
        <v>10063.200000000001</v>
      </c>
      <c r="AU33" s="18">
        <f t="shared" si="13"/>
        <v>0</v>
      </c>
      <c r="AV33" s="19">
        <f t="shared" si="14"/>
        <v>0.36155707533696574</v>
      </c>
      <c r="AW33" s="20" t="str">
        <f t="shared" si="15"/>
        <v>June</v>
      </c>
      <c r="AX33" s="21">
        <f t="shared" si="16"/>
        <v>2025</v>
      </c>
    </row>
    <row r="34" spans="1:50" ht="15.75" customHeight="1">
      <c r="A34" s="10" t="s">
        <v>225</v>
      </c>
      <c r="B34" s="11">
        <v>45618</v>
      </c>
      <c r="C34" s="11">
        <v>45622</v>
      </c>
      <c r="D34" s="10" t="s">
        <v>226</v>
      </c>
      <c r="E34" s="10" t="s">
        <v>157</v>
      </c>
      <c r="F34" s="10" t="s">
        <v>119</v>
      </c>
      <c r="G34" s="10" t="s">
        <v>83</v>
      </c>
      <c r="H34" s="10" t="s">
        <v>113</v>
      </c>
      <c r="I34" s="10" t="s">
        <v>114</v>
      </c>
      <c r="J34" s="10" t="s">
        <v>103</v>
      </c>
      <c r="K34" s="10" t="s">
        <v>200</v>
      </c>
      <c r="L34" s="10" t="s">
        <v>227</v>
      </c>
      <c r="M34" s="10" t="s">
        <v>60</v>
      </c>
      <c r="N34" s="12">
        <v>3</v>
      </c>
      <c r="O34" s="12">
        <v>4001.25</v>
      </c>
      <c r="P34" s="12">
        <v>0</v>
      </c>
      <c r="Q34" s="12">
        <v>9002.81</v>
      </c>
      <c r="R34" s="12">
        <v>7529.92</v>
      </c>
      <c r="S34" s="12">
        <v>1472.89</v>
      </c>
      <c r="T34" s="10" t="s">
        <v>61</v>
      </c>
      <c r="U34" s="13" t="s">
        <v>62</v>
      </c>
      <c r="V34" s="14" t="e">
        <f t="shared" ca="1" si="0"/>
        <v>#NAME?</v>
      </c>
      <c r="W34" s="10" t="str">
        <f ca="1">IFERROR(__xludf.DUMMYFUNCTION("IF(COUNTIF($A:$A,A28)=1,
""Unique"",
IF(COUNTUNIQUE(FILTER($V$2:$V$934,$A$2:$A$934=A28))&gt;1,
""Conflicting Duplicate"",
""Exact Duplicate""))"),"Unique")</f>
        <v>Unique</v>
      </c>
      <c r="X34" s="10" t="b">
        <f t="shared" ca="1" si="1"/>
        <v>1</v>
      </c>
      <c r="Y34" s="10" t="str">
        <f t="shared" si="2"/>
        <v>Unique</v>
      </c>
      <c r="Z34" s="10"/>
      <c r="AA34" s="10" t="str">
        <f t="shared" si="3"/>
        <v>Clean</v>
      </c>
      <c r="AB34" s="15" t="str">
        <f t="shared" si="4"/>
        <v>Valid</v>
      </c>
      <c r="AC34" s="15">
        <v>4</v>
      </c>
      <c r="AD34" s="16" t="str">
        <f t="shared" si="5"/>
        <v>Valid</v>
      </c>
      <c r="AE34" s="16" t="str">
        <f t="shared" si="6"/>
        <v>Valid</v>
      </c>
      <c r="AF34" s="16" t="str">
        <f t="shared" ref="AF34:AG34" si="79">IF(ISNUMBER(B34),"Valid","Invalid")</f>
        <v>Valid</v>
      </c>
      <c r="AG34" s="16" t="str">
        <f t="shared" si="79"/>
        <v>Valid</v>
      </c>
      <c r="AH34" s="16" t="str">
        <f t="shared" ref="AH34:AI34" si="80">IF(OR(B34="",ISBLANK(B34)),"Missing","Valid")</f>
        <v>Valid</v>
      </c>
      <c r="AI34" s="16" t="str">
        <f t="shared" si="80"/>
        <v>Valid</v>
      </c>
      <c r="AJ34" s="16" t="b">
        <v>0</v>
      </c>
      <c r="AK34" s="16" t="b">
        <v>0</v>
      </c>
      <c r="AL34" s="16" t="b">
        <v>1</v>
      </c>
      <c r="AM34" s="16" t="b">
        <v>0</v>
      </c>
      <c r="AN34" s="16" t="b">
        <v>0</v>
      </c>
      <c r="AO34" s="16" t="b">
        <v>0</v>
      </c>
      <c r="AP34" s="16" t="b">
        <v>1</v>
      </c>
      <c r="AQ34" s="17">
        <f t="shared" si="9"/>
        <v>0</v>
      </c>
      <c r="AR34" s="12">
        <f t="shared" si="10"/>
        <v>12003.75</v>
      </c>
      <c r="AS34" s="18">
        <f t="shared" si="11"/>
        <v>-3000.9400000000005</v>
      </c>
      <c r="AT34" s="12">
        <f t="shared" si="12"/>
        <v>4473.83</v>
      </c>
      <c r="AU34" s="18">
        <f t="shared" si="13"/>
        <v>-3000.9399999999996</v>
      </c>
      <c r="AV34" s="19">
        <f t="shared" si="14"/>
        <v>0.37270269707383108</v>
      </c>
      <c r="AW34" s="20" t="str">
        <f t="shared" si="15"/>
        <v>November</v>
      </c>
      <c r="AX34" s="21">
        <f t="shared" si="16"/>
        <v>2024</v>
      </c>
    </row>
    <row r="35" spans="1:50" ht="15.75" customHeight="1">
      <c r="A35" s="10" t="s">
        <v>228</v>
      </c>
      <c r="B35" s="11">
        <v>45495</v>
      </c>
      <c r="C35" s="11">
        <v>45500</v>
      </c>
      <c r="D35" s="10" t="s">
        <v>229</v>
      </c>
      <c r="E35" s="10" t="s">
        <v>143</v>
      </c>
      <c r="F35" s="10" t="s">
        <v>124</v>
      </c>
      <c r="G35" s="10" t="s">
        <v>92</v>
      </c>
      <c r="H35" s="10" t="s">
        <v>219</v>
      </c>
      <c r="I35" s="10" t="s">
        <v>220</v>
      </c>
      <c r="J35" s="10" t="s">
        <v>70</v>
      </c>
      <c r="K35" s="10" t="s">
        <v>71</v>
      </c>
      <c r="L35" s="10" t="s">
        <v>230</v>
      </c>
      <c r="M35" s="10" t="s">
        <v>73</v>
      </c>
      <c r="N35" s="12">
        <v>7</v>
      </c>
      <c r="O35" s="12">
        <v>492.41</v>
      </c>
      <c r="P35" s="12">
        <v>0.25</v>
      </c>
      <c r="Q35" s="12">
        <v>2585.15</v>
      </c>
      <c r="R35" s="12">
        <v>2070.73</v>
      </c>
      <c r="S35" s="12">
        <v>514.41999999999996</v>
      </c>
      <c r="T35" s="10" t="s">
        <v>61</v>
      </c>
      <c r="U35" s="13" t="s">
        <v>62</v>
      </c>
      <c r="V35" s="14" t="e">
        <f t="shared" ca="1" si="0"/>
        <v>#NAME?</v>
      </c>
      <c r="W35" s="10" t="str">
        <f ca="1">IFERROR(__xludf.DUMMYFUNCTION("IF(COUNTIF($A:$A,A29)=1,
""Unique"",
IF(COUNTUNIQUE(FILTER($V$2:$V$934,$A$2:$A$934=A29))&gt;1,
""Conflicting Duplicate"",
""Exact Duplicate""))"),"Unique")</f>
        <v>Unique</v>
      </c>
      <c r="X35" s="10" t="b">
        <f t="shared" ca="1" si="1"/>
        <v>1</v>
      </c>
      <c r="Y35" s="10" t="str">
        <f t="shared" si="2"/>
        <v>Unique</v>
      </c>
      <c r="Z35" s="10"/>
      <c r="AA35" s="10" t="str">
        <f t="shared" si="3"/>
        <v>Clean</v>
      </c>
      <c r="AB35" s="15" t="str">
        <f t="shared" si="4"/>
        <v>Valid</v>
      </c>
      <c r="AC35" s="15">
        <v>5</v>
      </c>
      <c r="AD35" s="16" t="str">
        <f t="shared" si="5"/>
        <v>Valid</v>
      </c>
      <c r="AE35" s="16" t="str">
        <f t="shared" si="6"/>
        <v>Valid</v>
      </c>
      <c r="AF35" s="16" t="str">
        <f t="shared" ref="AF35:AG35" si="81">IF(ISNUMBER(B35),"Valid","Invalid")</f>
        <v>Valid</v>
      </c>
      <c r="AG35" s="16" t="str">
        <f t="shared" si="81"/>
        <v>Valid</v>
      </c>
      <c r="AH35" s="16" t="str">
        <f t="shared" ref="AH35:AI35" si="82">IF(OR(B35="",ISBLANK(B35)),"Missing","Valid")</f>
        <v>Valid</v>
      </c>
      <c r="AI35" s="16" t="str">
        <f t="shared" si="82"/>
        <v>Valid</v>
      </c>
      <c r="AJ35" s="16" t="b">
        <v>0</v>
      </c>
      <c r="AK35" s="16" t="b">
        <v>0</v>
      </c>
      <c r="AL35" s="16" t="b">
        <v>0</v>
      </c>
      <c r="AM35" s="16" t="b">
        <v>0</v>
      </c>
      <c r="AN35" s="16" t="b">
        <v>0</v>
      </c>
      <c r="AO35" s="16" t="b">
        <v>0</v>
      </c>
      <c r="AP35" s="16" t="b">
        <v>0</v>
      </c>
      <c r="AQ35" s="17">
        <f t="shared" si="9"/>
        <v>0.25</v>
      </c>
      <c r="AR35" s="12">
        <f t="shared" si="10"/>
        <v>2585.1525000000001</v>
      </c>
      <c r="AS35" s="18">
        <f t="shared" si="11"/>
        <v>-2.5000000000545697E-3</v>
      </c>
      <c r="AT35" s="12">
        <f t="shared" si="12"/>
        <v>514.42250000000013</v>
      </c>
      <c r="AU35" s="18">
        <f t="shared" si="13"/>
        <v>-2.5000000001682565E-3</v>
      </c>
      <c r="AV35" s="19">
        <f t="shared" si="14"/>
        <v>0.19899116203009304</v>
      </c>
      <c r="AW35" s="20" t="str">
        <f t="shared" si="15"/>
        <v>July</v>
      </c>
      <c r="AX35" s="21">
        <f t="shared" si="16"/>
        <v>2024</v>
      </c>
    </row>
    <row r="36" spans="1:50" ht="15.75" customHeight="1">
      <c r="A36" s="10" t="s">
        <v>231</v>
      </c>
      <c r="B36" s="11">
        <v>45688</v>
      </c>
      <c r="C36" s="11">
        <v>45693</v>
      </c>
      <c r="D36" s="10" t="s">
        <v>232</v>
      </c>
      <c r="E36" s="10" t="s">
        <v>143</v>
      </c>
      <c r="F36" s="10" t="s">
        <v>124</v>
      </c>
      <c r="G36" s="10" t="s">
        <v>67</v>
      </c>
      <c r="H36" s="10" t="s">
        <v>128</v>
      </c>
      <c r="I36" s="10" t="s">
        <v>129</v>
      </c>
      <c r="J36" s="10" t="s">
        <v>70</v>
      </c>
      <c r="K36" s="10" t="s">
        <v>95</v>
      </c>
      <c r="L36" s="10" t="s">
        <v>233</v>
      </c>
      <c r="M36" s="10" t="s">
        <v>234</v>
      </c>
      <c r="N36" s="12">
        <v>2</v>
      </c>
      <c r="O36" s="12">
        <v>4159.6899999999996</v>
      </c>
      <c r="P36" s="12">
        <v>0.2</v>
      </c>
      <c r="Q36" s="12">
        <v>6655.5</v>
      </c>
      <c r="R36" s="12">
        <v>4340.21</v>
      </c>
      <c r="S36" s="12">
        <v>2607.3200000000002</v>
      </c>
      <c r="T36" s="10" t="s">
        <v>61</v>
      </c>
      <c r="U36" s="13" t="s">
        <v>62</v>
      </c>
      <c r="V36" s="14" t="e">
        <f t="shared" ca="1" si="0"/>
        <v>#NAME?</v>
      </c>
      <c r="W36" s="10" t="str">
        <f ca="1">IFERROR(__xludf.DUMMYFUNCTION("IF(COUNTIF($A:$A,A30)=1,
""Unique"",
IF(COUNTUNIQUE(FILTER($V$2:$V$934,$A$2:$A$934=A30))&gt;1,
""Conflicting Duplicate"",
""Exact Duplicate""))"),"Unique")</f>
        <v>Unique</v>
      </c>
      <c r="X36" s="10" t="b">
        <f t="shared" ca="1" si="1"/>
        <v>1</v>
      </c>
      <c r="Y36" s="10" t="str">
        <f t="shared" si="2"/>
        <v>Unique</v>
      </c>
      <c r="Z36" s="10"/>
      <c r="AA36" s="10" t="str">
        <f t="shared" si="3"/>
        <v>Warning</v>
      </c>
      <c r="AB36" s="15" t="str">
        <f t="shared" si="4"/>
        <v>Valid</v>
      </c>
      <c r="AC36" s="15">
        <v>5</v>
      </c>
      <c r="AD36" s="16" t="str">
        <f t="shared" si="5"/>
        <v>Valid</v>
      </c>
      <c r="AE36" s="16" t="str">
        <f t="shared" si="6"/>
        <v>Valid</v>
      </c>
      <c r="AF36" s="16" t="str">
        <f t="shared" ref="AF36:AG36" si="83">IF(ISNUMBER(B36),"Valid","Invalid")</f>
        <v>Valid</v>
      </c>
      <c r="AG36" s="16" t="str">
        <f t="shared" si="83"/>
        <v>Valid</v>
      </c>
      <c r="AH36" s="16" t="str">
        <f t="shared" ref="AH36:AI36" si="84">IF(OR(B36="",ISBLANK(B36)),"Missing","Valid")</f>
        <v>Valid</v>
      </c>
      <c r="AI36" s="16" t="str">
        <f t="shared" si="84"/>
        <v>Valid</v>
      </c>
      <c r="AJ36" s="16" t="b">
        <v>0</v>
      </c>
      <c r="AK36" s="16" t="b">
        <v>1</v>
      </c>
      <c r="AL36" s="16" t="b">
        <v>0</v>
      </c>
      <c r="AM36" s="16" t="b">
        <v>0</v>
      </c>
      <c r="AN36" s="16" t="b">
        <v>0</v>
      </c>
      <c r="AO36" s="16" t="b">
        <v>0</v>
      </c>
      <c r="AP36" s="16" t="b">
        <v>1</v>
      </c>
      <c r="AQ36" s="17">
        <f t="shared" si="9"/>
        <v>0.2</v>
      </c>
      <c r="AR36" s="12">
        <f t="shared" si="10"/>
        <v>6655.5039999999999</v>
      </c>
      <c r="AS36" s="18">
        <f t="shared" si="11"/>
        <v>-3.9999999999054126E-3</v>
      </c>
      <c r="AT36" s="12">
        <f t="shared" si="12"/>
        <v>2315.2939999999999</v>
      </c>
      <c r="AU36" s="18">
        <f t="shared" si="13"/>
        <v>292.02600000000029</v>
      </c>
      <c r="AV36" s="19">
        <f t="shared" si="14"/>
        <v>0.34787658455317583</v>
      </c>
      <c r="AW36" s="20" t="str">
        <f t="shared" si="15"/>
        <v>January</v>
      </c>
      <c r="AX36" s="21">
        <f t="shared" si="16"/>
        <v>2025</v>
      </c>
    </row>
    <row r="37" spans="1:50" ht="15.75" customHeight="1">
      <c r="A37" s="10" t="s">
        <v>235</v>
      </c>
      <c r="B37" s="11">
        <v>45441</v>
      </c>
      <c r="C37" s="11">
        <v>45441</v>
      </c>
      <c r="D37" s="10" t="s">
        <v>236</v>
      </c>
      <c r="E37" s="10" t="s">
        <v>161</v>
      </c>
      <c r="F37" s="10" t="s">
        <v>66</v>
      </c>
      <c r="G37" s="10" t="s">
        <v>92</v>
      </c>
      <c r="H37" s="10" t="s">
        <v>209</v>
      </c>
      <c r="I37" s="10" t="s">
        <v>210</v>
      </c>
      <c r="J37" s="10" t="s">
        <v>70</v>
      </c>
      <c r="K37" s="10" t="s">
        <v>187</v>
      </c>
      <c r="L37" s="10" t="s">
        <v>237</v>
      </c>
      <c r="M37" s="10" t="s">
        <v>60</v>
      </c>
      <c r="N37" s="12">
        <v>8</v>
      </c>
      <c r="O37" s="12">
        <v>2507.12</v>
      </c>
      <c r="P37" s="12">
        <v>0.05</v>
      </c>
      <c r="Q37" s="12">
        <v>19054.11</v>
      </c>
      <c r="R37" s="12">
        <v>15313.83</v>
      </c>
      <c r="S37" s="12">
        <v>3740.28</v>
      </c>
      <c r="T37" s="10" t="s">
        <v>140</v>
      </c>
      <c r="U37" s="13" t="s">
        <v>132</v>
      </c>
      <c r="V37" s="14" t="e">
        <f t="shared" ca="1" si="0"/>
        <v>#NAME?</v>
      </c>
      <c r="W37" s="10" t="str">
        <f ca="1">IFERROR(__xludf.DUMMYFUNCTION("IF(COUNTIF($A:$A,A31)=1,
""Unique"",
IF(COUNTUNIQUE(FILTER($V$2:$V$934,$A$2:$A$934=A31))&gt;1,
""Conflicting Duplicate"",
""Exact Duplicate""))"),"Unique")</f>
        <v>Unique</v>
      </c>
      <c r="X37" s="10" t="b">
        <f t="shared" ca="1" si="1"/>
        <v>1</v>
      </c>
      <c r="Y37" s="10" t="str">
        <f t="shared" si="2"/>
        <v>Unique</v>
      </c>
      <c r="Z37" s="10"/>
      <c r="AA37" s="10" t="str">
        <f t="shared" si="3"/>
        <v>Clean</v>
      </c>
      <c r="AB37" s="15" t="str">
        <f t="shared" si="4"/>
        <v>Valid</v>
      </c>
      <c r="AC37" s="15">
        <v>0</v>
      </c>
      <c r="AD37" s="16" t="str">
        <f t="shared" si="5"/>
        <v>Valid</v>
      </c>
      <c r="AE37" s="16" t="str">
        <f t="shared" si="6"/>
        <v>Valid</v>
      </c>
      <c r="AF37" s="16" t="str">
        <f t="shared" ref="AF37:AG37" si="85">IF(ISNUMBER(B37),"Valid","Invalid")</f>
        <v>Valid</v>
      </c>
      <c r="AG37" s="16" t="str">
        <f t="shared" si="85"/>
        <v>Valid</v>
      </c>
      <c r="AH37" s="16" t="str">
        <f t="shared" ref="AH37:AI37" si="86">IF(OR(B37="",ISBLANK(B37)),"Missing","Valid")</f>
        <v>Valid</v>
      </c>
      <c r="AI37" s="16" t="str">
        <f t="shared" si="86"/>
        <v>Valid</v>
      </c>
      <c r="AJ37" s="16" t="b">
        <v>0</v>
      </c>
      <c r="AK37" s="16" t="b">
        <v>0</v>
      </c>
      <c r="AL37" s="16" t="b">
        <v>0</v>
      </c>
      <c r="AM37" s="16" t="b">
        <v>0</v>
      </c>
      <c r="AN37" s="16" t="b">
        <v>0</v>
      </c>
      <c r="AO37" s="16" t="b">
        <v>0</v>
      </c>
      <c r="AP37" s="16" t="b">
        <v>0</v>
      </c>
      <c r="AQ37" s="17">
        <f t="shared" si="9"/>
        <v>0.05</v>
      </c>
      <c r="AR37" s="12">
        <f t="shared" si="10"/>
        <v>19054.111999999997</v>
      </c>
      <c r="AS37" s="18">
        <f t="shared" si="11"/>
        <v>-1.9999999967694748E-3</v>
      </c>
      <c r="AT37" s="12">
        <f t="shared" si="12"/>
        <v>3740.2819999999974</v>
      </c>
      <c r="AU37" s="18">
        <f t="shared" si="13"/>
        <v>-1.9999999972242222E-3</v>
      </c>
      <c r="AV37" s="19">
        <f t="shared" si="14"/>
        <v>0.19629789097492437</v>
      </c>
      <c r="AW37" s="20" t="str">
        <f t="shared" si="15"/>
        <v>May</v>
      </c>
      <c r="AX37" s="21">
        <f t="shared" si="16"/>
        <v>2024</v>
      </c>
    </row>
    <row r="38" spans="1:50" ht="15.75" customHeight="1">
      <c r="A38" s="10" t="s">
        <v>238</v>
      </c>
      <c r="B38" s="11">
        <v>45590</v>
      </c>
      <c r="C38" s="11">
        <v>45593</v>
      </c>
      <c r="D38" s="10" t="s">
        <v>239</v>
      </c>
      <c r="E38" s="10" t="s">
        <v>170</v>
      </c>
      <c r="F38" s="10" t="s">
        <v>119</v>
      </c>
      <c r="G38" s="10" t="s">
        <v>92</v>
      </c>
      <c r="H38" s="10" t="s">
        <v>93</v>
      </c>
      <c r="I38" s="10" t="s">
        <v>94</v>
      </c>
      <c r="J38" s="10" t="s">
        <v>70</v>
      </c>
      <c r="K38" s="10" t="s">
        <v>187</v>
      </c>
      <c r="L38" s="10" t="s">
        <v>240</v>
      </c>
      <c r="M38" s="10" t="s">
        <v>60</v>
      </c>
      <c r="N38" s="12">
        <v>3</v>
      </c>
      <c r="O38" s="12">
        <v>3126.47</v>
      </c>
      <c r="P38" s="12">
        <v>0</v>
      </c>
      <c r="Q38" s="12">
        <v>9379.41</v>
      </c>
      <c r="R38" s="12">
        <v>6670.85</v>
      </c>
      <c r="S38" s="12">
        <v>2708.56</v>
      </c>
      <c r="T38" s="10" t="s">
        <v>61</v>
      </c>
      <c r="U38" s="13" t="s">
        <v>132</v>
      </c>
      <c r="V38" s="14" t="e">
        <f t="shared" ca="1" si="0"/>
        <v>#NAME?</v>
      </c>
      <c r="W38" s="10" t="str">
        <f ca="1">IFERROR(__xludf.DUMMYFUNCTION("IF(COUNTIF($A:$A,A32)=1,
""Unique"",
IF(COUNTUNIQUE(FILTER($V$2:$V$934,$A$2:$A$934=A32))&gt;1,
""Conflicting Duplicate"",
""Exact Duplicate""))"),"Unique")</f>
        <v>Unique</v>
      </c>
      <c r="X38" s="10" t="b">
        <f t="shared" ca="1" si="1"/>
        <v>1</v>
      </c>
      <c r="Y38" s="10" t="str">
        <f t="shared" si="2"/>
        <v>Unique</v>
      </c>
      <c r="Z38" s="10"/>
      <c r="AA38" s="10" t="str">
        <f t="shared" si="3"/>
        <v>Clean</v>
      </c>
      <c r="AB38" s="15" t="str">
        <f t="shared" si="4"/>
        <v>Valid</v>
      </c>
      <c r="AC38" s="15">
        <v>3</v>
      </c>
      <c r="AD38" s="16" t="str">
        <f t="shared" si="5"/>
        <v>Valid</v>
      </c>
      <c r="AE38" s="16" t="str">
        <f t="shared" si="6"/>
        <v>Valid</v>
      </c>
      <c r="AF38" s="16" t="str">
        <f t="shared" ref="AF38:AG38" si="87">IF(ISNUMBER(B38),"Valid","Invalid")</f>
        <v>Valid</v>
      </c>
      <c r="AG38" s="16" t="str">
        <f t="shared" si="87"/>
        <v>Valid</v>
      </c>
      <c r="AH38" s="16" t="str">
        <f t="shared" ref="AH38:AI38" si="88">IF(OR(B38="",ISBLANK(B38)),"Missing","Valid")</f>
        <v>Valid</v>
      </c>
      <c r="AI38" s="16" t="str">
        <f t="shared" si="88"/>
        <v>Valid</v>
      </c>
      <c r="AJ38" s="16" t="b">
        <v>0</v>
      </c>
      <c r="AK38" s="16" t="b">
        <v>0</v>
      </c>
      <c r="AL38" s="16" t="b">
        <v>0</v>
      </c>
      <c r="AM38" s="16" t="b">
        <v>0</v>
      </c>
      <c r="AN38" s="16" t="b">
        <v>0</v>
      </c>
      <c r="AO38" s="16" t="b">
        <v>0</v>
      </c>
      <c r="AP38" s="16" t="b">
        <v>0</v>
      </c>
      <c r="AQ38" s="17">
        <f t="shared" si="9"/>
        <v>0</v>
      </c>
      <c r="AR38" s="12">
        <f t="shared" si="10"/>
        <v>9379.41</v>
      </c>
      <c r="AS38" s="18">
        <f t="shared" si="11"/>
        <v>0</v>
      </c>
      <c r="AT38" s="12">
        <f t="shared" si="12"/>
        <v>2708.5599999999995</v>
      </c>
      <c r="AU38" s="18">
        <f t="shared" si="13"/>
        <v>0</v>
      </c>
      <c r="AV38" s="19">
        <f t="shared" si="14"/>
        <v>0.28877722585962223</v>
      </c>
      <c r="AW38" s="20" t="str">
        <f t="shared" si="15"/>
        <v>October</v>
      </c>
      <c r="AX38" s="21">
        <f t="shared" si="16"/>
        <v>2024</v>
      </c>
    </row>
    <row r="39" spans="1:50" ht="15.75" customHeight="1">
      <c r="A39" s="10" t="s">
        <v>241</v>
      </c>
      <c r="B39" s="11">
        <v>45867</v>
      </c>
      <c r="C39" s="11">
        <v>45867</v>
      </c>
      <c r="D39" s="10" t="s">
        <v>242</v>
      </c>
      <c r="E39" s="10" t="s">
        <v>191</v>
      </c>
      <c r="F39" s="10" t="s">
        <v>53</v>
      </c>
      <c r="G39" s="10" t="s">
        <v>92</v>
      </c>
      <c r="H39" s="10" t="s">
        <v>93</v>
      </c>
      <c r="I39" s="10" t="s">
        <v>94</v>
      </c>
      <c r="J39" s="10" t="s">
        <v>103</v>
      </c>
      <c r="K39" s="10" t="s">
        <v>109</v>
      </c>
      <c r="L39" s="10" t="s">
        <v>243</v>
      </c>
      <c r="M39" s="10" t="s">
        <v>88</v>
      </c>
      <c r="N39" s="12">
        <v>4</v>
      </c>
      <c r="O39" s="12">
        <v>1327.54</v>
      </c>
      <c r="P39" s="12">
        <v>0.2</v>
      </c>
      <c r="Q39" s="12">
        <v>4248.13</v>
      </c>
      <c r="R39" s="12">
        <v>3321.09</v>
      </c>
      <c r="S39" s="12">
        <v>927.04</v>
      </c>
      <c r="T39" s="10" t="s">
        <v>61</v>
      </c>
      <c r="U39" s="13" t="s">
        <v>62</v>
      </c>
      <c r="V39" s="14" t="e">
        <f t="shared" ca="1" si="0"/>
        <v>#NAME?</v>
      </c>
      <c r="W39" s="10" t="str">
        <f ca="1">IFERROR(__xludf.DUMMYFUNCTION("IF(COUNTIF($A:$A,A33)=1,
""Unique"",
IF(COUNTUNIQUE(FILTER($V$2:$V$934,$A$2:$A$934=A33))&gt;1,
""Conflicting Duplicate"",
""Exact Duplicate""))"),"Unique")</f>
        <v>Unique</v>
      </c>
      <c r="X39" s="10" t="b">
        <f t="shared" ca="1" si="1"/>
        <v>1</v>
      </c>
      <c r="Y39" s="10" t="str">
        <f t="shared" si="2"/>
        <v>Unique</v>
      </c>
      <c r="Z39" s="10"/>
      <c r="AA39" s="10" t="str">
        <f t="shared" si="3"/>
        <v>Clean</v>
      </c>
      <c r="AB39" s="15" t="str">
        <f t="shared" si="4"/>
        <v>Valid</v>
      </c>
      <c r="AC39" s="15">
        <v>0</v>
      </c>
      <c r="AD39" s="16" t="str">
        <f t="shared" si="5"/>
        <v>Valid</v>
      </c>
      <c r="AE39" s="16" t="str">
        <f t="shared" si="6"/>
        <v>Valid</v>
      </c>
      <c r="AF39" s="16" t="str">
        <f t="shared" ref="AF39:AG39" si="89">IF(ISNUMBER(B39),"Valid","Invalid")</f>
        <v>Valid</v>
      </c>
      <c r="AG39" s="16" t="str">
        <f t="shared" si="89"/>
        <v>Valid</v>
      </c>
      <c r="AH39" s="16" t="str">
        <f t="shared" ref="AH39:AI39" si="90">IF(OR(B39="",ISBLANK(B39)),"Missing","Valid")</f>
        <v>Valid</v>
      </c>
      <c r="AI39" s="16" t="str">
        <f t="shared" si="90"/>
        <v>Valid</v>
      </c>
      <c r="AJ39" s="16" t="b">
        <v>0</v>
      </c>
      <c r="AK39" s="16" t="b">
        <v>0</v>
      </c>
      <c r="AL39" s="16" t="b">
        <v>0</v>
      </c>
      <c r="AM39" s="16" t="b">
        <v>0</v>
      </c>
      <c r="AN39" s="16" t="b">
        <v>0</v>
      </c>
      <c r="AO39" s="16" t="b">
        <v>0</v>
      </c>
      <c r="AP39" s="16" t="b">
        <v>0</v>
      </c>
      <c r="AQ39" s="17">
        <f t="shared" si="9"/>
        <v>0.2</v>
      </c>
      <c r="AR39" s="12">
        <f t="shared" si="10"/>
        <v>4248.1279999999997</v>
      </c>
      <c r="AS39" s="18">
        <f t="shared" si="11"/>
        <v>2.0000000004074536E-3</v>
      </c>
      <c r="AT39" s="12">
        <f t="shared" si="12"/>
        <v>927.03799999999956</v>
      </c>
      <c r="AU39" s="18">
        <f t="shared" si="13"/>
        <v>2.0000000004074536E-3</v>
      </c>
      <c r="AV39" s="19">
        <f t="shared" si="14"/>
        <v>0.21822270892025844</v>
      </c>
      <c r="AW39" s="20" t="str">
        <f t="shared" si="15"/>
        <v>July</v>
      </c>
      <c r="AX39" s="21">
        <f t="shared" si="16"/>
        <v>2025</v>
      </c>
    </row>
    <row r="40" spans="1:50" ht="15.75" customHeight="1">
      <c r="A40" s="10" t="s">
        <v>244</v>
      </c>
      <c r="B40" s="11">
        <v>45460</v>
      </c>
      <c r="C40" s="11">
        <v>45465</v>
      </c>
      <c r="D40" s="10" t="s">
        <v>245</v>
      </c>
      <c r="E40" s="10" t="s">
        <v>157</v>
      </c>
      <c r="F40" s="10" t="s">
        <v>119</v>
      </c>
      <c r="G40" s="10" t="s">
        <v>92</v>
      </c>
      <c r="H40" s="10" t="s">
        <v>209</v>
      </c>
      <c r="I40" s="10" t="s">
        <v>210</v>
      </c>
      <c r="J40" s="10" t="s">
        <v>103</v>
      </c>
      <c r="K40" s="10" t="s">
        <v>200</v>
      </c>
      <c r="L40" s="10" t="s">
        <v>246</v>
      </c>
      <c r="M40" s="10" t="s">
        <v>79</v>
      </c>
      <c r="N40" s="12">
        <v>7</v>
      </c>
      <c r="O40" s="12">
        <v>2210.6799999999998</v>
      </c>
      <c r="P40" s="12">
        <v>0.1</v>
      </c>
      <c r="Q40" s="12">
        <v>13927.28</v>
      </c>
      <c r="R40" s="12">
        <v>10504.87</v>
      </c>
      <c r="S40" s="12">
        <v>3422.41</v>
      </c>
      <c r="T40" s="10" t="s">
        <v>61</v>
      </c>
      <c r="U40" s="13" t="s">
        <v>62</v>
      </c>
      <c r="V40" s="14" t="e">
        <f t="shared" ca="1" si="0"/>
        <v>#NAME?</v>
      </c>
      <c r="W40" s="10" t="str">
        <f ca="1">IFERROR(__xludf.DUMMYFUNCTION("IF(COUNTIF($A:$A,A34)=1,
""Unique"",
IF(COUNTUNIQUE(FILTER($V$2:$V$934,$A$2:$A$934=A34))&gt;1,
""Conflicting Duplicate"",
""Exact Duplicate""))"),"Unique")</f>
        <v>Unique</v>
      </c>
      <c r="X40" s="10" t="b">
        <f t="shared" ca="1" si="1"/>
        <v>1</v>
      </c>
      <c r="Y40" s="10" t="str">
        <f t="shared" si="2"/>
        <v>Unique</v>
      </c>
      <c r="Z40" s="10"/>
      <c r="AA40" s="10" t="str">
        <f t="shared" si="3"/>
        <v>Clean</v>
      </c>
      <c r="AB40" s="15" t="str">
        <f t="shared" si="4"/>
        <v>Valid</v>
      </c>
      <c r="AC40" s="15">
        <v>5</v>
      </c>
      <c r="AD40" s="16" t="str">
        <f t="shared" si="5"/>
        <v>Valid</v>
      </c>
      <c r="AE40" s="16" t="str">
        <f t="shared" si="6"/>
        <v>Valid</v>
      </c>
      <c r="AF40" s="16" t="str">
        <f t="shared" ref="AF40:AG40" si="91">IF(ISNUMBER(B40),"Valid","Invalid")</f>
        <v>Valid</v>
      </c>
      <c r="AG40" s="16" t="str">
        <f t="shared" si="91"/>
        <v>Valid</v>
      </c>
      <c r="AH40" s="16" t="str">
        <f t="shared" ref="AH40:AI40" si="92">IF(OR(B40="",ISBLANK(B40)),"Missing","Valid")</f>
        <v>Valid</v>
      </c>
      <c r="AI40" s="16" t="str">
        <f t="shared" si="92"/>
        <v>Valid</v>
      </c>
      <c r="AJ40" s="16" t="b">
        <v>0</v>
      </c>
      <c r="AK40" s="16" t="b">
        <v>0</v>
      </c>
      <c r="AL40" s="16" t="b">
        <v>0</v>
      </c>
      <c r="AM40" s="16" t="b">
        <v>0</v>
      </c>
      <c r="AN40" s="16" t="b">
        <v>0</v>
      </c>
      <c r="AO40" s="16" t="b">
        <v>0</v>
      </c>
      <c r="AP40" s="16" t="b">
        <v>0</v>
      </c>
      <c r="AQ40" s="17">
        <f t="shared" si="9"/>
        <v>0.1</v>
      </c>
      <c r="AR40" s="12">
        <f t="shared" si="10"/>
        <v>13927.284</v>
      </c>
      <c r="AS40" s="18">
        <f t="shared" si="11"/>
        <v>-3.9999999989959178E-3</v>
      </c>
      <c r="AT40" s="12">
        <f t="shared" si="12"/>
        <v>3422.4139999999989</v>
      </c>
      <c r="AU40" s="18">
        <f t="shared" si="13"/>
        <v>-3.9999999989959178E-3</v>
      </c>
      <c r="AV40" s="19">
        <f t="shared" si="14"/>
        <v>0.24573448778670692</v>
      </c>
      <c r="AW40" s="20" t="str">
        <f t="shared" si="15"/>
        <v>June</v>
      </c>
      <c r="AX40" s="21">
        <f t="shared" si="16"/>
        <v>2024</v>
      </c>
    </row>
    <row r="41" spans="1:50" ht="15.75" customHeight="1">
      <c r="A41" s="10" t="s">
        <v>247</v>
      </c>
      <c r="B41" s="11">
        <v>45637</v>
      </c>
      <c r="C41" s="11">
        <v>45637</v>
      </c>
      <c r="D41" s="10" t="s">
        <v>248</v>
      </c>
      <c r="E41" s="10" t="s">
        <v>65</v>
      </c>
      <c r="F41" s="10" t="s">
        <v>66</v>
      </c>
      <c r="G41" s="10" t="s">
        <v>92</v>
      </c>
      <c r="H41" s="10" t="s">
        <v>101</v>
      </c>
      <c r="I41" s="10" t="s">
        <v>102</v>
      </c>
      <c r="J41" s="10" t="s">
        <v>103</v>
      </c>
      <c r="K41" s="10" t="s">
        <v>109</v>
      </c>
      <c r="L41" s="10" t="s">
        <v>249</v>
      </c>
      <c r="M41" s="10" t="s">
        <v>79</v>
      </c>
      <c r="N41" s="12">
        <v>4</v>
      </c>
      <c r="O41" s="12">
        <v>1370.92</v>
      </c>
      <c r="P41" s="12">
        <v>0.1</v>
      </c>
      <c r="Q41" s="12">
        <v>4935.3100000000004</v>
      </c>
      <c r="R41" s="12">
        <v>3374.77</v>
      </c>
      <c r="S41" s="12">
        <v>1560.54</v>
      </c>
      <c r="T41" s="10" t="s">
        <v>140</v>
      </c>
      <c r="U41" s="13" t="s">
        <v>132</v>
      </c>
      <c r="V41" s="14" t="e">
        <f t="shared" ca="1" si="0"/>
        <v>#NAME?</v>
      </c>
      <c r="W41" s="10" t="str">
        <f ca="1">IFERROR(__xludf.DUMMYFUNCTION("IF(COUNTIF($A:$A,A35)=1,
""Unique"",
IF(COUNTUNIQUE(FILTER($V$2:$V$934,$A$2:$A$934=A35))&gt;1,
""Conflicting Duplicate"",
""Exact Duplicate""))"),"Unique")</f>
        <v>Unique</v>
      </c>
      <c r="X41" s="10" t="b">
        <f t="shared" ca="1" si="1"/>
        <v>1</v>
      </c>
      <c r="Y41" s="10" t="str">
        <f t="shared" si="2"/>
        <v>Unique</v>
      </c>
      <c r="Z41" s="10"/>
      <c r="AA41" s="10" t="str">
        <f t="shared" si="3"/>
        <v>Clean</v>
      </c>
      <c r="AB41" s="15" t="str">
        <f t="shared" si="4"/>
        <v>Valid</v>
      </c>
      <c r="AC41" s="15">
        <v>0</v>
      </c>
      <c r="AD41" s="16" t="str">
        <f t="shared" si="5"/>
        <v>Valid</v>
      </c>
      <c r="AE41" s="16" t="str">
        <f t="shared" si="6"/>
        <v>Valid</v>
      </c>
      <c r="AF41" s="16" t="str">
        <f t="shared" ref="AF41:AG41" si="93">IF(ISNUMBER(B41),"Valid","Invalid")</f>
        <v>Valid</v>
      </c>
      <c r="AG41" s="16" t="str">
        <f t="shared" si="93"/>
        <v>Valid</v>
      </c>
      <c r="AH41" s="16" t="str">
        <f t="shared" ref="AH41:AI41" si="94">IF(OR(B41="",ISBLANK(B41)),"Missing","Valid")</f>
        <v>Valid</v>
      </c>
      <c r="AI41" s="16" t="str">
        <f t="shared" si="94"/>
        <v>Valid</v>
      </c>
      <c r="AJ41" s="16" t="b">
        <v>0</v>
      </c>
      <c r="AK41" s="16" t="b">
        <v>0</v>
      </c>
      <c r="AL41" s="16" t="b">
        <v>0</v>
      </c>
      <c r="AM41" s="16" t="b">
        <v>0</v>
      </c>
      <c r="AN41" s="16" t="b">
        <v>0</v>
      </c>
      <c r="AO41" s="16" t="b">
        <v>0</v>
      </c>
      <c r="AP41" s="16" t="b">
        <v>0</v>
      </c>
      <c r="AQ41" s="17">
        <f t="shared" si="9"/>
        <v>0.1</v>
      </c>
      <c r="AR41" s="12">
        <f t="shared" si="10"/>
        <v>4935.3120000000008</v>
      </c>
      <c r="AS41" s="18">
        <f t="shared" si="11"/>
        <v>-2.0000000004074536E-3</v>
      </c>
      <c r="AT41" s="12">
        <f t="shared" si="12"/>
        <v>1560.5420000000008</v>
      </c>
      <c r="AU41" s="18">
        <f t="shared" si="13"/>
        <v>-2.000000000862201E-3</v>
      </c>
      <c r="AV41" s="19">
        <f t="shared" si="14"/>
        <v>0.31619925954022776</v>
      </c>
      <c r="AW41" s="20" t="str">
        <f t="shared" si="15"/>
        <v>December</v>
      </c>
      <c r="AX41" s="21">
        <f t="shared" si="16"/>
        <v>2024</v>
      </c>
    </row>
    <row r="42" spans="1:50" ht="15.75" customHeight="1">
      <c r="A42" s="10" t="s">
        <v>250</v>
      </c>
      <c r="B42" s="11">
        <v>45575</v>
      </c>
      <c r="C42" s="11">
        <v>45581</v>
      </c>
      <c r="D42" s="10" t="s">
        <v>251</v>
      </c>
      <c r="E42" s="10" t="s">
        <v>76</v>
      </c>
      <c r="F42" s="10" t="s">
        <v>124</v>
      </c>
      <c r="G42" s="10" t="s">
        <v>92</v>
      </c>
      <c r="H42" s="10" t="s">
        <v>55</v>
      </c>
      <c r="I42" s="10" t="s">
        <v>138</v>
      </c>
      <c r="J42" s="10" t="s">
        <v>103</v>
      </c>
      <c r="K42" s="10" t="s">
        <v>109</v>
      </c>
      <c r="L42" s="10" t="s">
        <v>252</v>
      </c>
      <c r="M42" s="10" t="s">
        <v>88</v>
      </c>
      <c r="N42" s="12">
        <v>7</v>
      </c>
      <c r="O42" s="12">
        <v>2509.27</v>
      </c>
      <c r="P42" s="12">
        <v>0.2</v>
      </c>
      <c r="Q42" s="12">
        <v>14051.91</v>
      </c>
      <c r="R42" s="12">
        <v>11990.37</v>
      </c>
      <c r="S42" s="12">
        <v>2061.54</v>
      </c>
      <c r="T42" s="10" t="s">
        <v>61</v>
      </c>
      <c r="U42" s="13" t="s">
        <v>62</v>
      </c>
      <c r="V42" s="14" t="e">
        <f t="shared" ca="1" si="0"/>
        <v>#NAME?</v>
      </c>
      <c r="W42" s="10" t="str">
        <f ca="1">IFERROR(__xludf.DUMMYFUNCTION("IF(COUNTIF($A:$A,A36)=1,
""Unique"",
IF(COUNTUNIQUE(FILTER($V$2:$V$934,$A$2:$A$934=A36))&gt;1,
""Conflicting Duplicate"",
""Exact Duplicate""))"),"Unique")</f>
        <v>Unique</v>
      </c>
      <c r="X42" s="10" t="b">
        <f t="shared" ca="1" si="1"/>
        <v>1</v>
      </c>
      <c r="Y42" s="10" t="str">
        <f t="shared" si="2"/>
        <v>Unique</v>
      </c>
      <c r="Z42" s="10"/>
      <c r="AA42" s="10" t="str">
        <f t="shared" si="3"/>
        <v>Clean</v>
      </c>
      <c r="AB42" s="15" t="str">
        <f t="shared" si="4"/>
        <v>Valid</v>
      </c>
      <c r="AC42" s="15">
        <v>6</v>
      </c>
      <c r="AD42" s="16" t="str">
        <f t="shared" si="5"/>
        <v>Valid</v>
      </c>
      <c r="AE42" s="16" t="str">
        <f t="shared" si="6"/>
        <v>Valid</v>
      </c>
      <c r="AF42" s="16" t="str">
        <f t="shared" ref="AF42:AG42" si="95">IF(ISNUMBER(B42),"Valid","Invalid")</f>
        <v>Valid</v>
      </c>
      <c r="AG42" s="16" t="str">
        <f t="shared" si="95"/>
        <v>Valid</v>
      </c>
      <c r="AH42" s="16" t="str">
        <f t="shared" ref="AH42:AI42" si="96">IF(OR(B42="",ISBLANK(B42)),"Missing","Valid")</f>
        <v>Valid</v>
      </c>
      <c r="AI42" s="16" t="str">
        <f t="shared" si="96"/>
        <v>Valid</v>
      </c>
      <c r="AJ42" s="16" t="b">
        <v>0</v>
      </c>
      <c r="AK42" s="16" t="b">
        <v>0</v>
      </c>
      <c r="AL42" s="16" t="b">
        <v>0</v>
      </c>
      <c r="AM42" s="16" t="b">
        <v>0</v>
      </c>
      <c r="AN42" s="16" t="b">
        <v>0</v>
      </c>
      <c r="AO42" s="16" t="b">
        <v>0</v>
      </c>
      <c r="AP42" s="16" t="b">
        <v>0</v>
      </c>
      <c r="AQ42" s="17">
        <f t="shared" si="9"/>
        <v>0.2</v>
      </c>
      <c r="AR42" s="12">
        <f t="shared" si="10"/>
        <v>14051.912</v>
      </c>
      <c r="AS42" s="18">
        <f t="shared" si="11"/>
        <v>-2.0000000004074536E-3</v>
      </c>
      <c r="AT42" s="12">
        <f t="shared" si="12"/>
        <v>2061.5419999999995</v>
      </c>
      <c r="AU42" s="18">
        <f t="shared" si="13"/>
        <v>-1.9999999994979589E-3</v>
      </c>
      <c r="AV42" s="19">
        <f t="shared" si="14"/>
        <v>0.14670900301681361</v>
      </c>
      <c r="AW42" s="20" t="str">
        <f t="shared" si="15"/>
        <v>October</v>
      </c>
      <c r="AX42" s="21">
        <f t="shared" si="16"/>
        <v>2024</v>
      </c>
    </row>
    <row r="43" spans="1:50" ht="15.75" customHeight="1">
      <c r="A43" s="10" t="s">
        <v>253</v>
      </c>
      <c r="B43" s="11">
        <v>45363</v>
      </c>
      <c r="C43" s="11">
        <v>45368</v>
      </c>
      <c r="D43" s="10" t="s">
        <v>254</v>
      </c>
      <c r="E43" s="10" t="s">
        <v>157</v>
      </c>
      <c r="F43" s="10" t="s">
        <v>66</v>
      </c>
      <c r="G43" s="10" t="s">
        <v>67</v>
      </c>
      <c r="H43" s="10" t="s">
        <v>68</v>
      </c>
      <c r="I43" s="10" t="s">
        <v>69</v>
      </c>
      <c r="J43" s="10" t="s">
        <v>70</v>
      </c>
      <c r="K43" s="10" t="s">
        <v>187</v>
      </c>
      <c r="L43" s="10" t="s">
        <v>255</v>
      </c>
      <c r="M43" s="10" t="s">
        <v>73</v>
      </c>
      <c r="N43" s="12">
        <v>8</v>
      </c>
      <c r="O43" s="12">
        <v>855.81</v>
      </c>
      <c r="P43" s="12">
        <v>0</v>
      </c>
      <c r="Q43" s="12">
        <v>6846.48</v>
      </c>
      <c r="R43" s="12">
        <v>4239.8900000000003</v>
      </c>
      <c r="S43" s="12">
        <v>2606.59</v>
      </c>
      <c r="T43" s="10" t="s">
        <v>140</v>
      </c>
      <c r="U43" s="13" t="s">
        <v>97</v>
      </c>
      <c r="V43" s="14" t="e">
        <f t="shared" ca="1" si="0"/>
        <v>#NAME?</v>
      </c>
      <c r="W43" s="10" t="str">
        <f ca="1">IFERROR(__xludf.DUMMYFUNCTION("IF(COUNTIF($A:$A,A37)=1,
""Unique"",
IF(COUNTUNIQUE(FILTER($V$2:$V$934,$A$2:$A$934=A37))&gt;1,
""Conflicting Duplicate"",
""Exact Duplicate""))"),"Unique")</f>
        <v>Unique</v>
      </c>
      <c r="X43" s="10" t="b">
        <f t="shared" ca="1" si="1"/>
        <v>1</v>
      </c>
      <c r="Y43" s="10" t="str">
        <f t="shared" si="2"/>
        <v>Unique</v>
      </c>
      <c r="Z43" s="10"/>
      <c r="AA43" s="10" t="str">
        <f t="shared" si="3"/>
        <v>Clean</v>
      </c>
      <c r="AB43" s="15" t="str">
        <f t="shared" si="4"/>
        <v>Valid</v>
      </c>
      <c r="AC43" s="15">
        <v>5</v>
      </c>
      <c r="AD43" s="16" t="str">
        <f t="shared" si="5"/>
        <v>Valid</v>
      </c>
      <c r="AE43" s="16" t="str">
        <f t="shared" si="6"/>
        <v>Valid</v>
      </c>
      <c r="AF43" s="16" t="str">
        <f t="shared" ref="AF43:AG43" si="97">IF(ISNUMBER(B43),"Valid","Invalid")</f>
        <v>Valid</v>
      </c>
      <c r="AG43" s="16" t="str">
        <f t="shared" si="97"/>
        <v>Valid</v>
      </c>
      <c r="AH43" s="16" t="str">
        <f t="shared" ref="AH43:AI43" si="98">IF(OR(B43="",ISBLANK(B43)),"Missing","Valid")</f>
        <v>Valid</v>
      </c>
      <c r="AI43" s="16" t="str">
        <f t="shared" si="98"/>
        <v>Valid</v>
      </c>
      <c r="AJ43" s="16" t="b">
        <v>0</v>
      </c>
      <c r="AK43" s="16" t="b">
        <v>0</v>
      </c>
      <c r="AL43" s="16" t="b">
        <v>0</v>
      </c>
      <c r="AM43" s="16" t="b">
        <v>0</v>
      </c>
      <c r="AN43" s="16" t="b">
        <v>0</v>
      </c>
      <c r="AO43" s="16" t="b">
        <v>0</v>
      </c>
      <c r="AP43" s="16" t="b">
        <v>0</v>
      </c>
      <c r="AQ43" s="17">
        <f t="shared" si="9"/>
        <v>0</v>
      </c>
      <c r="AR43" s="12">
        <f t="shared" si="10"/>
        <v>6846.48</v>
      </c>
      <c r="AS43" s="18">
        <f t="shared" si="11"/>
        <v>0</v>
      </c>
      <c r="AT43" s="12">
        <f t="shared" si="12"/>
        <v>2606.5899999999992</v>
      </c>
      <c r="AU43" s="18">
        <f t="shared" si="13"/>
        <v>0</v>
      </c>
      <c r="AV43" s="19">
        <f t="shared" si="14"/>
        <v>0.38071972750961069</v>
      </c>
      <c r="AW43" s="20" t="str">
        <f t="shared" si="15"/>
        <v>March</v>
      </c>
      <c r="AX43" s="21">
        <f t="shared" si="16"/>
        <v>2024</v>
      </c>
    </row>
    <row r="44" spans="1:50" ht="15.75" customHeight="1">
      <c r="A44" s="10" t="s">
        <v>256</v>
      </c>
      <c r="B44" s="11">
        <v>45940</v>
      </c>
      <c r="C44" s="11">
        <v>45945</v>
      </c>
      <c r="D44" s="10" t="s">
        <v>257</v>
      </c>
      <c r="E44" s="10" t="s">
        <v>82</v>
      </c>
      <c r="F44" s="10" t="s">
        <v>119</v>
      </c>
      <c r="G44" s="10" t="s">
        <v>67</v>
      </c>
      <c r="H44" s="10" t="s">
        <v>258</v>
      </c>
      <c r="I44" s="10" t="s">
        <v>259</v>
      </c>
      <c r="J44" s="10" t="s">
        <v>103</v>
      </c>
      <c r="K44" s="10" t="s">
        <v>200</v>
      </c>
      <c r="L44" s="10" t="s">
        <v>260</v>
      </c>
      <c r="M44" s="10" t="s">
        <v>88</v>
      </c>
      <c r="N44" s="12">
        <v>8</v>
      </c>
      <c r="O44" s="12">
        <v>979.87</v>
      </c>
      <c r="P44" s="12">
        <v>0.05</v>
      </c>
      <c r="Q44" s="12">
        <v>7447.01</v>
      </c>
      <c r="R44" s="12">
        <v>4496.22</v>
      </c>
      <c r="S44" s="12">
        <v>2950.79</v>
      </c>
      <c r="T44" s="10" t="s">
        <v>61</v>
      </c>
      <c r="U44" s="13" t="s">
        <v>62</v>
      </c>
      <c r="V44" s="14" t="e">
        <f t="shared" ca="1" si="0"/>
        <v>#NAME?</v>
      </c>
      <c r="W44" s="10" t="str">
        <f ca="1">IFERROR(__xludf.DUMMYFUNCTION("IF(COUNTIF($A:$A,A38)=1,
""Unique"",
IF(COUNTUNIQUE(FILTER($V$2:$V$934,$A$2:$A$934=A38))&gt;1,
""Conflicting Duplicate"",
""Exact Duplicate""))"),"Unique")</f>
        <v>Unique</v>
      </c>
      <c r="X44" s="10" t="b">
        <f t="shared" ca="1" si="1"/>
        <v>1</v>
      </c>
      <c r="Y44" s="10" t="str">
        <f t="shared" si="2"/>
        <v>Unique</v>
      </c>
      <c r="Z44" s="10"/>
      <c r="AA44" s="10" t="str">
        <f t="shared" si="3"/>
        <v>Clean</v>
      </c>
      <c r="AB44" s="15" t="str">
        <f t="shared" si="4"/>
        <v>Valid</v>
      </c>
      <c r="AC44" s="15">
        <v>5</v>
      </c>
      <c r="AD44" s="16" t="str">
        <f t="shared" si="5"/>
        <v>Valid</v>
      </c>
      <c r="AE44" s="16" t="str">
        <f t="shared" si="6"/>
        <v>Valid</v>
      </c>
      <c r="AF44" s="16" t="str">
        <f t="shared" ref="AF44:AG44" si="99">IF(ISNUMBER(B44),"Valid","Invalid")</f>
        <v>Valid</v>
      </c>
      <c r="AG44" s="16" t="str">
        <f t="shared" si="99"/>
        <v>Valid</v>
      </c>
      <c r="AH44" s="16" t="str">
        <f t="shared" ref="AH44:AI44" si="100">IF(OR(B44="",ISBLANK(B44)),"Missing","Valid")</f>
        <v>Valid</v>
      </c>
      <c r="AI44" s="16" t="str">
        <f t="shared" si="100"/>
        <v>Valid</v>
      </c>
      <c r="AJ44" s="16" t="b">
        <v>0</v>
      </c>
      <c r="AK44" s="16" t="b">
        <v>0</v>
      </c>
      <c r="AL44" s="16" t="b">
        <v>0</v>
      </c>
      <c r="AM44" s="16" t="b">
        <v>0</v>
      </c>
      <c r="AN44" s="16" t="b">
        <v>0</v>
      </c>
      <c r="AO44" s="16" t="b">
        <v>0</v>
      </c>
      <c r="AP44" s="16" t="b">
        <v>0</v>
      </c>
      <c r="AQ44" s="17">
        <f t="shared" si="9"/>
        <v>0.05</v>
      </c>
      <c r="AR44" s="12">
        <f t="shared" si="10"/>
        <v>7447.0119999999997</v>
      </c>
      <c r="AS44" s="18">
        <f t="shared" si="11"/>
        <v>-1.9999999994979589E-3</v>
      </c>
      <c r="AT44" s="12">
        <f t="shared" si="12"/>
        <v>2950.7919999999995</v>
      </c>
      <c r="AU44" s="18">
        <f t="shared" si="13"/>
        <v>-1.9999999994979589E-3</v>
      </c>
      <c r="AV44" s="19">
        <f t="shared" si="14"/>
        <v>0.39623838393170302</v>
      </c>
      <c r="AW44" s="20" t="str">
        <f t="shared" si="15"/>
        <v>October</v>
      </c>
      <c r="AX44" s="21">
        <f t="shared" si="16"/>
        <v>2025</v>
      </c>
    </row>
    <row r="45" spans="1:50" ht="15.75" customHeight="1">
      <c r="A45" s="10" t="s">
        <v>261</v>
      </c>
      <c r="B45" s="11">
        <v>45481</v>
      </c>
      <c r="C45" s="11">
        <v>45487</v>
      </c>
      <c r="D45" s="10" t="s">
        <v>262</v>
      </c>
      <c r="E45" s="10" t="s">
        <v>143</v>
      </c>
      <c r="F45" s="10" t="s">
        <v>66</v>
      </c>
      <c r="G45" s="10" t="s">
        <v>67</v>
      </c>
      <c r="H45" s="10" t="s">
        <v>68</v>
      </c>
      <c r="I45" s="10" t="s">
        <v>69</v>
      </c>
      <c r="J45" s="10" t="s">
        <v>70</v>
      </c>
      <c r="K45" s="10" t="s">
        <v>86</v>
      </c>
      <c r="L45" s="10" t="s">
        <v>263</v>
      </c>
      <c r="M45" s="10" t="s">
        <v>73</v>
      </c>
      <c r="N45" s="12">
        <v>3</v>
      </c>
      <c r="O45" s="12">
        <v>1010.23</v>
      </c>
      <c r="P45" s="12">
        <v>0</v>
      </c>
      <c r="Q45" s="12">
        <v>3030.69</v>
      </c>
      <c r="R45" s="12">
        <v>1721.08</v>
      </c>
      <c r="S45" s="12">
        <v>1309.6099999999999</v>
      </c>
      <c r="T45" s="10" t="s">
        <v>61</v>
      </c>
      <c r="U45" s="13" t="s">
        <v>62</v>
      </c>
      <c r="V45" s="14" t="e">
        <f t="shared" ca="1" si="0"/>
        <v>#NAME?</v>
      </c>
      <c r="W45" s="10" t="str">
        <f ca="1">IFERROR(__xludf.DUMMYFUNCTION("IF(COUNTIF($A:$A,A39)=1,
""Unique"",
IF(COUNTUNIQUE(FILTER($V$2:$V$934,$A$2:$A$934=A39))&gt;1,
""Conflicting Duplicate"",
""Exact Duplicate""))"),"Unique")</f>
        <v>Unique</v>
      </c>
      <c r="X45" s="10" t="b">
        <f t="shared" ca="1" si="1"/>
        <v>1</v>
      </c>
      <c r="Y45" s="10" t="str">
        <f t="shared" si="2"/>
        <v>Unique</v>
      </c>
      <c r="Z45" s="10"/>
      <c r="AA45" s="10" t="str">
        <f t="shared" si="3"/>
        <v>Clean</v>
      </c>
      <c r="AB45" s="15" t="str">
        <f t="shared" si="4"/>
        <v>Valid</v>
      </c>
      <c r="AC45" s="15">
        <v>6</v>
      </c>
      <c r="AD45" s="16" t="str">
        <f t="shared" si="5"/>
        <v>Valid</v>
      </c>
      <c r="AE45" s="16" t="str">
        <f t="shared" si="6"/>
        <v>Valid</v>
      </c>
      <c r="AF45" s="16" t="str">
        <f t="shared" ref="AF45:AG45" si="101">IF(ISNUMBER(B45),"Valid","Invalid")</f>
        <v>Valid</v>
      </c>
      <c r="AG45" s="16" t="str">
        <f t="shared" si="101"/>
        <v>Valid</v>
      </c>
      <c r="AH45" s="16" t="str">
        <f t="shared" ref="AH45:AI45" si="102">IF(OR(B45="",ISBLANK(B45)),"Missing","Valid")</f>
        <v>Valid</v>
      </c>
      <c r="AI45" s="16" t="str">
        <f t="shared" si="102"/>
        <v>Valid</v>
      </c>
      <c r="AJ45" s="16" t="b">
        <v>0</v>
      </c>
      <c r="AK45" s="16" t="b">
        <v>0</v>
      </c>
      <c r="AL45" s="16" t="b">
        <v>0</v>
      </c>
      <c r="AM45" s="16" t="b">
        <v>0</v>
      </c>
      <c r="AN45" s="16" t="b">
        <v>0</v>
      </c>
      <c r="AO45" s="16" t="b">
        <v>0</v>
      </c>
      <c r="AP45" s="16" t="b">
        <v>0</v>
      </c>
      <c r="AQ45" s="17">
        <f t="shared" si="9"/>
        <v>0</v>
      </c>
      <c r="AR45" s="12">
        <f t="shared" si="10"/>
        <v>3030.69</v>
      </c>
      <c r="AS45" s="18">
        <f t="shared" si="11"/>
        <v>0</v>
      </c>
      <c r="AT45" s="12">
        <f t="shared" si="12"/>
        <v>1309.6100000000001</v>
      </c>
      <c r="AU45" s="18">
        <f t="shared" si="13"/>
        <v>0</v>
      </c>
      <c r="AV45" s="19">
        <f t="shared" si="14"/>
        <v>0.43211611877163292</v>
      </c>
      <c r="AW45" s="20" t="str">
        <f t="shared" si="15"/>
        <v>July</v>
      </c>
      <c r="AX45" s="21">
        <f t="shared" si="16"/>
        <v>2024</v>
      </c>
    </row>
    <row r="46" spans="1:50" ht="15.75" customHeight="1">
      <c r="A46" s="10" t="s">
        <v>264</v>
      </c>
      <c r="B46" s="11">
        <v>45465</v>
      </c>
      <c r="C46" s="11">
        <v>45468</v>
      </c>
      <c r="D46" s="10" t="s">
        <v>265</v>
      </c>
      <c r="E46" s="10" t="s">
        <v>170</v>
      </c>
      <c r="F46" s="10" t="s">
        <v>66</v>
      </c>
      <c r="G46" s="10" t="s">
        <v>54</v>
      </c>
      <c r="H46" s="10" t="s">
        <v>266</v>
      </c>
      <c r="I46" s="10" t="s">
        <v>267</v>
      </c>
      <c r="J46" s="10" t="s">
        <v>70</v>
      </c>
      <c r="K46" s="10" t="s">
        <v>95</v>
      </c>
      <c r="L46" s="10" t="s">
        <v>268</v>
      </c>
      <c r="M46" s="10" t="s">
        <v>88</v>
      </c>
      <c r="N46" s="12">
        <v>9</v>
      </c>
      <c r="O46" s="12">
        <v>3329.77</v>
      </c>
      <c r="P46" s="12">
        <v>0.1</v>
      </c>
      <c r="Q46" s="12">
        <v>26971.14</v>
      </c>
      <c r="R46" s="12">
        <v>17376.2</v>
      </c>
      <c r="S46" s="12">
        <v>9594.94</v>
      </c>
      <c r="T46" s="10" t="s">
        <v>61</v>
      </c>
      <c r="U46" s="13" t="s">
        <v>62</v>
      </c>
      <c r="V46" s="14" t="e">
        <f t="shared" ca="1" si="0"/>
        <v>#NAME?</v>
      </c>
      <c r="W46" s="10" t="str">
        <f ca="1">IFERROR(__xludf.DUMMYFUNCTION("IF(COUNTIF($A:$A,A40)=1,
""Unique"",
IF(COUNTUNIQUE(FILTER($V$2:$V$934,$A$2:$A$934=A40))&gt;1,
""Conflicting Duplicate"",
""Exact Duplicate""))"),"Unique")</f>
        <v>Unique</v>
      </c>
      <c r="X46" s="10" t="b">
        <f t="shared" ca="1" si="1"/>
        <v>1</v>
      </c>
      <c r="Y46" s="10" t="str">
        <f t="shared" si="2"/>
        <v>Unique</v>
      </c>
      <c r="Z46" s="10"/>
      <c r="AA46" s="10" t="str">
        <f t="shared" si="3"/>
        <v>Clean</v>
      </c>
      <c r="AB46" s="15" t="str">
        <f t="shared" si="4"/>
        <v>Valid</v>
      </c>
      <c r="AC46" s="15">
        <v>3</v>
      </c>
      <c r="AD46" s="16" t="str">
        <f t="shared" si="5"/>
        <v>Valid</v>
      </c>
      <c r="AE46" s="16" t="str">
        <f t="shared" si="6"/>
        <v>Valid</v>
      </c>
      <c r="AF46" s="16" t="str">
        <f t="shared" ref="AF46:AG46" si="103">IF(ISNUMBER(B46),"Valid","Invalid")</f>
        <v>Valid</v>
      </c>
      <c r="AG46" s="16" t="str">
        <f t="shared" si="103"/>
        <v>Valid</v>
      </c>
      <c r="AH46" s="16" t="str">
        <f t="shared" ref="AH46:AI46" si="104">IF(OR(B46="",ISBLANK(B46)),"Missing","Valid")</f>
        <v>Valid</v>
      </c>
      <c r="AI46" s="16" t="str">
        <f t="shared" si="104"/>
        <v>Valid</v>
      </c>
      <c r="AJ46" s="16" t="b">
        <v>0</v>
      </c>
      <c r="AK46" s="16" t="b">
        <v>0</v>
      </c>
      <c r="AL46" s="16" t="b">
        <v>0</v>
      </c>
      <c r="AM46" s="16" t="b">
        <v>0</v>
      </c>
      <c r="AN46" s="16" t="b">
        <v>0</v>
      </c>
      <c r="AO46" s="16" t="b">
        <v>0</v>
      </c>
      <c r="AP46" s="16" t="b">
        <v>0</v>
      </c>
      <c r="AQ46" s="17">
        <f t="shared" si="9"/>
        <v>0.1</v>
      </c>
      <c r="AR46" s="12">
        <f t="shared" si="10"/>
        <v>26971.137000000002</v>
      </c>
      <c r="AS46" s="18">
        <f t="shared" si="11"/>
        <v>2.9999999969732016E-3</v>
      </c>
      <c r="AT46" s="12">
        <f t="shared" si="12"/>
        <v>9594.9370000000017</v>
      </c>
      <c r="AU46" s="18">
        <f t="shared" si="13"/>
        <v>2.999999998792191E-3</v>
      </c>
      <c r="AV46" s="19">
        <f t="shared" si="14"/>
        <v>0.35574833200394929</v>
      </c>
      <c r="AW46" s="20" t="str">
        <f t="shared" si="15"/>
        <v>June</v>
      </c>
      <c r="AX46" s="21">
        <f t="shared" si="16"/>
        <v>2024</v>
      </c>
    </row>
    <row r="47" spans="1:50" ht="15.75" customHeight="1">
      <c r="A47" s="10" t="s">
        <v>269</v>
      </c>
      <c r="B47" s="11">
        <v>45309</v>
      </c>
      <c r="C47" s="11">
        <v>45315</v>
      </c>
      <c r="D47" s="10" t="s">
        <v>270</v>
      </c>
      <c r="E47" s="10" t="s">
        <v>76</v>
      </c>
      <c r="F47" s="10" t="s">
        <v>124</v>
      </c>
      <c r="G47" s="10" t="s">
        <v>67</v>
      </c>
      <c r="H47" s="10" t="s">
        <v>174</v>
      </c>
      <c r="I47" s="10" t="s">
        <v>175</v>
      </c>
      <c r="J47" s="10" t="s">
        <v>57</v>
      </c>
      <c r="K47" s="10" t="s">
        <v>77</v>
      </c>
      <c r="L47" s="10" t="s">
        <v>271</v>
      </c>
      <c r="M47" s="10" t="s">
        <v>60</v>
      </c>
      <c r="N47" s="12">
        <v>8</v>
      </c>
      <c r="O47" s="12">
        <v>3927.82</v>
      </c>
      <c r="P47" s="12">
        <v>0.05</v>
      </c>
      <c r="Q47" s="12">
        <v>29851.43</v>
      </c>
      <c r="R47" s="12">
        <v>17487.48</v>
      </c>
      <c r="S47" s="12">
        <v>12363.95</v>
      </c>
      <c r="T47" s="10" t="s">
        <v>140</v>
      </c>
      <c r="U47" s="13" t="s">
        <v>132</v>
      </c>
      <c r="V47" s="14" t="e">
        <f t="shared" ca="1" si="0"/>
        <v>#NAME?</v>
      </c>
      <c r="W47" s="10" t="str">
        <f ca="1">IFERROR(__xludf.DUMMYFUNCTION("IF(COUNTIF($A:$A,A41)=1,
""Unique"",
IF(COUNTUNIQUE(FILTER($V$2:$V$934,$A$2:$A$934=A41))&gt;1,
""Conflicting Duplicate"",
""Exact Duplicate""))"),"Unique")</f>
        <v>Unique</v>
      </c>
      <c r="X47" s="10" t="b">
        <f t="shared" ca="1" si="1"/>
        <v>1</v>
      </c>
      <c r="Y47" s="10" t="str">
        <f t="shared" si="2"/>
        <v>Unique</v>
      </c>
      <c r="Z47" s="10"/>
      <c r="AA47" s="10" t="str">
        <f t="shared" si="3"/>
        <v>Clean</v>
      </c>
      <c r="AB47" s="15" t="str">
        <f t="shared" si="4"/>
        <v>Valid</v>
      </c>
      <c r="AC47" s="15">
        <v>6</v>
      </c>
      <c r="AD47" s="16" t="str">
        <f t="shared" si="5"/>
        <v>Valid</v>
      </c>
      <c r="AE47" s="16" t="str">
        <f t="shared" si="6"/>
        <v>Valid</v>
      </c>
      <c r="AF47" s="16" t="str">
        <f t="shared" ref="AF47:AG47" si="105">IF(ISNUMBER(B47),"Valid","Invalid")</f>
        <v>Valid</v>
      </c>
      <c r="AG47" s="16" t="str">
        <f t="shared" si="105"/>
        <v>Valid</v>
      </c>
      <c r="AH47" s="16" t="str">
        <f t="shared" ref="AH47:AI47" si="106">IF(OR(B47="",ISBLANK(B47)),"Missing","Valid")</f>
        <v>Valid</v>
      </c>
      <c r="AI47" s="16" t="str">
        <f t="shared" si="106"/>
        <v>Valid</v>
      </c>
      <c r="AJ47" s="16" t="b">
        <v>0</v>
      </c>
      <c r="AK47" s="16" t="b">
        <v>0</v>
      </c>
      <c r="AL47" s="16" t="b">
        <v>0</v>
      </c>
      <c r="AM47" s="16" t="b">
        <v>0</v>
      </c>
      <c r="AN47" s="16" t="b">
        <v>0</v>
      </c>
      <c r="AO47" s="16" t="b">
        <v>0</v>
      </c>
      <c r="AP47" s="16" t="b">
        <v>0</v>
      </c>
      <c r="AQ47" s="17">
        <f t="shared" si="9"/>
        <v>0.05</v>
      </c>
      <c r="AR47" s="12">
        <f t="shared" si="10"/>
        <v>29851.432000000001</v>
      </c>
      <c r="AS47" s="18">
        <f t="shared" si="11"/>
        <v>-2.0000000004074536E-3</v>
      </c>
      <c r="AT47" s="12">
        <f t="shared" si="12"/>
        <v>12363.952000000001</v>
      </c>
      <c r="AU47" s="18">
        <f t="shared" si="13"/>
        <v>-2.0000000004074536E-3</v>
      </c>
      <c r="AV47" s="19">
        <f t="shared" si="14"/>
        <v>0.41418287739094062</v>
      </c>
      <c r="AW47" s="20" t="str">
        <f t="shared" si="15"/>
        <v>January</v>
      </c>
      <c r="AX47" s="21">
        <f t="shared" si="16"/>
        <v>2024</v>
      </c>
    </row>
    <row r="48" spans="1:50" ht="15.75" customHeight="1">
      <c r="A48" s="10" t="s">
        <v>272</v>
      </c>
      <c r="B48" s="11">
        <v>45492</v>
      </c>
      <c r="C48" s="11">
        <v>45492</v>
      </c>
      <c r="D48" s="10" t="s">
        <v>273</v>
      </c>
      <c r="E48" s="10" t="s">
        <v>91</v>
      </c>
      <c r="F48" s="10" t="s">
        <v>66</v>
      </c>
      <c r="G48" s="10" t="s">
        <v>83</v>
      </c>
      <c r="H48" s="10" t="s">
        <v>214</v>
      </c>
      <c r="I48" s="10" t="s">
        <v>215</v>
      </c>
      <c r="J48" s="10" t="s">
        <v>70</v>
      </c>
      <c r="K48" s="10" t="s">
        <v>187</v>
      </c>
      <c r="L48" s="10" t="s">
        <v>274</v>
      </c>
      <c r="M48" s="10" t="s">
        <v>88</v>
      </c>
      <c r="N48" s="12">
        <v>9</v>
      </c>
      <c r="O48" s="12">
        <v>2386.79</v>
      </c>
      <c r="P48" s="12">
        <v>0.25</v>
      </c>
      <c r="Q48" s="12">
        <v>16110.83</v>
      </c>
      <c r="R48" s="12">
        <v>10680.03</v>
      </c>
      <c r="S48" s="12">
        <v>5430.8</v>
      </c>
      <c r="T48" s="10" t="s">
        <v>131</v>
      </c>
      <c r="U48" s="13" t="s">
        <v>132</v>
      </c>
      <c r="V48" s="14" t="e">
        <f t="shared" ca="1" si="0"/>
        <v>#NAME?</v>
      </c>
      <c r="W48" s="10" t="str">
        <f ca="1">IFERROR(__xludf.DUMMYFUNCTION("IF(COUNTIF($A:$A,A42)=1,
""Unique"",
IF(COUNTUNIQUE(FILTER($V$2:$V$934,$A$2:$A$934=A42))&gt;1,
""Conflicting Duplicate"",
""Exact Duplicate""))"),"Unique")</f>
        <v>Unique</v>
      </c>
      <c r="X48" s="10" t="b">
        <f t="shared" ca="1" si="1"/>
        <v>1</v>
      </c>
      <c r="Y48" s="10" t="str">
        <f t="shared" si="2"/>
        <v>Unique</v>
      </c>
      <c r="Z48" s="10"/>
      <c r="AA48" s="10" t="str">
        <f t="shared" si="3"/>
        <v>Clean</v>
      </c>
      <c r="AB48" s="15" t="str">
        <f t="shared" si="4"/>
        <v>Valid</v>
      </c>
      <c r="AC48" s="15">
        <v>0</v>
      </c>
      <c r="AD48" s="16" t="str">
        <f t="shared" si="5"/>
        <v>Valid</v>
      </c>
      <c r="AE48" s="16" t="str">
        <f t="shared" si="6"/>
        <v>Valid</v>
      </c>
      <c r="AF48" s="16" t="str">
        <f t="shared" ref="AF48:AG48" si="107">IF(ISNUMBER(B48),"Valid","Invalid")</f>
        <v>Valid</v>
      </c>
      <c r="AG48" s="16" t="str">
        <f t="shared" si="107"/>
        <v>Valid</v>
      </c>
      <c r="AH48" s="16" t="str">
        <f t="shared" ref="AH48:AI48" si="108">IF(OR(B48="",ISBLANK(B48)),"Missing","Valid")</f>
        <v>Valid</v>
      </c>
      <c r="AI48" s="16" t="str">
        <f t="shared" si="108"/>
        <v>Valid</v>
      </c>
      <c r="AJ48" s="16" t="b">
        <v>0</v>
      </c>
      <c r="AK48" s="16" t="b">
        <v>0</v>
      </c>
      <c r="AL48" s="16" t="b">
        <v>0</v>
      </c>
      <c r="AM48" s="16" t="b">
        <v>0</v>
      </c>
      <c r="AN48" s="16" t="b">
        <v>0</v>
      </c>
      <c r="AO48" s="16" t="b">
        <v>0</v>
      </c>
      <c r="AP48" s="16" t="b">
        <v>0</v>
      </c>
      <c r="AQ48" s="17">
        <f t="shared" si="9"/>
        <v>0.25</v>
      </c>
      <c r="AR48" s="12">
        <f t="shared" si="10"/>
        <v>16110.8325</v>
      </c>
      <c r="AS48" s="18">
        <f t="shared" si="11"/>
        <v>-2.500000000509317E-3</v>
      </c>
      <c r="AT48" s="12">
        <f t="shared" si="12"/>
        <v>5430.8024999999998</v>
      </c>
      <c r="AU48" s="18">
        <f t="shared" si="13"/>
        <v>-2.4999999995998223E-3</v>
      </c>
      <c r="AV48" s="19">
        <f t="shared" si="14"/>
        <v>0.33709012243780695</v>
      </c>
      <c r="AW48" s="20" t="str">
        <f t="shared" si="15"/>
        <v>July</v>
      </c>
      <c r="AX48" s="21">
        <f t="shared" si="16"/>
        <v>2024</v>
      </c>
    </row>
    <row r="49" spans="1:50" ht="15.75" customHeight="1">
      <c r="A49" s="10" t="s">
        <v>275</v>
      </c>
      <c r="B49" s="11">
        <v>45516</v>
      </c>
      <c r="C49" s="11">
        <v>45516</v>
      </c>
      <c r="D49" s="10" t="s">
        <v>276</v>
      </c>
      <c r="E49" s="10" t="s">
        <v>147</v>
      </c>
      <c r="F49" s="10" t="s">
        <v>119</v>
      </c>
      <c r="G49" s="10" t="s">
        <v>83</v>
      </c>
      <c r="H49" s="10" t="s">
        <v>277</v>
      </c>
      <c r="I49" s="10" t="s">
        <v>278</v>
      </c>
      <c r="J49" s="10" t="s">
        <v>57</v>
      </c>
      <c r="K49" s="10" t="s">
        <v>153</v>
      </c>
      <c r="L49" s="10" t="s">
        <v>279</v>
      </c>
      <c r="M49" s="10" t="s">
        <v>88</v>
      </c>
      <c r="N49" s="12">
        <v>8</v>
      </c>
      <c r="O49" s="12">
        <v>2445.31</v>
      </c>
      <c r="P49" s="12">
        <v>0.1</v>
      </c>
      <c r="Q49" s="12">
        <v>17606.23</v>
      </c>
      <c r="R49" s="12">
        <v>12438.96</v>
      </c>
      <c r="S49" s="12">
        <v>5167.2700000000004</v>
      </c>
      <c r="T49" s="10" t="s">
        <v>61</v>
      </c>
      <c r="U49" s="13" t="s">
        <v>62</v>
      </c>
      <c r="V49" s="14" t="e">
        <f t="shared" ca="1" si="0"/>
        <v>#NAME?</v>
      </c>
      <c r="W49" s="10" t="str">
        <f ca="1">IFERROR(__xludf.DUMMYFUNCTION("IF(COUNTIF($A:$A,A43)=1,
""Unique"",
IF(COUNTUNIQUE(FILTER($V$2:$V$934,$A$2:$A$934=A43))&gt;1,
""Conflicting Duplicate"",
""Exact Duplicate""))"),"Unique")</f>
        <v>Unique</v>
      </c>
      <c r="X49" s="10" t="b">
        <f t="shared" ca="1" si="1"/>
        <v>1</v>
      </c>
      <c r="Y49" s="10" t="str">
        <f t="shared" si="2"/>
        <v>Unique</v>
      </c>
      <c r="Z49" s="10"/>
      <c r="AA49" s="10" t="str">
        <f t="shared" si="3"/>
        <v>Clean</v>
      </c>
      <c r="AB49" s="15" t="str">
        <f t="shared" si="4"/>
        <v>Valid</v>
      </c>
      <c r="AC49" s="15">
        <v>0</v>
      </c>
      <c r="AD49" s="16" t="str">
        <f t="shared" si="5"/>
        <v>Valid</v>
      </c>
      <c r="AE49" s="16" t="str">
        <f t="shared" si="6"/>
        <v>Valid</v>
      </c>
      <c r="AF49" s="16" t="str">
        <f t="shared" ref="AF49:AG49" si="109">IF(ISNUMBER(B49),"Valid","Invalid")</f>
        <v>Valid</v>
      </c>
      <c r="AG49" s="16" t="str">
        <f t="shared" si="109"/>
        <v>Valid</v>
      </c>
      <c r="AH49" s="16" t="str">
        <f t="shared" ref="AH49:AI49" si="110">IF(OR(B49="",ISBLANK(B49)),"Missing","Valid")</f>
        <v>Valid</v>
      </c>
      <c r="AI49" s="16" t="str">
        <f t="shared" si="110"/>
        <v>Valid</v>
      </c>
      <c r="AJ49" s="16" t="b">
        <v>0</v>
      </c>
      <c r="AK49" s="16" t="b">
        <v>0</v>
      </c>
      <c r="AL49" s="16" t="b">
        <v>0</v>
      </c>
      <c r="AM49" s="16" t="b">
        <v>0</v>
      </c>
      <c r="AN49" s="16" t="b">
        <v>0</v>
      </c>
      <c r="AO49" s="16" t="b">
        <v>0</v>
      </c>
      <c r="AP49" s="16" t="b">
        <v>0</v>
      </c>
      <c r="AQ49" s="17">
        <f t="shared" si="9"/>
        <v>0.1</v>
      </c>
      <c r="AR49" s="12">
        <f t="shared" si="10"/>
        <v>17606.232</v>
      </c>
      <c r="AS49" s="18">
        <f t="shared" si="11"/>
        <v>-2.0000000004074536E-3</v>
      </c>
      <c r="AT49" s="12">
        <f t="shared" si="12"/>
        <v>5167.2720000000008</v>
      </c>
      <c r="AU49" s="18">
        <f t="shared" si="13"/>
        <v>-2.0000000004074536E-3</v>
      </c>
      <c r="AV49" s="19">
        <f t="shared" si="14"/>
        <v>0.29349107747756592</v>
      </c>
      <c r="AW49" s="20" t="str">
        <f t="shared" si="15"/>
        <v>August</v>
      </c>
      <c r="AX49" s="21">
        <f t="shared" si="16"/>
        <v>2024</v>
      </c>
    </row>
    <row r="50" spans="1:50" ht="15.75" customHeight="1">
      <c r="A50" s="10" t="s">
        <v>280</v>
      </c>
      <c r="B50" s="11">
        <v>45687</v>
      </c>
      <c r="C50" s="11">
        <v>45693</v>
      </c>
      <c r="D50" s="10" t="s">
        <v>281</v>
      </c>
      <c r="E50" s="10" t="s">
        <v>108</v>
      </c>
      <c r="F50" s="10" t="s">
        <v>119</v>
      </c>
      <c r="G50" s="10" t="s">
        <v>92</v>
      </c>
      <c r="H50" s="10" t="s">
        <v>93</v>
      </c>
      <c r="I50" s="10" t="s">
        <v>94</v>
      </c>
      <c r="J50" s="10" t="s">
        <v>70</v>
      </c>
      <c r="K50" s="10" t="s">
        <v>95</v>
      </c>
      <c r="L50" s="10" t="s">
        <v>282</v>
      </c>
      <c r="M50" s="10" t="s">
        <v>60</v>
      </c>
      <c r="N50" s="12">
        <v>7</v>
      </c>
      <c r="O50" s="12">
        <v>4063.66</v>
      </c>
      <c r="P50" s="12">
        <v>0</v>
      </c>
      <c r="Q50" s="12">
        <v>28445.62</v>
      </c>
      <c r="R50" s="12">
        <v>20938.59</v>
      </c>
      <c r="S50" s="12">
        <v>7507.03</v>
      </c>
      <c r="T50" s="10" t="s">
        <v>61</v>
      </c>
      <c r="U50" s="13" t="s">
        <v>62</v>
      </c>
      <c r="V50" s="14" t="e">
        <f t="shared" ca="1" si="0"/>
        <v>#NAME?</v>
      </c>
      <c r="W50" s="10" t="str">
        <f ca="1">IFERROR(__xludf.DUMMYFUNCTION("IF(COUNTIF($A:$A,A44)=1,
""Unique"",
IF(COUNTUNIQUE(FILTER($V$2:$V$934,$A$2:$A$934=A44))&gt;1,
""Conflicting Duplicate"",
""Exact Duplicate""))"),"Unique")</f>
        <v>Unique</v>
      </c>
      <c r="X50" s="10" t="b">
        <f t="shared" ca="1" si="1"/>
        <v>1</v>
      </c>
      <c r="Y50" s="10" t="str">
        <f t="shared" si="2"/>
        <v>Unique</v>
      </c>
      <c r="Z50" s="10"/>
      <c r="AA50" s="10" t="str">
        <f t="shared" si="3"/>
        <v>Clean</v>
      </c>
      <c r="AB50" s="15" t="str">
        <f t="shared" si="4"/>
        <v>Valid</v>
      </c>
      <c r="AC50" s="15">
        <v>6</v>
      </c>
      <c r="AD50" s="16" t="str">
        <f t="shared" si="5"/>
        <v>Valid</v>
      </c>
      <c r="AE50" s="16" t="str">
        <f t="shared" si="6"/>
        <v>Valid</v>
      </c>
      <c r="AF50" s="16" t="str">
        <f t="shared" ref="AF50:AG50" si="111">IF(ISNUMBER(B50),"Valid","Invalid")</f>
        <v>Valid</v>
      </c>
      <c r="AG50" s="16" t="str">
        <f t="shared" si="111"/>
        <v>Valid</v>
      </c>
      <c r="AH50" s="16" t="str">
        <f t="shared" ref="AH50:AI50" si="112">IF(OR(B50="",ISBLANK(B50)),"Missing","Valid")</f>
        <v>Valid</v>
      </c>
      <c r="AI50" s="16" t="str">
        <f t="shared" si="112"/>
        <v>Valid</v>
      </c>
      <c r="AJ50" s="16" t="b">
        <v>0</v>
      </c>
      <c r="AK50" s="16" t="b">
        <v>0</v>
      </c>
      <c r="AL50" s="16" t="b">
        <v>0</v>
      </c>
      <c r="AM50" s="16" t="b">
        <v>0</v>
      </c>
      <c r="AN50" s="16" t="b">
        <v>0</v>
      </c>
      <c r="AO50" s="16" t="b">
        <v>0</v>
      </c>
      <c r="AP50" s="16" t="b">
        <v>0</v>
      </c>
      <c r="AQ50" s="17">
        <f t="shared" si="9"/>
        <v>0</v>
      </c>
      <c r="AR50" s="12">
        <f t="shared" si="10"/>
        <v>28445.62</v>
      </c>
      <c r="AS50" s="18">
        <f t="shared" si="11"/>
        <v>0</v>
      </c>
      <c r="AT50" s="12">
        <f t="shared" si="12"/>
        <v>7507.0299999999988</v>
      </c>
      <c r="AU50" s="18">
        <f t="shared" si="13"/>
        <v>0</v>
      </c>
      <c r="AV50" s="19">
        <f t="shared" si="14"/>
        <v>0.26390811660986818</v>
      </c>
      <c r="AW50" s="20" t="str">
        <f t="shared" si="15"/>
        <v>January</v>
      </c>
      <c r="AX50" s="21">
        <f t="shared" si="16"/>
        <v>2025</v>
      </c>
    </row>
    <row r="51" spans="1:50" ht="15.75" customHeight="1">
      <c r="A51" s="10" t="s">
        <v>283</v>
      </c>
      <c r="B51" s="11">
        <v>45388</v>
      </c>
      <c r="C51" s="11">
        <v>45395</v>
      </c>
      <c r="D51" s="10" t="s">
        <v>284</v>
      </c>
      <c r="E51" s="10" t="s">
        <v>157</v>
      </c>
      <c r="F51" s="10" t="s">
        <v>124</v>
      </c>
      <c r="G51" s="10" t="s">
        <v>54</v>
      </c>
      <c r="H51" s="10" t="s">
        <v>165</v>
      </c>
      <c r="I51" s="10" t="s">
        <v>166</v>
      </c>
      <c r="J51" s="10" t="s">
        <v>103</v>
      </c>
      <c r="K51" s="10" t="s">
        <v>109</v>
      </c>
      <c r="L51" s="10" t="s">
        <v>285</v>
      </c>
      <c r="M51" s="10" t="s">
        <v>60</v>
      </c>
      <c r="N51" s="12">
        <v>9</v>
      </c>
      <c r="O51" s="12">
        <v>792.11</v>
      </c>
      <c r="P51" s="12">
        <v>0.05</v>
      </c>
      <c r="Q51" s="12">
        <v>6772.54</v>
      </c>
      <c r="R51" s="12">
        <v>5755.46</v>
      </c>
      <c r="S51" s="12">
        <v>1017.08</v>
      </c>
      <c r="T51" s="10" t="s">
        <v>61</v>
      </c>
      <c r="U51" s="13" t="s">
        <v>62</v>
      </c>
      <c r="V51" s="14" t="e">
        <f t="shared" ca="1" si="0"/>
        <v>#NAME?</v>
      </c>
      <c r="W51" s="10" t="str">
        <f ca="1">IFERROR(__xludf.DUMMYFUNCTION("IF(COUNTIF($A:$A,A45)=1,
""Unique"",
IF(COUNTUNIQUE(FILTER($V$2:$V$934,$A$2:$A$934=A45))&gt;1,
""Conflicting Duplicate"",
""Exact Duplicate""))"),"Unique")</f>
        <v>Unique</v>
      </c>
      <c r="X51" s="10" t="b">
        <f t="shared" ca="1" si="1"/>
        <v>1</v>
      </c>
      <c r="Y51" s="10" t="str">
        <f t="shared" si="2"/>
        <v>Unique</v>
      </c>
      <c r="Z51" s="10"/>
      <c r="AA51" s="10" t="str">
        <f t="shared" si="3"/>
        <v>Clean</v>
      </c>
      <c r="AB51" s="15" t="str">
        <f t="shared" si="4"/>
        <v>Valid</v>
      </c>
      <c r="AC51" s="15">
        <v>7</v>
      </c>
      <c r="AD51" s="16" t="str">
        <f t="shared" si="5"/>
        <v>Valid</v>
      </c>
      <c r="AE51" s="16" t="str">
        <f t="shared" si="6"/>
        <v>Valid</v>
      </c>
      <c r="AF51" s="16" t="str">
        <f t="shared" ref="AF51:AG51" si="113">IF(ISNUMBER(B51),"Valid","Invalid")</f>
        <v>Valid</v>
      </c>
      <c r="AG51" s="16" t="str">
        <f t="shared" si="113"/>
        <v>Valid</v>
      </c>
      <c r="AH51" s="16" t="str">
        <f t="shared" ref="AH51:AI51" si="114">IF(OR(B51="",ISBLANK(B51)),"Missing","Valid")</f>
        <v>Valid</v>
      </c>
      <c r="AI51" s="16" t="str">
        <f t="shared" si="114"/>
        <v>Valid</v>
      </c>
      <c r="AJ51" s="16" t="b">
        <v>0</v>
      </c>
      <c r="AK51" s="16" t="b">
        <v>0</v>
      </c>
      <c r="AL51" s="16" t="b">
        <v>0</v>
      </c>
      <c r="AM51" s="16" t="b">
        <v>0</v>
      </c>
      <c r="AN51" s="16" t="b">
        <v>0</v>
      </c>
      <c r="AO51" s="16" t="b">
        <v>0</v>
      </c>
      <c r="AP51" s="16" t="b">
        <v>0</v>
      </c>
      <c r="AQ51" s="17">
        <f t="shared" si="9"/>
        <v>0.05</v>
      </c>
      <c r="AR51" s="12">
        <f t="shared" si="10"/>
        <v>6772.5404999999992</v>
      </c>
      <c r="AS51" s="18">
        <f t="shared" si="11"/>
        <v>-4.999999991923687E-4</v>
      </c>
      <c r="AT51" s="12">
        <f t="shared" si="12"/>
        <v>1017.0804999999991</v>
      </c>
      <c r="AU51" s="18">
        <f t="shared" si="13"/>
        <v>-4.9999999907868187E-4</v>
      </c>
      <c r="AV51" s="19">
        <f t="shared" si="14"/>
        <v>0.15017710119267641</v>
      </c>
      <c r="AW51" s="20" t="str">
        <f t="shared" si="15"/>
        <v>April</v>
      </c>
      <c r="AX51" s="21">
        <f t="shared" si="16"/>
        <v>2024</v>
      </c>
    </row>
    <row r="52" spans="1:50" ht="15.75" customHeight="1">
      <c r="A52" s="10" t="s">
        <v>286</v>
      </c>
      <c r="B52" s="11">
        <v>45788</v>
      </c>
      <c r="C52" s="11">
        <v>45796</v>
      </c>
      <c r="D52" s="10" t="s">
        <v>287</v>
      </c>
      <c r="E52" s="10" t="s">
        <v>161</v>
      </c>
      <c r="F52" s="10" t="s">
        <v>53</v>
      </c>
      <c r="G52" s="10" t="s">
        <v>67</v>
      </c>
      <c r="H52" s="10" t="s">
        <v>128</v>
      </c>
      <c r="I52" s="10" t="s">
        <v>129</v>
      </c>
      <c r="J52" s="10" t="s">
        <v>103</v>
      </c>
      <c r="K52" s="10" t="s">
        <v>109</v>
      </c>
      <c r="L52" s="10" t="s">
        <v>288</v>
      </c>
      <c r="M52" s="10" t="s">
        <v>88</v>
      </c>
      <c r="N52" s="12">
        <v>1</v>
      </c>
      <c r="O52" s="12">
        <v>2382.8000000000002</v>
      </c>
      <c r="P52" s="12">
        <v>0.15</v>
      </c>
      <c r="Q52" s="12">
        <v>2025.38</v>
      </c>
      <c r="R52" s="12">
        <v>1140.6500000000001</v>
      </c>
      <c r="S52" s="12">
        <v>884.73</v>
      </c>
      <c r="T52" s="10" t="s">
        <v>61</v>
      </c>
      <c r="U52" s="13" t="s">
        <v>62</v>
      </c>
      <c r="V52" s="14" t="e">
        <f t="shared" ca="1" si="0"/>
        <v>#NAME?</v>
      </c>
      <c r="W52" s="10" t="str">
        <f ca="1">IFERROR(__xludf.DUMMYFUNCTION("IF(COUNTIF($A:$A,A46)=1,
""Unique"",
IF(COUNTUNIQUE(FILTER($V$2:$V$934,$A$2:$A$934=A46))&gt;1,
""Conflicting Duplicate"",
""Exact Duplicate""))"),"Unique")</f>
        <v>Unique</v>
      </c>
      <c r="X52" s="10" t="b">
        <f t="shared" ca="1" si="1"/>
        <v>1</v>
      </c>
      <c r="Y52" s="10" t="str">
        <f t="shared" si="2"/>
        <v>Unique</v>
      </c>
      <c r="Z52" s="10"/>
      <c r="AA52" s="10" t="str">
        <f t="shared" si="3"/>
        <v>Clean</v>
      </c>
      <c r="AB52" s="15" t="str">
        <f t="shared" si="4"/>
        <v>Valid</v>
      </c>
      <c r="AC52" s="15">
        <v>8</v>
      </c>
      <c r="AD52" s="16" t="str">
        <f t="shared" si="5"/>
        <v>Valid</v>
      </c>
      <c r="AE52" s="16" t="str">
        <f t="shared" si="6"/>
        <v>Valid</v>
      </c>
      <c r="AF52" s="16" t="str">
        <f t="shared" ref="AF52:AG52" si="115">IF(ISNUMBER(B52),"Valid","Invalid")</f>
        <v>Valid</v>
      </c>
      <c r="AG52" s="16" t="str">
        <f t="shared" si="115"/>
        <v>Valid</v>
      </c>
      <c r="AH52" s="16" t="str">
        <f t="shared" ref="AH52:AI52" si="116">IF(OR(B52="",ISBLANK(B52)),"Missing","Valid")</f>
        <v>Valid</v>
      </c>
      <c r="AI52" s="16" t="str">
        <f t="shared" si="116"/>
        <v>Valid</v>
      </c>
      <c r="AJ52" s="16" t="b">
        <v>0</v>
      </c>
      <c r="AK52" s="16" t="b">
        <v>0</v>
      </c>
      <c r="AL52" s="16" t="b">
        <v>0</v>
      </c>
      <c r="AM52" s="16" t="b">
        <v>0</v>
      </c>
      <c r="AN52" s="16" t="b">
        <v>0</v>
      </c>
      <c r="AO52" s="16" t="b">
        <v>0</v>
      </c>
      <c r="AP52" s="16" t="b">
        <v>0</v>
      </c>
      <c r="AQ52" s="17">
        <f t="shared" si="9"/>
        <v>0.15</v>
      </c>
      <c r="AR52" s="12">
        <f t="shared" si="10"/>
        <v>2025.38</v>
      </c>
      <c r="AS52" s="18">
        <f t="shared" si="11"/>
        <v>0</v>
      </c>
      <c r="AT52" s="12">
        <f t="shared" si="12"/>
        <v>884.73</v>
      </c>
      <c r="AU52" s="18">
        <f t="shared" si="13"/>
        <v>0</v>
      </c>
      <c r="AV52" s="19">
        <f t="shared" si="14"/>
        <v>0.43682173221815163</v>
      </c>
      <c r="AW52" s="20" t="str">
        <f t="shared" si="15"/>
        <v>May</v>
      </c>
      <c r="AX52" s="21">
        <f t="shared" si="16"/>
        <v>2025</v>
      </c>
    </row>
    <row r="53" spans="1:50" ht="15.75" customHeight="1">
      <c r="A53" s="10" t="s">
        <v>289</v>
      </c>
      <c r="B53" s="11">
        <v>45406</v>
      </c>
      <c r="C53" s="11">
        <v>45411</v>
      </c>
      <c r="D53" s="10" t="s">
        <v>290</v>
      </c>
      <c r="E53" s="10" t="s">
        <v>91</v>
      </c>
      <c r="F53" s="10" t="s">
        <v>119</v>
      </c>
      <c r="G53" s="10" t="s">
        <v>83</v>
      </c>
      <c r="H53" s="10" t="s">
        <v>84</v>
      </c>
      <c r="I53" s="10" t="s">
        <v>85</v>
      </c>
      <c r="J53" s="10" t="s">
        <v>57</v>
      </c>
      <c r="K53" s="10" t="s">
        <v>77</v>
      </c>
      <c r="L53" s="10" t="s">
        <v>291</v>
      </c>
      <c r="M53" s="10" t="s">
        <v>88</v>
      </c>
      <c r="N53" s="12">
        <v>6</v>
      </c>
      <c r="O53" s="12">
        <v>1528.08</v>
      </c>
      <c r="P53" s="12">
        <v>0</v>
      </c>
      <c r="Q53" s="12">
        <v>9168.48</v>
      </c>
      <c r="R53" s="12">
        <v>7439.77</v>
      </c>
      <c r="S53" s="12">
        <v>1728.71</v>
      </c>
      <c r="T53" s="10" t="s">
        <v>61</v>
      </c>
      <c r="U53" s="13" t="s">
        <v>62</v>
      </c>
      <c r="V53" s="14" t="e">
        <f t="shared" ca="1" si="0"/>
        <v>#NAME?</v>
      </c>
      <c r="W53" s="10" t="str">
        <f ca="1">IFERROR(__xludf.DUMMYFUNCTION("IF(COUNTIF($A:$A,A47)=1,
""Unique"",
IF(COUNTUNIQUE(FILTER($V$2:$V$934,$A$2:$A$934=A47))&gt;1,
""Conflicting Duplicate"",
""Exact Duplicate""))"),"Unique")</f>
        <v>Unique</v>
      </c>
      <c r="X53" s="10" t="b">
        <f t="shared" ca="1" si="1"/>
        <v>1</v>
      </c>
      <c r="Y53" s="10" t="str">
        <f t="shared" si="2"/>
        <v>Unique</v>
      </c>
      <c r="Z53" s="10"/>
      <c r="AA53" s="10" t="str">
        <f t="shared" si="3"/>
        <v>Clean</v>
      </c>
      <c r="AB53" s="15" t="str">
        <f t="shared" si="4"/>
        <v>Valid</v>
      </c>
      <c r="AC53" s="15">
        <v>5</v>
      </c>
      <c r="AD53" s="16" t="str">
        <f t="shared" si="5"/>
        <v>Valid</v>
      </c>
      <c r="AE53" s="16" t="str">
        <f t="shared" si="6"/>
        <v>Valid</v>
      </c>
      <c r="AF53" s="16" t="str">
        <f t="shared" ref="AF53:AG53" si="117">IF(ISNUMBER(B53),"Valid","Invalid")</f>
        <v>Valid</v>
      </c>
      <c r="AG53" s="16" t="str">
        <f t="shared" si="117"/>
        <v>Valid</v>
      </c>
      <c r="AH53" s="16" t="str">
        <f t="shared" ref="AH53:AI53" si="118">IF(OR(B53="",ISBLANK(B53)),"Missing","Valid")</f>
        <v>Valid</v>
      </c>
      <c r="AI53" s="16" t="str">
        <f t="shared" si="118"/>
        <v>Valid</v>
      </c>
      <c r="AJ53" s="16" t="b">
        <v>0</v>
      </c>
      <c r="AK53" s="16" t="b">
        <v>0</v>
      </c>
      <c r="AL53" s="16" t="b">
        <v>0</v>
      </c>
      <c r="AM53" s="16" t="b">
        <v>0</v>
      </c>
      <c r="AN53" s="16" t="b">
        <v>0</v>
      </c>
      <c r="AO53" s="16" t="b">
        <v>0</v>
      </c>
      <c r="AP53" s="16" t="b">
        <v>0</v>
      </c>
      <c r="AQ53" s="17">
        <f t="shared" si="9"/>
        <v>0</v>
      </c>
      <c r="AR53" s="12">
        <f t="shared" si="10"/>
        <v>9168.48</v>
      </c>
      <c r="AS53" s="18">
        <f t="shared" si="11"/>
        <v>0</v>
      </c>
      <c r="AT53" s="12">
        <f t="shared" si="12"/>
        <v>1728.7099999999991</v>
      </c>
      <c r="AU53" s="18">
        <f t="shared" si="13"/>
        <v>0</v>
      </c>
      <c r="AV53" s="19">
        <f t="shared" si="14"/>
        <v>0.18854924698532355</v>
      </c>
      <c r="AW53" s="20" t="str">
        <f t="shared" si="15"/>
        <v>April</v>
      </c>
      <c r="AX53" s="21">
        <f t="shared" si="16"/>
        <v>2024</v>
      </c>
    </row>
    <row r="54" spans="1:50" ht="15.75" customHeight="1">
      <c r="A54" s="10" t="s">
        <v>292</v>
      </c>
      <c r="B54" s="11">
        <v>45591</v>
      </c>
      <c r="C54" s="11">
        <v>45593</v>
      </c>
      <c r="D54" s="10" t="s">
        <v>293</v>
      </c>
      <c r="E54" s="10" t="s">
        <v>294</v>
      </c>
      <c r="F54" s="10" t="s">
        <v>66</v>
      </c>
      <c r="G54" s="10" t="s">
        <v>54</v>
      </c>
      <c r="H54" s="10" t="s">
        <v>55</v>
      </c>
      <c r="I54" s="10" t="s">
        <v>56</v>
      </c>
      <c r="J54" s="10" t="s">
        <v>70</v>
      </c>
      <c r="K54" s="10" t="s">
        <v>95</v>
      </c>
      <c r="L54" s="10" t="s">
        <v>295</v>
      </c>
      <c r="M54" s="10" t="s">
        <v>79</v>
      </c>
      <c r="N54" s="12">
        <v>9</v>
      </c>
      <c r="O54" s="12">
        <v>1399.63</v>
      </c>
      <c r="P54" s="12">
        <v>0</v>
      </c>
      <c r="Q54" s="12">
        <v>12596.67</v>
      </c>
      <c r="R54" s="12">
        <v>10603.29</v>
      </c>
      <c r="S54" s="12">
        <v>1993.38</v>
      </c>
      <c r="T54" s="10" t="s">
        <v>184</v>
      </c>
      <c r="U54" s="13" t="s">
        <v>97</v>
      </c>
      <c r="V54" s="14" t="e">
        <f t="shared" ca="1" si="0"/>
        <v>#NAME?</v>
      </c>
      <c r="W54" s="10" t="str">
        <f ca="1">IFERROR(__xludf.DUMMYFUNCTION("IF(COUNTIF($A:$A,A48)=1,
""Unique"",
IF(COUNTUNIQUE(FILTER($V$2:$V$934,$A$2:$A$934=A48))&gt;1,
""Conflicting Duplicate"",
""Exact Duplicate""))"),"Unique")</f>
        <v>Unique</v>
      </c>
      <c r="X54" s="10" t="b">
        <f t="shared" ca="1" si="1"/>
        <v>1</v>
      </c>
      <c r="Y54" s="10" t="str">
        <f t="shared" si="2"/>
        <v>Unique</v>
      </c>
      <c r="Z54" s="10"/>
      <c r="AA54" s="10" t="str">
        <f t="shared" si="3"/>
        <v>Clean</v>
      </c>
      <c r="AB54" s="15" t="str">
        <f t="shared" si="4"/>
        <v>Valid</v>
      </c>
      <c r="AC54" s="15">
        <v>2</v>
      </c>
      <c r="AD54" s="16" t="str">
        <f t="shared" si="5"/>
        <v>Valid</v>
      </c>
      <c r="AE54" s="16" t="str">
        <f t="shared" si="6"/>
        <v>Valid</v>
      </c>
      <c r="AF54" s="16" t="str">
        <f t="shared" ref="AF54:AG54" si="119">IF(ISNUMBER(B54),"Valid","Invalid")</f>
        <v>Valid</v>
      </c>
      <c r="AG54" s="16" t="str">
        <f t="shared" si="119"/>
        <v>Valid</v>
      </c>
      <c r="AH54" s="16" t="str">
        <f t="shared" ref="AH54:AI54" si="120">IF(OR(B54="",ISBLANK(B54)),"Missing","Valid")</f>
        <v>Valid</v>
      </c>
      <c r="AI54" s="16" t="str">
        <f t="shared" si="120"/>
        <v>Valid</v>
      </c>
      <c r="AJ54" s="16" t="b">
        <v>0</v>
      </c>
      <c r="AK54" s="16" t="b">
        <v>0</v>
      </c>
      <c r="AL54" s="16" t="b">
        <v>0</v>
      </c>
      <c r="AM54" s="16" t="b">
        <v>0</v>
      </c>
      <c r="AN54" s="16" t="b">
        <v>0</v>
      </c>
      <c r="AO54" s="16" t="b">
        <v>0</v>
      </c>
      <c r="AP54" s="16" t="b">
        <v>0</v>
      </c>
      <c r="AQ54" s="17">
        <f t="shared" si="9"/>
        <v>0</v>
      </c>
      <c r="AR54" s="12">
        <f t="shared" si="10"/>
        <v>12596.670000000002</v>
      </c>
      <c r="AS54" s="18">
        <f t="shared" si="11"/>
        <v>0</v>
      </c>
      <c r="AT54" s="12">
        <f t="shared" si="12"/>
        <v>1993.380000000001</v>
      </c>
      <c r="AU54" s="18">
        <f t="shared" si="13"/>
        <v>0</v>
      </c>
      <c r="AV54" s="19">
        <f t="shared" si="14"/>
        <v>0.15824658421630483</v>
      </c>
      <c r="AW54" s="20" t="str">
        <f t="shared" si="15"/>
        <v>October</v>
      </c>
      <c r="AX54" s="21">
        <f t="shared" si="16"/>
        <v>2024</v>
      </c>
    </row>
    <row r="55" spans="1:50" ht="15.75" customHeight="1">
      <c r="A55" s="10" t="s">
        <v>296</v>
      </c>
      <c r="B55" s="11">
        <v>45747</v>
      </c>
      <c r="C55" s="11">
        <v>45747</v>
      </c>
      <c r="D55" s="10" t="s">
        <v>297</v>
      </c>
      <c r="E55" s="10" t="s">
        <v>294</v>
      </c>
      <c r="F55" s="10" t="s">
        <v>124</v>
      </c>
      <c r="G55" s="10" t="s">
        <v>92</v>
      </c>
      <c r="H55" s="10" t="s">
        <v>209</v>
      </c>
      <c r="I55" s="10" t="s">
        <v>210</v>
      </c>
      <c r="J55" s="10" t="s">
        <v>57</v>
      </c>
      <c r="K55" s="10" t="s">
        <v>153</v>
      </c>
      <c r="L55" s="10" t="s">
        <v>298</v>
      </c>
      <c r="M55" s="10" t="s">
        <v>79</v>
      </c>
      <c r="N55" s="12">
        <v>5</v>
      </c>
      <c r="O55" s="12">
        <v>1207.47</v>
      </c>
      <c r="P55" s="12">
        <v>0.15</v>
      </c>
      <c r="Q55" s="12">
        <v>5131.75</v>
      </c>
      <c r="R55" s="12">
        <v>2838.68</v>
      </c>
      <c r="S55" s="12">
        <v>2293.0700000000002</v>
      </c>
      <c r="T55" s="10" t="s">
        <v>61</v>
      </c>
      <c r="U55" s="13" t="s">
        <v>62</v>
      </c>
      <c r="V55" s="14" t="e">
        <f t="shared" ca="1" si="0"/>
        <v>#NAME?</v>
      </c>
      <c r="W55" s="10" t="str">
        <f ca="1">IFERROR(__xludf.DUMMYFUNCTION("IF(COUNTIF($A:$A,A49)=1,
""Unique"",
IF(COUNTUNIQUE(FILTER($V$2:$V$934,$A$2:$A$934=A49))&gt;1,
""Conflicting Duplicate"",
""Exact Duplicate""))"),"Unique")</f>
        <v>Unique</v>
      </c>
      <c r="X55" s="10" t="b">
        <f t="shared" ca="1" si="1"/>
        <v>1</v>
      </c>
      <c r="Y55" s="10" t="str">
        <f t="shared" si="2"/>
        <v>Unique</v>
      </c>
      <c r="Z55" s="10"/>
      <c r="AA55" s="10" t="str">
        <f t="shared" si="3"/>
        <v>Clean</v>
      </c>
      <c r="AB55" s="15" t="str">
        <f t="shared" si="4"/>
        <v>Valid</v>
      </c>
      <c r="AC55" s="15">
        <v>0</v>
      </c>
      <c r="AD55" s="16" t="str">
        <f t="shared" si="5"/>
        <v>Valid</v>
      </c>
      <c r="AE55" s="16" t="str">
        <f t="shared" si="6"/>
        <v>Valid</v>
      </c>
      <c r="AF55" s="16" t="str">
        <f t="shared" ref="AF55:AG55" si="121">IF(ISNUMBER(B55),"Valid","Invalid")</f>
        <v>Valid</v>
      </c>
      <c r="AG55" s="16" t="str">
        <f t="shared" si="121"/>
        <v>Valid</v>
      </c>
      <c r="AH55" s="16" t="str">
        <f t="shared" ref="AH55:AI55" si="122">IF(OR(B55="",ISBLANK(B55)),"Missing","Valid")</f>
        <v>Valid</v>
      </c>
      <c r="AI55" s="16" t="str">
        <f t="shared" si="122"/>
        <v>Valid</v>
      </c>
      <c r="AJ55" s="16" t="b">
        <v>0</v>
      </c>
      <c r="AK55" s="16" t="b">
        <v>0</v>
      </c>
      <c r="AL55" s="16" t="b">
        <v>0</v>
      </c>
      <c r="AM55" s="16" t="b">
        <v>0</v>
      </c>
      <c r="AN55" s="16" t="b">
        <v>0</v>
      </c>
      <c r="AO55" s="16" t="b">
        <v>0</v>
      </c>
      <c r="AP55" s="16" t="b">
        <v>0</v>
      </c>
      <c r="AQ55" s="17">
        <f t="shared" si="9"/>
        <v>0.15</v>
      </c>
      <c r="AR55" s="12">
        <f t="shared" si="10"/>
        <v>5131.7475000000004</v>
      </c>
      <c r="AS55" s="18">
        <f t="shared" si="11"/>
        <v>2.4999999995998223E-3</v>
      </c>
      <c r="AT55" s="12">
        <f t="shared" si="12"/>
        <v>2293.0675000000006</v>
      </c>
      <c r="AU55" s="18">
        <f t="shared" si="13"/>
        <v>2.4999999995998223E-3</v>
      </c>
      <c r="AV55" s="19">
        <f t="shared" si="14"/>
        <v>0.44683950252813498</v>
      </c>
      <c r="AW55" s="20" t="str">
        <f t="shared" si="15"/>
        <v>March</v>
      </c>
      <c r="AX55" s="21">
        <f t="shared" si="16"/>
        <v>2025</v>
      </c>
    </row>
    <row r="56" spans="1:50" ht="15.75" customHeight="1">
      <c r="A56" s="10" t="s">
        <v>299</v>
      </c>
      <c r="B56" s="11">
        <v>45807</v>
      </c>
      <c r="C56" s="11">
        <v>45810</v>
      </c>
      <c r="D56" s="10" t="s">
        <v>300</v>
      </c>
      <c r="E56" s="10" t="s">
        <v>82</v>
      </c>
      <c r="F56" s="10" t="s">
        <v>119</v>
      </c>
      <c r="G56" s="10" t="s">
        <v>83</v>
      </c>
      <c r="H56" s="10" t="s">
        <v>277</v>
      </c>
      <c r="I56" s="10" t="s">
        <v>278</v>
      </c>
      <c r="J56" s="10" t="s">
        <v>57</v>
      </c>
      <c r="K56" s="10" t="s">
        <v>120</v>
      </c>
      <c r="L56" s="10" t="s">
        <v>301</v>
      </c>
      <c r="M56" s="10" t="s">
        <v>73</v>
      </c>
      <c r="N56" s="12">
        <v>8</v>
      </c>
      <c r="O56" s="12">
        <v>474.37</v>
      </c>
      <c r="P56" s="12">
        <v>0.1</v>
      </c>
      <c r="Q56" s="12">
        <v>3415.46</v>
      </c>
      <c r="R56" s="12">
        <v>1993.23</v>
      </c>
      <c r="S56" s="12">
        <v>1422.23</v>
      </c>
      <c r="T56" s="10" t="s">
        <v>184</v>
      </c>
      <c r="U56" s="13" t="s">
        <v>97</v>
      </c>
      <c r="V56" s="14" t="e">
        <f t="shared" ca="1" si="0"/>
        <v>#NAME?</v>
      </c>
      <c r="W56" s="10" t="str">
        <f ca="1">IFERROR(__xludf.DUMMYFUNCTION("IF(COUNTIF($A:$A,A50)=1,
""Unique"",
IF(COUNTUNIQUE(FILTER($V$2:$V$934,$A$2:$A$934=A50))&gt;1,
""Conflicting Duplicate"",
""Exact Duplicate""))"),"Unique")</f>
        <v>Unique</v>
      </c>
      <c r="X56" s="10" t="b">
        <f t="shared" ca="1" si="1"/>
        <v>1</v>
      </c>
      <c r="Y56" s="10" t="str">
        <f t="shared" si="2"/>
        <v>Unique</v>
      </c>
      <c r="Z56" s="10"/>
      <c r="AA56" s="10" t="str">
        <f t="shared" si="3"/>
        <v>Clean</v>
      </c>
      <c r="AB56" s="15" t="str">
        <f t="shared" si="4"/>
        <v>Valid</v>
      </c>
      <c r="AC56" s="15">
        <v>3</v>
      </c>
      <c r="AD56" s="16" t="str">
        <f t="shared" si="5"/>
        <v>Valid</v>
      </c>
      <c r="AE56" s="16" t="str">
        <f t="shared" si="6"/>
        <v>Valid</v>
      </c>
      <c r="AF56" s="16" t="str">
        <f t="shared" ref="AF56:AG56" si="123">IF(ISNUMBER(B56),"Valid","Invalid")</f>
        <v>Valid</v>
      </c>
      <c r="AG56" s="16" t="str">
        <f t="shared" si="123"/>
        <v>Valid</v>
      </c>
      <c r="AH56" s="16" t="str">
        <f t="shared" ref="AH56:AI56" si="124">IF(OR(B56="",ISBLANK(B56)),"Missing","Valid")</f>
        <v>Valid</v>
      </c>
      <c r="AI56" s="16" t="str">
        <f t="shared" si="124"/>
        <v>Valid</v>
      </c>
      <c r="AJ56" s="16" t="b">
        <v>0</v>
      </c>
      <c r="AK56" s="16" t="b">
        <v>0</v>
      </c>
      <c r="AL56" s="16" t="b">
        <v>0</v>
      </c>
      <c r="AM56" s="16" t="b">
        <v>0</v>
      </c>
      <c r="AN56" s="16" t="b">
        <v>0</v>
      </c>
      <c r="AO56" s="16" t="b">
        <v>0</v>
      </c>
      <c r="AP56" s="16" t="b">
        <v>0</v>
      </c>
      <c r="AQ56" s="17">
        <f t="shared" si="9"/>
        <v>0.1</v>
      </c>
      <c r="AR56" s="12">
        <f t="shared" si="10"/>
        <v>3415.4639999999999</v>
      </c>
      <c r="AS56" s="18">
        <f t="shared" si="11"/>
        <v>-3.9999999999054126E-3</v>
      </c>
      <c r="AT56" s="12">
        <f t="shared" si="12"/>
        <v>1422.2339999999999</v>
      </c>
      <c r="AU56" s="18">
        <f t="shared" si="13"/>
        <v>-3.9999999999054126E-3</v>
      </c>
      <c r="AV56" s="19">
        <f t="shared" si="14"/>
        <v>0.4164101861416194</v>
      </c>
      <c r="AW56" s="20" t="str">
        <f t="shared" si="15"/>
        <v>May</v>
      </c>
      <c r="AX56" s="21">
        <f t="shared" si="16"/>
        <v>2025</v>
      </c>
    </row>
    <row r="57" spans="1:50" ht="15.75" customHeight="1">
      <c r="A57" s="10" t="s">
        <v>302</v>
      </c>
      <c r="B57" s="11">
        <v>45839</v>
      </c>
      <c r="C57" s="11">
        <v>45841</v>
      </c>
      <c r="D57" s="10" t="s">
        <v>303</v>
      </c>
      <c r="E57" s="10" t="s">
        <v>65</v>
      </c>
      <c r="F57" s="10" t="s">
        <v>66</v>
      </c>
      <c r="G57" s="10" t="s">
        <v>83</v>
      </c>
      <c r="H57" s="10" t="s">
        <v>113</v>
      </c>
      <c r="I57" s="10" t="s">
        <v>114</v>
      </c>
      <c r="J57" s="10" t="s">
        <v>103</v>
      </c>
      <c r="K57" s="10" t="s">
        <v>304</v>
      </c>
      <c r="L57" s="10" t="s">
        <v>305</v>
      </c>
      <c r="M57" s="10" t="s">
        <v>73</v>
      </c>
      <c r="N57" s="12">
        <v>3</v>
      </c>
      <c r="O57" s="12">
        <v>1516.24</v>
      </c>
      <c r="P57" s="12">
        <v>0.25</v>
      </c>
      <c r="Q57" s="12">
        <v>3411.54</v>
      </c>
      <c r="R57" s="12">
        <v>2803.13</v>
      </c>
      <c r="S57" s="12">
        <v>608.41</v>
      </c>
      <c r="T57" s="10" t="s">
        <v>61</v>
      </c>
      <c r="U57" s="13" t="s">
        <v>62</v>
      </c>
      <c r="V57" s="14" t="e">
        <f t="shared" ca="1" si="0"/>
        <v>#NAME?</v>
      </c>
      <c r="W57" s="10" t="str">
        <f ca="1">IFERROR(__xludf.DUMMYFUNCTION("IF(COUNTIF($A:$A,A51)=1,
""Unique"",
IF(COUNTUNIQUE(FILTER($V$2:$V$934,$A$2:$A$934=A51))&gt;1,
""Conflicting Duplicate"",
""Exact Duplicate""))"),"Unique")</f>
        <v>Unique</v>
      </c>
      <c r="X57" s="10" t="b">
        <f t="shared" ca="1" si="1"/>
        <v>1</v>
      </c>
      <c r="Y57" s="10" t="str">
        <f t="shared" si="2"/>
        <v>Unique</v>
      </c>
      <c r="Z57" s="10"/>
      <c r="AA57" s="10" t="str">
        <f t="shared" si="3"/>
        <v>Clean</v>
      </c>
      <c r="AB57" s="15" t="str">
        <f t="shared" si="4"/>
        <v>Valid</v>
      </c>
      <c r="AC57" s="15">
        <v>2</v>
      </c>
      <c r="AD57" s="16" t="str">
        <f t="shared" si="5"/>
        <v>Valid</v>
      </c>
      <c r="AE57" s="16" t="str">
        <f t="shared" si="6"/>
        <v>Valid</v>
      </c>
      <c r="AF57" s="16" t="str">
        <f t="shared" ref="AF57:AG57" si="125">IF(ISNUMBER(B57),"Valid","Invalid")</f>
        <v>Valid</v>
      </c>
      <c r="AG57" s="16" t="str">
        <f t="shared" si="125"/>
        <v>Valid</v>
      </c>
      <c r="AH57" s="16" t="str">
        <f t="shared" ref="AH57:AI57" si="126">IF(OR(B57="",ISBLANK(B57)),"Missing","Valid")</f>
        <v>Valid</v>
      </c>
      <c r="AI57" s="16" t="str">
        <f t="shared" si="126"/>
        <v>Valid</v>
      </c>
      <c r="AJ57" s="16" t="b">
        <v>0</v>
      </c>
      <c r="AK57" s="16" t="b">
        <v>0</v>
      </c>
      <c r="AL57" s="16" t="b">
        <v>0</v>
      </c>
      <c r="AM57" s="16" t="b">
        <v>0</v>
      </c>
      <c r="AN57" s="16" t="b">
        <v>0</v>
      </c>
      <c r="AO57" s="16" t="b">
        <v>0</v>
      </c>
      <c r="AP57" s="16" t="b">
        <v>0</v>
      </c>
      <c r="AQ57" s="17">
        <f t="shared" si="9"/>
        <v>0.25</v>
      </c>
      <c r="AR57" s="12">
        <f t="shared" si="10"/>
        <v>3411.54</v>
      </c>
      <c r="AS57" s="18">
        <f t="shared" si="11"/>
        <v>0</v>
      </c>
      <c r="AT57" s="12">
        <f t="shared" si="12"/>
        <v>608.40999999999985</v>
      </c>
      <c r="AU57" s="18">
        <f t="shared" si="13"/>
        <v>0</v>
      </c>
      <c r="AV57" s="19">
        <f t="shared" si="14"/>
        <v>0.17833881472883209</v>
      </c>
      <c r="AW57" s="20" t="str">
        <f t="shared" si="15"/>
        <v>July</v>
      </c>
      <c r="AX57" s="21">
        <f t="shared" si="16"/>
        <v>2025</v>
      </c>
    </row>
    <row r="58" spans="1:50" ht="15.75" customHeight="1">
      <c r="A58" s="10" t="s">
        <v>306</v>
      </c>
      <c r="B58" s="11">
        <v>45662</v>
      </c>
      <c r="C58" s="11">
        <v>45663</v>
      </c>
      <c r="D58" s="10" t="s">
        <v>307</v>
      </c>
      <c r="E58" s="10" t="s">
        <v>52</v>
      </c>
      <c r="F58" s="10" t="s">
        <v>53</v>
      </c>
      <c r="G58" s="10" t="s">
        <v>83</v>
      </c>
      <c r="H58" s="10" t="s">
        <v>204</v>
      </c>
      <c r="I58" s="10" t="s">
        <v>205</v>
      </c>
      <c r="J58" s="10" t="s">
        <v>57</v>
      </c>
      <c r="K58" s="10" t="s">
        <v>182</v>
      </c>
      <c r="L58" s="10" t="s">
        <v>308</v>
      </c>
      <c r="M58" s="10" t="s">
        <v>60</v>
      </c>
      <c r="N58" s="12">
        <v>3</v>
      </c>
      <c r="O58" s="12">
        <v>3155.61</v>
      </c>
      <c r="P58" s="12">
        <v>0</v>
      </c>
      <c r="Q58" s="12">
        <v>9466.83</v>
      </c>
      <c r="R58" s="12">
        <v>6557.83</v>
      </c>
      <c r="S58" s="12">
        <v>2909</v>
      </c>
      <c r="T58" s="10" t="s">
        <v>131</v>
      </c>
      <c r="U58" s="13" t="s">
        <v>97</v>
      </c>
      <c r="V58" s="14" t="e">
        <f t="shared" ca="1" si="0"/>
        <v>#NAME?</v>
      </c>
      <c r="W58" s="10" t="str">
        <f ca="1">IFERROR(__xludf.DUMMYFUNCTION("IF(COUNTIF($A:$A,A52)=1,
""Unique"",
IF(COUNTUNIQUE(FILTER($V$2:$V$934,$A$2:$A$934=A52))&gt;1,
""Conflicting Duplicate"",
""Exact Duplicate""))"),"Unique")</f>
        <v>Unique</v>
      </c>
      <c r="X58" s="10" t="b">
        <f t="shared" ca="1" si="1"/>
        <v>1</v>
      </c>
      <c r="Y58" s="10" t="str">
        <f t="shared" si="2"/>
        <v>Unique</v>
      </c>
      <c r="Z58" s="10"/>
      <c r="AA58" s="10" t="str">
        <f t="shared" si="3"/>
        <v>Clean</v>
      </c>
      <c r="AB58" s="15" t="str">
        <f t="shared" si="4"/>
        <v>Valid</v>
      </c>
      <c r="AC58" s="15">
        <v>1</v>
      </c>
      <c r="AD58" s="16" t="str">
        <f t="shared" si="5"/>
        <v>Valid</v>
      </c>
      <c r="AE58" s="16" t="str">
        <f t="shared" si="6"/>
        <v>Valid</v>
      </c>
      <c r="AF58" s="16" t="str">
        <f t="shared" ref="AF58:AG58" si="127">IF(ISNUMBER(B58),"Valid","Invalid")</f>
        <v>Valid</v>
      </c>
      <c r="AG58" s="16" t="str">
        <f t="shared" si="127"/>
        <v>Valid</v>
      </c>
      <c r="AH58" s="16" t="str">
        <f t="shared" ref="AH58:AI58" si="128">IF(OR(B58="",ISBLANK(B58)),"Missing","Valid")</f>
        <v>Valid</v>
      </c>
      <c r="AI58" s="16" t="str">
        <f t="shared" si="128"/>
        <v>Valid</v>
      </c>
      <c r="AJ58" s="16" t="b">
        <v>0</v>
      </c>
      <c r="AK58" s="16" t="b">
        <v>0</v>
      </c>
      <c r="AL58" s="16" t="b">
        <v>0</v>
      </c>
      <c r="AM58" s="16" t="b">
        <v>0</v>
      </c>
      <c r="AN58" s="16" t="b">
        <v>0</v>
      </c>
      <c r="AO58" s="16" t="b">
        <v>0</v>
      </c>
      <c r="AP58" s="16" t="b">
        <v>0</v>
      </c>
      <c r="AQ58" s="17">
        <f t="shared" si="9"/>
        <v>0</v>
      </c>
      <c r="AR58" s="12">
        <f t="shared" si="10"/>
        <v>9466.83</v>
      </c>
      <c r="AS58" s="18">
        <f t="shared" si="11"/>
        <v>0</v>
      </c>
      <c r="AT58" s="12">
        <f t="shared" si="12"/>
        <v>2909</v>
      </c>
      <c r="AU58" s="18">
        <f t="shared" si="13"/>
        <v>0</v>
      </c>
      <c r="AV58" s="19">
        <f t="shared" si="14"/>
        <v>0.30728343067320318</v>
      </c>
      <c r="AW58" s="20" t="str">
        <f t="shared" si="15"/>
        <v>January</v>
      </c>
      <c r="AX58" s="21">
        <f t="shared" si="16"/>
        <v>2025</v>
      </c>
    </row>
    <row r="59" spans="1:50" ht="15.75" customHeight="1">
      <c r="A59" s="10" t="s">
        <v>309</v>
      </c>
      <c r="B59" s="11">
        <v>45329</v>
      </c>
      <c r="C59" s="11">
        <v>45337</v>
      </c>
      <c r="D59" s="10" t="s">
        <v>310</v>
      </c>
      <c r="E59" s="10" t="s">
        <v>143</v>
      </c>
      <c r="F59" s="10" t="s">
        <v>53</v>
      </c>
      <c r="G59" s="10" t="s">
        <v>92</v>
      </c>
      <c r="H59" s="10" t="s">
        <v>219</v>
      </c>
      <c r="I59" s="10" t="s">
        <v>220</v>
      </c>
      <c r="J59" s="10" t="s">
        <v>70</v>
      </c>
      <c r="K59" s="10" t="s">
        <v>95</v>
      </c>
      <c r="L59" s="10" t="s">
        <v>311</v>
      </c>
      <c r="M59" s="10" t="s">
        <v>73</v>
      </c>
      <c r="N59" s="12">
        <v>5</v>
      </c>
      <c r="O59" s="12">
        <v>255.87</v>
      </c>
      <c r="P59" s="12">
        <v>0</v>
      </c>
      <c r="Q59" s="12">
        <v>1279.3499999999999</v>
      </c>
      <c r="R59" s="12">
        <v>1091.54</v>
      </c>
      <c r="S59" s="12">
        <v>187.81</v>
      </c>
      <c r="T59" s="10" t="s">
        <v>61</v>
      </c>
      <c r="U59" s="13" t="s">
        <v>62</v>
      </c>
      <c r="V59" s="14" t="e">
        <f t="shared" ca="1" si="0"/>
        <v>#NAME?</v>
      </c>
      <c r="W59" s="10" t="str">
        <f ca="1">IFERROR(__xludf.DUMMYFUNCTION("IF(COUNTIF($A:$A,A53)=1,
""Unique"",
IF(COUNTUNIQUE(FILTER($V$2:$V$934,$A$2:$A$934=A53))&gt;1,
""Conflicting Duplicate"",
""Exact Duplicate""))"),"Unique")</f>
        <v>Unique</v>
      </c>
      <c r="X59" s="10" t="b">
        <f t="shared" ca="1" si="1"/>
        <v>1</v>
      </c>
      <c r="Y59" s="10" t="str">
        <f t="shared" si="2"/>
        <v>Unique</v>
      </c>
      <c r="Z59" s="10"/>
      <c r="AA59" s="10" t="str">
        <f t="shared" si="3"/>
        <v>Clean</v>
      </c>
      <c r="AB59" s="15" t="str">
        <f t="shared" si="4"/>
        <v>Valid</v>
      </c>
      <c r="AC59" s="15">
        <v>8</v>
      </c>
      <c r="AD59" s="16" t="str">
        <f t="shared" si="5"/>
        <v>Valid</v>
      </c>
      <c r="AE59" s="16" t="str">
        <f t="shared" si="6"/>
        <v>Valid</v>
      </c>
      <c r="AF59" s="16" t="str">
        <f t="shared" ref="AF59:AG59" si="129">IF(ISNUMBER(B59),"Valid","Invalid")</f>
        <v>Valid</v>
      </c>
      <c r="AG59" s="16" t="str">
        <f t="shared" si="129"/>
        <v>Valid</v>
      </c>
      <c r="AH59" s="16" t="str">
        <f t="shared" ref="AH59:AI59" si="130">IF(OR(B59="",ISBLANK(B59)),"Missing","Valid")</f>
        <v>Valid</v>
      </c>
      <c r="AI59" s="16" t="str">
        <f t="shared" si="130"/>
        <v>Valid</v>
      </c>
      <c r="AJ59" s="16" t="b">
        <v>0</v>
      </c>
      <c r="AK59" s="16" t="b">
        <v>0</v>
      </c>
      <c r="AL59" s="16" t="b">
        <v>0</v>
      </c>
      <c r="AM59" s="16" t="b">
        <v>0</v>
      </c>
      <c r="AN59" s="16" t="b">
        <v>0</v>
      </c>
      <c r="AO59" s="16" t="b">
        <v>0</v>
      </c>
      <c r="AP59" s="16" t="b">
        <v>0</v>
      </c>
      <c r="AQ59" s="17">
        <f t="shared" si="9"/>
        <v>0</v>
      </c>
      <c r="AR59" s="12">
        <f t="shared" si="10"/>
        <v>1279.3499999999999</v>
      </c>
      <c r="AS59" s="18">
        <f t="shared" si="11"/>
        <v>0</v>
      </c>
      <c r="AT59" s="12">
        <f t="shared" si="12"/>
        <v>187.80999999999995</v>
      </c>
      <c r="AU59" s="18">
        <f t="shared" si="13"/>
        <v>0</v>
      </c>
      <c r="AV59" s="19">
        <f t="shared" si="14"/>
        <v>0.14680110993864068</v>
      </c>
      <c r="AW59" s="20" t="str">
        <f t="shared" si="15"/>
        <v>February</v>
      </c>
      <c r="AX59" s="21">
        <f t="shared" si="16"/>
        <v>2024</v>
      </c>
    </row>
    <row r="60" spans="1:50" ht="15.75" customHeight="1">
      <c r="A60" s="10" t="s">
        <v>312</v>
      </c>
      <c r="B60" s="11">
        <v>45536</v>
      </c>
      <c r="C60" s="11">
        <v>45542</v>
      </c>
      <c r="D60" s="10" t="s">
        <v>313</v>
      </c>
      <c r="E60" s="10" t="s">
        <v>76</v>
      </c>
      <c r="F60" s="10" t="s">
        <v>124</v>
      </c>
      <c r="G60" s="10" t="s">
        <v>54</v>
      </c>
      <c r="H60" s="10" t="s">
        <v>55</v>
      </c>
      <c r="I60" s="10" t="s">
        <v>56</v>
      </c>
      <c r="J60" s="10" t="s">
        <v>57</v>
      </c>
      <c r="K60" s="10" t="s">
        <v>153</v>
      </c>
      <c r="L60" s="10" t="s">
        <v>314</v>
      </c>
      <c r="M60" s="10" t="s">
        <v>234</v>
      </c>
      <c r="N60" s="12">
        <v>9</v>
      </c>
      <c r="O60" s="12">
        <v>1389.48</v>
      </c>
      <c r="P60" s="12">
        <v>0.1</v>
      </c>
      <c r="Q60" s="12">
        <v>11254.79</v>
      </c>
      <c r="R60" s="12">
        <v>6578.06</v>
      </c>
      <c r="S60" s="12">
        <v>4676.7299999999996</v>
      </c>
      <c r="T60" s="10" t="s">
        <v>140</v>
      </c>
      <c r="U60" s="13" t="s">
        <v>132</v>
      </c>
      <c r="V60" s="14" t="e">
        <f t="shared" ca="1" si="0"/>
        <v>#NAME?</v>
      </c>
      <c r="W60" s="10" t="str">
        <f ca="1">IFERROR(__xludf.DUMMYFUNCTION("IF(COUNTIF($A:$A,A54)=1,
""Unique"",
IF(COUNTUNIQUE(FILTER($V$2:$V$934,$A$2:$A$934=A54))&gt;1,
""Conflicting Duplicate"",
""Exact Duplicate""))"),"Unique")</f>
        <v>Unique</v>
      </c>
      <c r="X60" s="10" t="b">
        <f t="shared" ca="1" si="1"/>
        <v>1</v>
      </c>
      <c r="Y60" s="10" t="str">
        <f t="shared" si="2"/>
        <v>Unique</v>
      </c>
      <c r="Z60" s="10"/>
      <c r="AA60" s="10" t="str">
        <f t="shared" si="3"/>
        <v>Warning</v>
      </c>
      <c r="AB60" s="15" t="str">
        <f t="shared" si="4"/>
        <v>Valid</v>
      </c>
      <c r="AC60" s="15">
        <v>6</v>
      </c>
      <c r="AD60" s="16" t="str">
        <f t="shared" si="5"/>
        <v>Valid</v>
      </c>
      <c r="AE60" s="16" t="str">
        <f t="shared" si="6"/>
        <v>Valid</v>
      </c>
      <c r="AF60" s="16" t="str">
        <f t="shared" ref="AF60:AG60" si="131">IF(ISNUMBER(B60),"Valid","Invalid")</f>
        <v>Valid</v>
      </c>
      <c r="AG60" s="16" t="str">
        <f t="shared" si="131"/>
        <v>Valid</v>
      </c>
      <c r="AH60" s="16" t="str">
        <f t="shared" ref="AH60:AI60" si="132">IF(OR(B60="",ISBLANK(B60)),"Missing","Valid")</f>
        <v>Valid</v>
      </c>
      <c r="AI60" s="16" t="str">
        <f t="shared" si="132"/>
        <v>Valid</v>
      </c>
      <c r="AJ60" s="16" t="b">
        <v>0</v>
      </c>
      <c r="AK60" s="16" t="b">
        <v>1</v>
      </c>
      <c r="AL60" s="16" t="b">
        <v>0</v>
      </c>
      <c r="AM60" s="16" t="b">
        <v>0</v>
      </c>
      <c r="AN60" s="16" t="b">
        <v>0</v>
      </c>
      <c r="AO60" s="16" t="b">
        <v>0</v>
      </c>
      <c r="AP60" s="16" t="b">
        <v>1</v>
      </c>
      <c r="AQ60" s="17">
        <f t="shared" si="9"/>
        <v>0.1</v>
      </c>
      <c r="AR60" s="12">
        <f t="shared" si="10"/>
        <v>11254.788</v>
      </c>
      <c r="AS60" s="18">
        <f t="shared" si="11"/>
        <v>2.0000000004074536E-3</v>
      </c>
      <c r="AT60" s="12">
        <f t="shared" si="12"/>
        <v>4676.7280000000001</v>
      </c>
      <c r="AU60" s="18">
        <f t="shared" si="13"/>
        <v>1.9999999994979589E-3</v>
      </c>
      <c r="AV60" s="19">
        <f t="shared" si="14"/>
        <v>0.41553230500654476</v>
      </c>
      <c r="AW60" s="20" t="str">
        <f t="shared" si="15"/>
        <v>September</v>
      </c>
      <c r="AX60" s="21">
        <f t="shared" si="16"/>
        <v>2024</v>
      </c>
    </row>
    <row r="61" spans="1:50" ht="15.75" customHeight="1">
      <c r="A61" s="10" t="s">
        <v>315</v>
      </c>
      <c r="B61" s="11">
        <v>45493</v>
      </c>
      <c r="C61" s="11">
        <v>45498</v>
      </c>
      <c r="D61" s="10" t="s">
        <v>316</v>
      </c>
      <c r="E61" s="10" t="s">
        <v>143</v>
      </c>
      <c r="F61" s="10" t="s">
        <v>119</v>
      </c>
      <c r="G61" s="10" t="s">
        <v>67</v>
      </c>
      <c r="H61" s="10" t="s">
        <v>195</v>
      </c>
      <c r="I61" s="10" t="s">
        <v>196</v>
      </c>
      <c r="J61" s="10" t="s">
        <v>57</v>
      </c>
      <c r="K61" s="10" t="s">
        <v>120</v>
      </c>
      <c r="L61" s="10" t="s">
        <v>317</v>
      </c>
      <c r="M61" s="10" t="s">
        <v>73</v>
      </c>
      <c r="N61" s="12">
        <v>5</v>
      </c>
      <c r="O61" s="12">
        <v>4133.8500000000004</v>
      </c>
      <c r="P61" s="12">
        <v>0.2</v>
      </c>
      <c r="Q61" s="12">
        <v>16535.400000000001</v>
      </c>
      <c r="R61" s="12">
        <v>12990.21</v>
      </c>
      <c r="S61" s="12">
        <v>3545.19</v>
      </c>
      <c r="T61" s="10" t="s">
        <v>61</v>
      </c>
      <c r="U61" s="13" t="s">
        <v>97</v>
      </c>
      <c r="V61" s="14" t="e">
        <f t="shared" ca="1" si="0"/>
        <v>#NAME?</v>
      </c>
      <c r="W61" s="10" t="str">
        <f ca="1">IFERROR(__xludf.DUMMYFUNCTION("IF(COUNTIF($A:$A,A55)=1,
""Unique"",
IF(COUNTUNIQUE(FILTER($V$2:$V$934,$A$2:$A$934=A55))&gt;1,
""Conflicting Duplicate"",
""Exact Duplicate""))"),"Unique")</f>
        <v>Unique</v>
      </c>
      <c r="X61" s="10" t="b">
        <f t="shared" ca="1" si="1"/>
        <v>1</v>
      </c>
      <c r="Y61" s="10" t="str">
        <f t="shared" si="2"/>
        <v>Unique</v>
      </c>
      <c r="Z61" s="10"/>
      <c r="AA61" s="10" t="str">
        <f t="shared" si="3"/>
        <v>Clean</v>
      </c>
      <c r="AB61" s="15" t="str">
        <f t="shared" si="4"/>
        <v>Valid</v>
      </c>
      <c r="AC61" s="15">
        <v>5</v>
      </c>
      <c r="AD61" s="16" t="str">
        <f t="shared" si="5"/>
        <v>Valid</v>
      </c>
      <c r="AE61" s="16" t="str">
        <f t="shared" si="6"/>
        <v>Valid</v>
      </c>
      <c r="AF61" s="16" t="str">
        <f t="shared" ref="AF61:AG61" si="133">IF(ISNUMBER(B61),"Valid","Invalid")</f>
        <v>Valid</v>
      </c>
      <c r="AG61" s="16" t="str">
        <f t="shared" si="133"/>
        <v>Valid</v>
      </c>
      <c r="AH61" s="16" t="str">
        <f t="shared" ref="AH61:AI61" si="134">IF(OR(B61="",ISBLANK(B61)),"Missing","Valid")</f>
        <v>Valid</v>
      </c>
      <c r="AI61" s="16" t="str">
        <f t="shared" si="134"/>
        <v>Valid</v>
      </c>
      <c r="AJ61" s="16" t="b">
        <v>0</v>
      </c>
      <c r="AK61" s="16" t="b">
        <v>0</v>
      </c>
      <c r="AL61" s="16" t="b">
        <v>0</v>
      </c>
      <c r="AM61" s="16" t="b">
        <v>0</v>
      </c>
      <c r="AN61" s="16" t="b">
        <v>0</v>
      </c>
      <c r="AO61" s="16" t="b">
        <v>0</v>
      </c>
      <c r="AP61" s="16" t="b">
        <v>0</v>
      </c>
      <c r="AQ61" s="17">
        <f t="shared" si="9"/>
        <v>0.2</v>
      </c>
      <c r="AR61" s="12">
        <f t="shared" si="10"/>
        <v>16535.400000000001</v>
      </c>
      <c r="AS61" s="18">
        <f t="shared" si="11"/>
        <v>0</v>
      </c>
      <c r="AT61" s="12">
        <f t="shared" si="12"/>
        <v>3545.1900000000023</v>
      </c>
      <c r="AU61" s="18">
        <f t="shared" si="13"/>
        <v>0</v>
      </c>
      <c r="AV61" s="19">
        <f t="shared" si="14"/>
        <v>0.21440001451431487</v>
      </c>
      <c r="AW61" s="20" t="str">
        <f t="shared" si="15"/>
        <v>July</v>
      </c>
      <c r="AX61" s="21">
        <f t="shared" si="16"/>
        <v>2024</v>
      </c>
    </row>
    <row r="62" spans="1:50" ht="15.75" customHeight="1">
      <c r="A62" s="10" t="s">
        <v>318</v>
      </c>
      <c r="B62" s="11">
        <v>45486</v>
      </c>
      <c r="C62" s="11">
        <v>45492</v>
      </c>
      <c r="D62" s="10" t="s">
        <v>319</v>
      </c>
      <c r="E62" s="10" t="s">
        <v>91</v>
      </c>
      <c r="F62" s="10" t="s">
        <v>119</v>
      </c>
      <c r="G62" s="10" t="s">
        <v>67</v>
      </c>
      <c r="H62" s="10" t="s">
        <v>195</v>
      </c>
      <c r="I62" s="10" t="s">
        <v>196</v>
      </c>
      <c r="J62" s="10" t="s">
        <v>57</v>
      </c>
      <c r="K62" s="10" t="s">
        <v>120</v>
      </c>
      <c r="L62" s="10" t="s">
        <v>320</v>
      </c>
      <c r="M62" s="10" t="s">
        <v>73</v>
      </c>
      <c r="N62" s="12">
        <v>3</v>
      </c>
      <c r="O62" s="12">
        <v>275.76</v>
      </c>
      <c r="P62" s="12">
        <v>0.2</v>
      </c>
      <c r="Q62" s="12">
        <v>661.82</v>
      </c>
      <c r="R62" s="12">
        <v>481.47</v>
      </c>
      <c r="S62" s="12">
        <v>180.35</v>
      </c>
      <c r="T62" s="10" t="s">
        <v>131</v>
      </c>
      <c r="U62" s="13" t="s">
        <v>97</v>
      </c>
      <c r="V62" s="14" t="e">
        <f t="shared" ca="1" si="0"/>
        <v>#NAME?</v>
      </c>
      <c r="W62" s="10" t="str">
        <f ca="1">IFERROR(__xludf.DUMMYFUNCTION("IF(COUNTIF($A:$A,A56)=1,
""Unique"",
IF(COUNTUNIQUE(FILTER($V$2:$V$934,$A$2:$A$934=A56))&gt;1,
""Conflicting Duplicate"",
""Exact Duplicate""))"),"Unique")</f>
        <v>Unique</v>
      </c>
      <c r="X62" s="10" t="b">
        <f t="shared" ca="1" si="1"/>
        <v>1</v>
      </c>
      <c r="Y62" s="10" t="str">
        <f t="shared" si="2"/>
        <v>Unique</v>
      </c>
      <c r="Z62" s="10"/>
      <c r="AA62" s="10" t="str">
        <f t="shared" si="3"/>
        <v>Clean</v>
      </c>
      <c r="AB62" s="15" t="str">
        <f t="shared" si="4"/>
        <v>Valid</v>
      </c>
      <c r="AC62" s="15">
        <v>6</v>
      </c>
      <c r="AD62" s="16" t="str">
        <f t="shared" si="5"/>
        <v>Valid</v>
      </c>
      <c r="AE62" s="16" t="str">
        <f t="shared" si="6"/>
        <v>Valid</v>
      </c>
      <c r="AF62" s="16" t="str">
        <f t="shared" ref="AF62:AG62" si="135">IF(ISNUMBER(B62),"Valid","Invalid")</f>
        <v>Valid</v>
      </c>
      <c r="AG62" s="16" t="str">
        <f t="shared" si="135"/>
        <v>Valid</v>
      </c>
      <c r="AH62" s="16" t="str">
        <f t="shared" ref="AH62:AI62" si="136">IF(OR(B62="",ISBLANK(B62)),"Missing","Valid")</f>
        <v>Valid</v>
      </c>
      <c r="AI62" s="16" t="str">
        <f t="shared" si="136"/>
        <v>Valid</v>
      </c>
      <c r="AJ62" s="16" t="b">
        <v>0</v>
      </c>
      <c r="AK62" s="16" t="b">
        <v>0</v>
      </c>
      <c r="AL62" s="16" t="b">
        <v>0</v>
      </c>
      <c r="AM62" s="16" t="b">
        <v>0</v>
      </c>
      <c r="AN62" s="16" t="b">
        <v>0</v>
      </c>
      <c r="AO62" s="16" t="b">
        <v>0</v>
      </c>
      <c r="AP62" s="16" t="b">
        <v>0</v>
      </c>
      <c r="AQ62" s="17">
        <f t="shared" si="9"/>
        <v>0.2</v>
      </c>
      <c r="AR62" s="12">
        <f t="shared" si="10"/>
        <v>661.82400000000007</v>
      </c>
      <c r="AS62" s="18">
        <f t="shared" si="11"/>
        <v>-4.0000000000190994E-3</v>
      </c>
      <c r="AT62" s="12">
        <f t="shared" si="12"/>
        <v>180.35400000000004</v>
      </c>
      <c r="AU62" s="18">
        <f t="shared" si="13"/>
        <v>-4.0000000000475211E-3</v>
      </c>
      <c r="AV62" s="19">
        <f t="shared" si="14"/>
        <v>0.27251051639106472</v>
      </c>
      <c r="AW62" s="20" t="str">
        <f t="shared" si="15"/>
        <v>July</v>
      </c>
      <c r="AX62" s="21">
        <f t="shared" si="16"/>
        <v>2024</v>
      </c>
    </row>
    <row r="63" spans="1:50" ht="15.75" customHeight="1">
      <c r="A63" s="10" t="s">
        <v>321</v>
      </c>
      <c r="B63" s="11">
        <v>45398</v>
      </c>
      <c r="C63" s="11">
        <v>45398</v>
      </c>
      <c r="D63" s="10" t="s">
        <v>322</v>
      </c>
      <c r="E63" s="10" t="s">
        <v>100</v>
      </c>
      <c r="F63" s="10" t="s">
        <v>124</v>
      </c>
      <c r="G63" s="10" t="s">
        <v>67</v>
      </c>
      <c r="H63" s="10" t="s">
        <v>174</v>
      </c>
      <c r="I63" s="10" t="s">
        <v>175</v>
      </c>
      <c r="J63" s="10" t="s">
        <v>70</v>
      </c>
      <c r="K63" s="10" t="s">
        <v>187</v>
      </c>
      <c r="L63" s="10" t="s">
        <v>323</v>
      </c>
      <c r="M63" s="10" t="s">
        <v>88</v>
      </c>
      <c r="N63" s="12">
        <v>1</v>
      </c>
      <c r="O63" s="12">
        <v>949.59</v>
      </c>
      <c r="P63" s="12">
        <v>0</v>
      </c>
      <c r="Q63" s="12">
        <v>949.59</v>
      </c>
      <c r="R63" s="12">
        <v>751.25</v>
      </c>
      <c r="S63" s="12">
        <v>198.34</v>
      </c>
      <c r="T63" s="10" t="s">
        <v>61</v>
      </c>
      <c r="U63" s="13" t="s">
        <v>62</v>
      </c>
      <c r="V63" s="14" t="e">
        <f t="shared" ca="1" si="0"/>
        <v>#NAME?</v>
      </c>
      <c r="W63" s="10" t="str">
        <f ca="1">IFERROR(__xludf.DUMMYFUNCTION("IF(COUNTIF($A:$A,A57)=1,
""Unique"",
IF(COUNTUNIQUE(FILTER($V$2:$V$934,$A$2:$A$934=A57))&gt;1,
""Conflicting Duplicate"",
""Exact Duplicate""))"),"Unique")</f>
        <v>Unique</v>
      </c>
      <c r="X63" s="10" t="b">
        <f t="shared" ca="1" si="1"/>
        <v>1</v>
      </c>
      <c r="Y63" s="10" t="str">
        <f t="shared" si="2"/>
        <v>Unique</v>
      </c>
      <c r="Z63" s="10"/>
      <c r="AA63" s="10" t="str">
        <f t="shared" si="3"/>
        <v>Clean</v>
      </c>
      <c r="AB63" s="15" t="str">
        <f t="shared" si="4"/>
        <v>Valid</v>
      </c>
      <c r="AC63" s="15">
        <v>0</v>
      </c>
      <c r="AD63" s="16" t="str">
        <f t="shared" si="5"/>
        <v>Valid</v>
      </c>
      <c r="AE63" s="16" t="str">
        <f t="shared" si="6"/>
        <v>Valid</v>
      </c>
      <c r="AF63" s="16" t="str">
        <f t="shared" ref="AF63:AG63" si="137">IF(ISNUMBER(B63),"Valid","Invalid")</f>
        <v>Valid</v>
      </c>
      <c r="AG63" s="16" t="str">
        <f t="shared" si="137"/>
        <v>Valid</v>
      </c>
      <c r="AH63" s="16" t="str">
        <f t="shared" ref="AH63:AI63" si="138">IF(OR(B63="",ISBLANK(B63)),"Missing","Valid")</f>
        <v>Valid</v>
      </c>
      <c r="AI63" s="16" t="str">
        <f t="shared" si="138"/>
        <v>Valid</v>
      </c>
      <c r="AJ63" s="16" t="b">
        <v>0</v>
      </c>
      <c r="AK63" s="16" t="b">
        <v>0</v>
      </c>
      <c r="AL63" s="16" t="b">
        <v>0</v>
      </c>
      <c r="AM63" s="16" t="b">
        <v>0</v>
      </c>
      <c r="AN63" s="16" t="b">
        <v>0</v>
      </c>
      <c r="AO63" s="16" t="b">
        <v>0</v>
      </c>
      <c r="AP63" s="16" t="b">
        <v>0</v>
      </c>
      <c r="AQ63" s="17">
        <f t="shared" si="9"/>
        <v>0</v>
      </c>
      <c r="AR63" s="12">
        <f t="shared" si="10"/>
        <v>949.59</v>
      </c>
      <c r="AS63" s="18">
        <f t="shared" si="11"/>
        <v>0</v>
      </c>
      <c r="AT63" s="12">
        <f t="shared" si="12"/>
        <v>198.34000000000003</v>
      </c>
      <c r="AU63" s="18">
        <f t="shared" si="13"/>
        <v>0</v>
      </c>
      <c r="AV63" s="19">
        <f t="shared" si="14"/>
        <v>0.20886909087079689</v>
      </c>
      <c r="AW63" s="20" t="str">
        <f t="shared" si="15"/>
        <v>April</v>
      </c>
      <c r="AX63" s="21">
        <f t="shared" si="16"/>
        <v>2024</v>
      </c>
    </row>
    <row r="64" spans="1:50" ht="15.75" customHeight="1">
      <c r="A64" s="10" t="s">
        <v>324</v>
      </c>
      <c r="B64" s="11">
        <v>45595</v>
      </c>
      <c r="C64" s="11">
        <v>45598</v>
      </c>
      <c r="D64" s="10" t="s">
        <v>325</v>
      </c>
      <c r="E64" s="10" t="s">
        <v>161</v>
      </c>
      <c r="F64" s="10" t="s">
        <v>124</v>
      </c>
      <c r="G64" s="10" t="s">
        <v>54</v>
      </c>
      <c r="H64" s="10" t="s">
        <v>55</v>
      </c>
      <c r="I64" s="10" t="s">
        <v>56</v>
      </c>
      <c r="J64" s="10" t="s">
        <v>103</v>
      </c>
      <c r="K64" s="10" t="s">
        <v>200</v>
      </c>
      <c r="L64" s="10" t="s">
        <v>326</v>
      </c>
      <c r="M64" s="10" t="s">
        <v>88</v>
      </c>
      <c r="N64" s="12">
        <v>9</v>
      </c>
      <c r="O64" s="12">
        <v>3042.29</v>
      </c>
      <c r="P64" s="12">
        <v>0.2</v>
      </c>
      <c r="Q64" s="12">
        <v>21904.49</v>
      </c>
      <c r="R64" s="12">
        <v>13570.55</v>
      </c>
      <c r="S64" s="12">
        <v>8333.94</v>
      </c>
      <c r="T64" s="10" t="s">
        <v>61</v>
      </c>
      <c r="U64" s="13" t="s">
        <v>62</v>
      </c>
      <c r="V64" s="14" t="e">
        <f t="shared" ca="1" si="0"/>
        <v>#NAME?</v>
      </c>
      <c r="W64" s="10" t="str">
        <f ca="1">IFERROR(__xludf.DUMMYFUNCTION("IF(COUNTIF($A:$A,A58)=1,
""Unique"",
IF(COUNTUNIQUE(FILTER($V$2:$V$934,$A$2:$A$934=A58))&gt;1,
""Conflicting Duplicate"",
""Exact Duplicate""))"),"Unique")</f>
        <v>Unique</v>
      </c>
      <c r="X64" s="10" t="b">
        <f t="shared" ca="1" si="1"/>
        <v>1</v>
      </c>
      <c r="Y64" s="10" t="str">
        <f t="shared" si="2"/>
        <v>Unique</v>
      </c>
      <c r="Z64" s="10"/>
      <c r="AA64" s="10" t="str">
        <f t="shared" si="3"/>
        <v>Clean</v>
      </c>
      <c r="AB64" s="15" t="str">
        <f t="shared" si="4"/>
        <v>Valid</v>
      </c>
      <c r="AC64" s="15">
        <v>3</v>
      </c>
      <c r="AD64" s="16" t="str">
        <f t="shared" si="5"/>
        <v>Valid</v>
      </c>
      <c r="AE64" s="16" t="str">
        <f t="shared" si="6"/>
        <v>Valid</v>
      </c>
      <c r="AF64" s="16" t="str">
        <f t="shared" ref="AF64:AG64" si="139">IF(ISNUMBER(B64),"Valid","Invalid")</f>
        <v>Valid</v>
      </c>
      <c r="AG64" s="16" t="str">
        <f t="shared" si="139"/>
        <v>Valid</v>
      </c>
      <c r="AH64" s="16" t="str">
        <f t="shared" ref="AH64:AI64" si="140">IF(OR(B64="",ISBLANK(B64)),"Missing","Valid")</f>
        <v>Valid</v>
      </c>
      <c r="AI64" s="16" t="str">
        <f t="shared" si="140"/>
        <v>Valid</v>
      </c>
      <c r="AJ64" s="16" t="b">
        <v>0</v>
      </c>
      <c r="AK64" s="16" t="b">
        <v>0</v>
      </c>
      <c r="AL64" s="16" t="b">
        <v>0</v>
      </c>
      <c r="AM64" s="16" t="b">
        <v>0</v>
      </c>
      <c r="AN64" s="16" t="b">
        <v>0</v>
      </c>
      <c r="AO64" s="16" t="b">
        <v>0</v>
      </c>
      <c r="AP64" s="16" t="b">
        <v>0</v>
      </c>
      <c r="AQ64" s="17">
        <f t="shared" si="9"/>
        <v>0.2</v>
      </c>
      <c r="AR64" s="12">
        <f t="shared" si="10"/>
        <v>21904.488000000001</v>
      </c>
      <c r="AS64" s="18">
        <f t="shared" si="11"/>
        <v>2.0000000004074536E-3</v>
      </c>
      <c r="AT64" s="12">
        <f t="shared" si="12"/>
        <v>8333.9380000000019</v>
      </c>
      <c r="AU64" s="18">
        <f t="shared" si="13"/>
        <v>1.9999999985884642E-3</v>
      </c>
      <c r="AV64" s="19">
        <f t="shared" si="14"/>
        <v>0.38046714445003244</v>
      </c>
      <c r="AW64" s="20" t="str">
        <f t="shared" si="15"/>
        <v>October</v>
      </c>
      <c r="AX64" s="21">
        <f t="shared" si="16"/>
        <v>2024</v>
      </c>
    </row>
    <row r="65" spans="1:50" ht="15.75" customHeight="1">
      <c r="A65" s="10" t="s">
        <v>327</v>
      </c>
      <c r="B65" s="11">
        <v>45316</v>
      </c>
      <c r="C65" s="11">
        <v>45323</v>
      </c>
      <c r="D65" s="10" t="s">
        <v>328</v>
      </c>
      <c r="E65" s="10" t="s">
        <v>161</v>
      </c>
      <c r="F65" s="10" t="s">
        <v>124</v>
      </c>
      <c r="G65" s="10" t="s">
        <v>54</v>
      </c>
      <c r="H65" s="10" t="s">
        <v>266</v>
      </c>
      <c r="I65" s="10" t="s">
        <v>267</v>
      </c>
      <c r="J65" s="10" t="s">
        <v>57</v>
      </c>
      <c r="K65" s="10" t="s">
        <v>182</v>
      </c>
      <c r="L65" s="10" t="s">
        <v>329</v>
      </c>
      <c r="M65" s="10" t="s">
        <v>73</v>
      </c>
      <c r="N65" s="12">
        <v>2</v>
      </c>
      <c r="O65" s="12">
        <v>2832.77</v>
      </c>
      <c r="P65" s="12">
        <v>0.15</v>
      </c>
      <c r="Q65" s="12">
        <v>4815.71</v>
      </c>
      <c r="R65" s="12">
        <v>3027.75</v>
      </c>
      <c r="S65" s="12">
        <v>1917.47</v>
      </c>
      <c r="T65" s="10" t="s">
        <v>61</v>
      </c>
      <c r="U65" s="13" t="s">
        <v>62</v>
      </c>
      <c r="V65" s="14" t="e">
        <f t="shared" ca="1" si="0"/>
        <v>#NAME?</v>
      </c>
      <c r="W65" s="10" t="str">
        <f ca="1">IFERROR(__xludf.DUMMYFUNCTION("IF(COUNTIF($A:$A,A59)=1,
""Unique"",
IF(COUNTUNIQUE(FILTER($V$2:$V$934,$A$2:$A$934=A59))&gt;1,
""Conflicting Duplicate"",
""Exact Duplicate""))"),"Unique")</f>
        <v>Unique</v>
      </c>
      <c r="X65" s="10" t="b">
        <f t="shared" ca="1" si="1"/>
        <v>1</v>
      </c>
      <c r="Y65" s="10" t="str">
        <f t="shared" si="2"/>
        <v>Unique</v>
      </c>
      <c r="Z65" s="10"/>
      <c r="AA65" s="10" t="str">
        <f t="shared" si="3"/>
        <v>Clean</v>
      </c>
      <c r="AB65" s="15" t="str">
        <f t="shared" si="4"/>
        <v>Valid</v>
      </c>
      <c r="AC65" s="15">
        <v>7</v>
      </c>
      <c r="AD65" s="16" t="str">
        <f t="shared" si="5"/>
        <v>Valid</v>
      </c>
      <c r="AE65" s="16" t="str">
        <f t="shared" si="6"/>
        <v>Valid</v>
      </c>
      <c r="AF65" s="16" t="str">
        <f t="shared" ref="AF65:AG65" si="141">IF(ISNUMBER(B65),"Valid","Invalid")</f>
        <v>Valid</v>
      </c>
      <c r="AG65" s="16" t="str">
        <f t="shared" si="141"/>
        <v>Valid</v>
      </c>
      <c r="AH65" s="16" t="str">
        <f t="shared" ref="AH65:AI65" si="142">IF(OR(B65="",ISBLANK(B65)),"Missing","Valid")</f>
        <v>Valid</v>
      </c>
      <c r="AI65" s="16" t="str">
        <f t="shared" si="142"/>
        <v>Valid</v>
      </c>
      <c r="AJ65" s="16" t="b">
        <v>0</v>
      </c>
      <c r="AK65" s="16" t="b">
        <v>0</v>
      </c>
      <c r="AL65" s="16" t="b">
        <v>0</v>
      </c>
      <c r="AM65" s="16" t="b">
        <v>0</v>
      </c>
      <c r="AN65" s="16" t="b">
        <v>0</v>
      </c>
      <c r="AO65" s="16" t="b">
        <v>0</v>
      </c>
      <c r="AP65" s="16" t="b">
        <v>0</v>
      </c>
      <c r="AQ65" s="17">
        <f t="shared" si="9"/>
        <v>0.15</v>
      </c>
      <c r="AR65" s="12">
        <f t="shared" si="10"/>
        <v>4815.7089999999998</v>
      </c>
      <c r="AS65" s="18">
        <f t="shared" si="11"/>
        <v>1.0000000002037268E-3</v>
      </c>
      <c r="AT65" s="12">
        <f t="shared" si="12"/>
        <v>1787.9589999999998</v>
      </c>
      <c r="AU65" s="18">
        <f t="shared" si="13"/>
        <v>129.51100000000019</v>
      </c>
      <c r="AV65" s="19">
        <f t="shared" si="14"/>
        <v>0.37127637903369992</v>
      </c>
      <c r="AW65" s="20" t="str">
        <f t="shared" si="15"/>
        <v>January</v>
      </c>
      <c r="AX65" s="21">
        <f t="shared" si="16"/>
        <v>2024</v>
      </c>
    </row>
    <row r="66" spans="1:50" ht="15.75" customHeight="1">
      <c r="A66" s="10" t="s">
        <v>330</v>
      </c>
      <c r="B66" s="11">
        <v>45649</v>
      </c>
      <c r="C66" s="11">
        <v>45655</v>
      </c>
      <c r="D66" s="10" t="s">
        <v>331</v>
      </c>
      <c r="E66" s="10" t="s">
        <v>157</v>
      </c>
      <c r="F66" s="10" t="s">
        <v>119</v>
      </c>
      <c r="G66" s="10" t="s">
        <v>67</v>
      </c>
      <c r="H66" s="10" t="s">
        <v>258</v>
      </c>
      <c r="I66" s="10" t="s">
        <v>259</v>
      </c>
      <c r="J66" s="10" t="s">
        <v>57</v>
      </c>
      <c r="K66" s="10" t="s">
        <v>58</v>
      </c>
      <c r="L66" s="10" t="s">
        <v>332</v>
      </c>
      <c r="M66" s="10" t="s">
        <v>79</v>
      </c>
      <c r="N66" s="12">
        <v>7</v>
      </c>
      <c r="O66" s="12">
        <v>447.84</v>
      </c>
      <c r="P66" s="12">
        <v>0</v>
      </c>
      <c r="Q66" s="12">
        <v>3134.88</v>
      </c>
      <c r="R66" s="12">
        <v>2367.63</v>
      </c>
      <c r="S66" s="12">
        <v>767.25</v>
      </c>
      <c r="T66" s="10" t="s">
        <v>131</v>
      </c>
      <c r="U66" s="13" t="s">
        <v>132</v>
      </c>
      <c r="V66" s="14" t="e">
        <f t="shared" ca="1" si="0"/>
        <v>#NAME?</v>
      </c>
      <c r="W66" s="10" t="str">
        <f ca="1">IFERROR(__xludf.DUMMYFUNCTION("IF(COUNTIF($A:$A,A60)=1,
""Unique"",
IF(COUNTUNIQUE(FILTER($V$2:$V$934,$A$2:$A$934=A60))&gt;1,
""Conflicting Duplicate"",
""Exact Duplicate""))"),"Unique")</f>
        <v>Unique</v>
      </c>
      <c r="X66" s="10" t="b">
        <f t="shared" ca="1" si="1"/>
        <v>1</v>
      </c>
      <c r="Y66" s="10" t="str">
        <f t="shared" si="2"/>
        <v>Unique</v>
      </c>
      <c r="Z66" s="10"/>
      <c r="AA66" s="10" t="str">
        <f t="shared" si="3"/>
        <v>Clean</v>
      </c>
      <c r="AB66" s="15" t="str">
        <f t="shared" si="4"/>
        <v>Valid</v>
      </c>
      <c r="AC66" s="15">
        <v>6</v>
      </c>
      <c r="AD66" s="16" t="str">
        <f t="shared" si="5"/>
        <v>Valid</v>
      </c>
      <c r="AE66" s="16" t="str">
        <f t="shared" si="6"/>
        <v>Valid</v>
      </c>
      <c r="AF66" s="16" t="str">
        <f t="shared" ref="AF66:AG66" si="143">IF(ISNUMBER(B66),"Valid","Invalid")</f>
        <v>Valid</v>
      </c>
      <c r="AG66" s="16" t="str">
        <f t="shared" si="143"/>
        <v>Valid</v>
      </c>
      <c r="AH66" s="16" t="str">
        <f t="shared" ref="AH66:AI66" si="144">IF(OR(B66="",ISBLANK(B66)),"Missing","Valid")</f>
        <v>Valid</v>
      </c>
      <c r="AI66" s="16" t="str">
        <f t="shared" si="144"/>
        <v>Valid</v>
      </c>
      <c r="AJ66" s="16" t="b">
        <v>0</v>
      </c>
      <c r="AK66" s="16" t="b">
        <v>0</v>
      </c>
      <c r="AL66" s="16" t="b">
        <v>0</v>
      </c>
      <c r="AM66" s="16" t="b">
        <v>0</v>
      </c>
      <c r="AN66" s="16" t="b">
        <v>0</v>
      </c>
      <c r="AO66" s="16" t="b">
        <v>0</v>
      </c>
      <c r="AP66" s="16" t="b">
        <v>0</v>
      </c>
      <c r="AQ66" s="17">
        <f t="shared" si="9"/>
        <v>0</v>
      </c>
      <c r="AR66" s="12">
        <f t="shared" si="10"/>
        <v>3134.8799999999997</v>
      </c>
      <c r="AS66" s="18">
        <f t="shared" si="11"/>
        <v>0</v>
      </c>
      <c r="AT66" s="12">
        <f t="shared" si="12"/>
        <v>767.24999999999955</v>
      </c>
      <c r="AU66" s="18">
        <f t="shared" si="13"/>
        <v>0</v>
      </c>
      <c r="AV66" s="19">
        <f t="shared" si="14"/>
        <v>0.24474621038125849</v>
      </c>
      <c r="AW66" s="20" t="str">
        <f t="shared" si="15"/>
        <v>December</v>
      </c>
      <c r="AX66" s="21">
        <f t="shared" si="16"/>
        <v>2024</v>
      </c>
    </row>
    <row r="67" spans="1:50" ht="15.75" customHeight="1">
      <c r="A67" s="10" t="s">
        <v>333</v>
      </c>
      <c r="B67" s="11">
        <v>45404</v>
      </c>
      <c r="C67" s="11">
        <v>45409</v>
      </c>
      <c r="D67" s="10" t="s">
        <v>334</v>
      </c>
      <c r="E67" s="10" t="s">
        <v>65</v>
      </c>
      <c r="F67" s="10" t="s">
        <v>124</v>
      </c>
      <c r="G67" s="10" t="s">
        <v>92</v>
      </c>
      <c r="H67" s="10" t="s">
        <v>93</v>
      </c>
      <c r="I67" s="10" t="s">
        <v>94</v>
      </c>
      <c r="J67" s="10" t="s">
        <v>57</v>
      </c>
      <c r="K67" s="10" t="s">
        <v>58</v>
      </c>
      <c r="L67" s="10" t="s">
        <v>335</v>
      </c>
      <c r="M67" s="10" t="s">
        <v>60</v>
      </c>
      <c r="N67" s="12">
        <v>1</v>
      </c>
      <c r="O67" s="12">
        <v>4280.1899999999996</v>
      </c>
      <c r="P67" s="12">
        <v>0.05</v>
      </c>
      <c r="Q67" s="12">
        <v>4066.18</v>
      </c>
      <c r="R67" s="12">
        <v>2628.92</v>
      </c>
      <c r="S67" s="12">
        <v>1437.26</v>
      </c>
      <c r="T67" s="10" t="s">
        <v>61</v>
      </c>
      <c r="U67" s="13" t="s">
        <v>62</v>
      </c>
      <c r="V67" s="14" t="e">
        <f t="shared" ca="1" si="0"/>
        <v>#NAME?</v>
      </c>
      <c r="W67" s="10" t="str">
        <f ca="1">IFERROR(__xludf.DUMMYFUNCTION("IF(COUNTIF($A:$A,A61)=1,
""Unique"",
IF(COUNTUNIQUE(FILTER($V$2:$V$934,$A$2:$A$934=A61))&gt;1,
""Conflicting Duplicate"",
""Exact Duplicate""))"),"Unique")</f>
        <v>Unique</v>
      </c>
      <c r="X67" s="10" t="b">
        <f t="shared" ca="1" si="1"/>
        <v>1</v>
      </c>
      <c r="Y67" s="10" t="str">
        <f t="shared" si="2"/>
        <v>Unique</v>
      </c>
      <c r="Z67" s="10"/>
      <c r="AA67" s="10" t="str">
        <f t="shared" si="3"/>
        <v>Clean</v>
      </c>
      <c r="AB67" s="15" t="str">
        <f t="shared" si="4"/>
        <v>Valid</v>
      </c>
      <c r="AC67" s="15">
        <v>5</v>
      </c>
      <c r="AD67" s="16" t="str">
        <f t="shared" si="5"/>
        <v>Valid</v>
      </c>
      <c r="AE67" s="16" t="str">
        <f t="shared" si="6"/>
        <v>Valid</v>
      </c>
      <c r="AF67" s="16" t="str">
        <f t="shared" ref="AF67:AG67" si="145">IF(ISNUMBER(B67),"Valid","Invalid")</f>
        <v>Valid</v>
      </c>
      <c r="AG67" s="16" t="str">
        <f t="shared" si="145"/>
        <v>Valid</v>
      </c>
      <c r="AH67" s="16" t="str">
        <f t="shared" ref="AH67:AI67" si="146">IF(OR(B67="",ISBLANK(B67)),"Missing","Valid")</f>
        <v>Valid</v>
      </c>
      <c r="AI67" s="16" t="str">
        <f t="shared" si="146"/>
        <v>Valid</v>
      </c>
      <c r="AJ67" s="16" t="b">
        <v>0</v>
      </c>
      <c r="AK67" s="16" t="b">
        <v>0</v>
      </c>
      <c r="AL67" s="16" t="b">
        <v>0</v>
      </c>
      <c r="AM67" s="16" t="b">
        <v>0</v>
      </c>
      <c r="AN67" s="16" t="b">
        <v>0</v>
      </c>
      <c r="AO67" s="16" t="b">
        <v>0</v>
      </c>
      <c r="AP67" s="16" t="b">
        <v>0</v>
      </c>
      <c r="AQ67" s="17">
        <f t="shared" si="9"/>
        <v>0.05</v>
      </c>
      <c r="AR67" s="12">
        <f t="shared" si="10"/>
        <v>4066.1804999999995</v>
      </c>
      <c r="AS67" s="18">
        <f t="shared" si="11"/>
        <v>-4.9999999964711606E-4</v>
      </c>
      <c r="AT67" s="12">
        <f t="shared" si="12"/>
        <v>1437.2604999999994</v>
      </c>
      <c r="AU67" s="18">
        <f t="shared" si="13"/>
        <v>-4.9999999941974238E-4</v>
      </c>
      <c r="AV67" s="19">
        <f t="shared" si="14"/>
        <v>0.35346696980126674</v>
      </c>
      <c r="AW67" s="20" t="str">
        <f t="shared" si="15"/>
        <v>April</v>
      </c>
      <c r="AX67" s="21">
        <f t="shared" si="16"/>
        <v>2024</v>
      </c>
    </row>
    <row r="68" spans="1:50" ht="15.75" customHeight="1">
      <c r="A68" s="10" t="s">
        <v>336</v>
      </c>
      <c r="B68" s="11">
        <v>45897</v>
      </c>
      <c r="C68" s="11">
        <v>45901</v>
      </c>
      <c r="D68" s="10" t="s">
        <v>337</v>
      </c>
      <c r="E68" s="10" t="s">
        <v>52</v>
      </c>
      <c r="F68" s="10" t="s">
        <v>66</v>
      </c>
      <c r="G68" s="10" t="s">
        <v>83</v>
      </c>
      <c r="H68" s="10" t="s">
        <v>277</v>
      </c>
      <c r="I68" s="10" t="s">
        <v>278</v>
      </c>
      <c r="J68" s="10" t="s">
        <v>103</v>
      </c>
      <c r="K68" s="10" t="s">
        <v>104</v>
      </c>
      <c r="L68" s="10" t="s">
        <v>338</v>
      </c>
      <c r="M68" s="10" t="s">
        <v>73</v>
      </c>
      <c r="N68" s="12">
        <v>7</v>
      </c>
      <c r="O68" s="12">
        <v>1057.46</v>
      </c>
      <c r="P68" s="12">
        <v>0.05</v>
      </c>
      <c r="Q68" s="12">
        <v>7032.11</v>
      </c>
      <c r="R68" s="12">
        <v>4610.34</v>
      </c>
      <c r="S68" s="12">
        <v>2421.77</v>
      </c>
      <c r="T68" s="10" t="s">
        <v>61</v>
      </c>
      <c r="U68" s="13" t="s">
        <v>62</v>
      </c>
      <c r="V68" s="14" t="e">
        <f t="shared" ca="1" si="0"/>
        <v>#NAME?</v>
      </c>
      <c r="W68" s="10" t="str">
        <f ca="1">IFERROR(__xludf.DUMMYFUNCTION("IF(COUNTIF($A:$A,A62)=1,
""Unique"",
IF(COUNTUNIQUE(FILTER($V$2:$V$934,$A$2:$A$934=A62))&gt;1,
""Conflicting Duplicate"",
""Exact Duplicate""))"),"Unique")</f>
        <v>Unique</v>
      </c>
      <c r="X68" s="10" t="b">
        <f t="shared" ca="1" si="1"/>
        <v>1</v>
      </c>
      <c r="Y68" s="10" t="str">
        <f t="shared" si="2"/>
        <v>Unique</v>
      </c>
      <c r="Z68" s="10"/>
      <c r="AA68" s="10" t="str">
        <f t="shared" si="3"/>
        <v>Clean</v>
      </c>
      <c r="AB68" s="15" t="str">
        <f t="shared" si="4"/>
        <v>Valid</v>
      </c>
      <c r="AC68" s="15">
        <v>4</v>
      </c>
      <c r="AD68" s="16" t="str">
        <f t="shared" si="5"/>
        <v>Valid</v>
      </c>
      <c r="AE68" s="16" t="str">
        <f t="shared" si="6"/>
        <v>Valid</v>
      </c>
      <c r="AF68" s="16" t="str">
        <f t="shared" ref="AF68:AG68" si="147">IF(ISNUMBER(B68),"Valid","Invalid")</f>
        <v>Valid</v>
      </c>
      <c r="AG68" s="16" t="str">
        <f t="shared" si="147"/>
        <v>Valid</v>
      </c>
      <c r="AH68" s="16" t="str">
        <f t="shared" ref="AH68:AI68" si="148">IF(OR(B68="",ISBLANK(B68)),"Missing","Valid")</f>
        <v>Valid</v>
      </c>
      <c r="AI68" s="16" t="str">
        <f t="shared" si="148"/>
        <v>Valid</v>
      </c>
      <c r="AJ68" s="16" t="b">
        <v>0</v>
      </c>
      <c r="AK68" s="16" t="b">
        <v>0</v>
      </c>
      <c r="AL68" s="16" t="b">
        <v>0</v>
      </c>
      <c r="AM68" s="16" t="b">
        <v>0</v>
      </c>
      <c r="AN68" s="16" t="b">
        <v>0</v>
      </c>
      <c r="AO68" s="16" t="b">
        <v>0</v>
      </c>
      <c r="AP68" s="16" t="b">
        <v>0</v>
      </c>
      <c r="AQ68" s="17">
        <f t="shared" si="9"/>
        <v>0.05</v>
      </c>
      <c r="AR68" s="12">
        <f t="shared" si="10"/>
        <v>7032.1089999999995</v>
      </c>
      <c r="AS68" s="18">
        <f t="shared" si="11"/>
        <v>1.0000000002037268E-3</v>
      </c>
      <c r="AT68" s="12">
        <f t="shared" si="12"/>
        <v>2421.7689999999993</v>
      </c>
      <c r="AU68" s="18">
        <f t="shared" si="13"/>
        <v>1.0000000006584742E-3</v>
      </c>
      <c r="AV68" s="19">
        <f t="shared" si="14"/>
        <v>0.34438729547565311</v>
      </c>
      <c r="AW68" s="20" t="str">
        <f t="shared" si="15"/>
        <v>August</v>
      </c>
      <c r="AX68" s="21">
        <f t="shared" si="16"/>
        <v>2025</v>
      </c>
    </row>
    <row r="69" spans="1:50" ht="15.75" customHeight="1">
      <c r="A69" s="10" t="s">
        <v>339</v>
      </c>
      <c r="B69" s="11">
        <v>45691</v>
      </c>
      <c r="C69" s="11">
        <v>45695</v>
      </c>
      <c r="D69" s="10" t="s">
        <v>340</v>
      </c>
      <c r="E69" s="10" t="s">
        <v>294</v>
      </c>
      <c r="F69" s="10" t="s">
        <v>53</v>
      </c>
      <c r="G69" s="10" t="s">
        <v>54</v>
      </c>
      <c r="H69" s="10" t="s">
        <v>266</v>
      </c>
      <c r="I69" s="10" t="s">
        <v>267</v>
      </c>
      <c r="J69" s="10" t="s">
        <v>57</v>
      </c>
      <c r="K69" s="10" t="s">
        <v>58</v>
      </c>
      <c r="L69" s="10" t="s">
        <v>341</v>
      </c>
      <c r="M69" s="10" t="s">
        <v>79</v>
      </c>
      <c r="N69" s="12">
        <v>7</v>
      </c>
      <c r="O69" s="12">
        <v>3609.34</v>
      </c>
      <c r="P69" s="12">
        <v>0.05</v>
      </c>
      <c r="Q69" s="12">
        <v>24002.11</v>
      </c>
      <c r="R69" s="12">
        <v>18707.57</v>
      </c>
      <c r="S69" s="12">
        <v>5294.54</v>
      </c>
      <c r="T69" s="10" t="s">
        <v>61</v>
      </c>
      <c r="U69" s="13" t="s">
        <v>62</v>
      </c>
      <c r="V69" s="14" t="e">
        <f t="shared" ca="1" si="0"/>
        <v>#NAME?</v>
      </c>
      <c r="W69" s="10" t="str">
        <f ca="1">IFERROR(__xludf.DUMMYFUNCTION("IF(COUNTIF($A:$A,A63)=1,
""Unique"",
IF(COUNTUNIQUE(FILTER($V$2:$V$934,$A$2:$A$934=A63))&gt;1,
""Conflicting Duplicate"",
""Exact Duplicate""))"),"Unique")</f>
        <v>Unique</v>
      </c>
      <c r="X69" s="10" t="b">
        <f t="shared" ca="1" si="1"/>
        <v>1</v>
      </c>
      <c r="Y69" s="10" t="str">
        <f t="shared" si="2"/>
        <v>Unique</v>
      </c>
      <c r="Z69" s="10"/>
      <c r="AA69" s="10" t="str">
        <f t="shared" si="3"/>
        <v>Clean</v>
      </c>
      <c r="AB69" s="15" t="str">
        <f t="shared" si="4"/>
        <v>Valid</v>
      </c>
      <c r="AC69" s="15">
        <v>4</v>
      </c>
      <c r="AD69" s="16" t="str">
        <f t="shared" si="5"/>
        <v>Valid</v>
      </c>
      <c r="AE69" s="16" t="str">
        <f t="shared" si="6"/>
        <v>Valid</v>
      </c>
      <c r="AF69" s="16" t="str">
        <f t="shared" ref="AF69:AG69" si="149">IF(ISNUMBER(B69),"Valid","Invalid")</f>
        <v>Valid</v>
      </c>
      <c r="AG69" s="16" t="str">
        <f t="shared" si="149"/>
        <v>Valid</v>
      </c>
      <c r="AH69" s="16" t="str">
        <f t="shared" ref="AH69:AI69" si="150">IF(OR(B69="",ISBLANK(B69)),"Missing","Valid")</f>
        <v>Valid</v>
      </c>
      <c r="AI69" s="16" t="str">
        <f t="shared" si="150"/>
        <v>Valid</v>
      </c>
      <c r="AJ69" s="16" t="b">
        <v>0</v>
      </c>
      <c r="AK69" s="16" t="b">
        <v>0</v>
      </c>
      <c r="AL69" s="16" t="b">
        <v>0</v>
      </c>
      <c r="AM69" s="16" t="b">
        <v>0</v>
      </c>
      <c r="AN69" s="16" t="b">
        <v>0</v>
      </c>
      <c r="AO69" s="16" t="b">
        <v>0</v>
      </c>
      <c r="AP69" s="16" t="b">
        <v>0</v>
      </c>
      <c r="AQ69" s="17">
        <f t="shared" si="9"/>
        <v>0.05</v>
      </c>
      <c r="AR69" s="12">
        <f t="shared" si="10"/>
        <v>24002.111000000001</v>
      </c>
      <c r="AS69" s="18">
        <f t="shared" si="11"/>
        <v>-1.0000000002037268E-3</v>
      </c>
      <c r="AT69" s="12">
        <f t="shared" si="12"/>
        <v>5294.5410000000011</v>
      </c>
      <c r="AU69" s="18">
        <f t="shared" si="13"/>
        <v>-1.0000000011132215E-3</v>
      </c>
      <c r="AV69" s="19">
        <f t="shared" si="14"/>
        <v>0.2205864725815159</v>
      </c>
      <c r="AW69" s="20" t="str">
        <f t="shared" si="15"/>
        <v>February</v>
      </c>
      <c r="AX69" s="21">
        <f t="shared" si="16"/>
        <v>2025</v>
      </c>
    </row>
    <row r="70" spans="1:50" ht="15.75" customHeight="1">
      <c r="A70" s="10" t="s">
        <v>342</v>
      </c>
      <c r="B70" s="11">
        <v>45606</v>
      </c>
      <c r="C70" s="11">
        <v>45609</v>
      </c>
      <c r="D70" s="10" t="s">
        <v>343</v>
      </c>
      <c r="E70" s="10" t="s">
        <v>76</v>
      </c>
      <c r="F70" s="10" t="s">
        <v>119</v>
      </c>
      <c r="G70" s="10" t="s">
        <v>67</v>
      </c>
      <c r="H70" s="10" t="s">
        <v>258</v>
      </c>
      <c r="I70" s="10" t="s">
        <v>259</v>
      </c>
      <c r="J70" s="10" t="s">
        <v>57</v>
      </c>
      <c r="K70" s="10" t="s">
        <v>153</v>
      </c>
      <c r="L70" s="10" t="s">
        <v>344</v>
      </c>
      <c r="M70" s="10" t="s">
        <v>60</v>
      </c>
      <c r="N70" s="12">
        <v>9</v>
      </c>
      <c r="O70" s="12">
        <v>2211.12</v>
      </c>
      <c r="P70" s="12">
        <v>0</v>
      </c>
      <c r="Q70" s="12">
        <v>19900.080000000002</v>
      </c>
      <c r="R70" s="12">
        <v>10962.66</v>
      </c>
      <c r="S70" s="12">
        <v>8937.42</v>
      </c>
      <c r="T70" s="10" t="s">
        <v>184</v>
      </c>
      <c r="U70" s="13" t="s">
        <v>132</v>
      </c>
      <c r="V70" s="14" t="e">
        <f t="shared" ca="1" si="0"/>
        <v>#NAME?</v>
      </c>
      <c r="W70" s="10" t="str">
        <f ca="1">IFERROR(__xludf.DUMMYFUNCTION("IF(COUNTIF($A:$A,A64)=1,
""Unique"",
IF(COUNTUNIQUE(FILTER($V$2:$V$934,$A$2:$A$934=A64))&gt;1,
""Conflicting Duplicate"",
""Exact Duplicate""))"),"Unique")</f>
        <v>Unique</v>
      </c>
      <c r="X70" s="10" t="b">
        <f t="shared" ca="1" si="1"/>
        <v>1</v>
      </c>
      <c r="Y70" s="10" t="str">
        <f t="shared" si="2"/>
        <v>Unique</v>
      </c>
      <c r="Z70" s="10"/>
      <c r="AA70" s="10" t="str">
        <f t="shared" si="3"/>
        <v>Clean</v>
      </c>
      <c r="AB70" s="15" t="str">
        <f t="shared" si="4"/>
        <v>Valid</v>
      </c>
      <c r="AC70" s="15">
        <v>3</v>
      </c>
      <c r="AD70" s="16" t="str">
        <f t="shared" si="5"/>
        <v>Valid</v>
      </c>
      <c r="AE70" s="16" t="str">
        <f t="shared" si="6"/>
        <v>Valid</v>
      </c>
      <c r="AF70" s="16" t="str">
        <f t="shared" ref="AF70:AG70" si="151">IF(ISNUMBER(B70),"Valid","Invalid")</f>
        <v>Valid</v>
      </c>
      <c r="AG70" s="16" t="str">
        <f t="shared" si="151"/>
        <v>Valid</v>
      </c>
      <c r="AH70" s="16" t="str">
        <f t="shared" ref="AH70:AI70" si="152">IF(OR(B70="",ISBLANK(B70)),"Missing","Valid")</f>
        <v>Valid</v>
      </c>
      <c r="AI70" s="16" t="str">
        <f t="shared" si="152"/>
        <v>Valid</v>
      </c>
      <c r="AJ70" s="16" t="b">
        <v>0</v>
      </c>
      <c r="AK70" s="16" t="b">
        <v>0</v>
      </c>
      <c r="AL70" s="16" t="b">
        <v>0</v>
      </c>
      <c r="AM70" s="16" t="b">
        <v>0</v>
      </c>
      <c r="AN70" s="16" t="b">
        <v>0</v>
      </c>
      <c r="AO70" s="16" t="b">
        <v>0</v>
      </c>
      <c r="AP70" s="16" t="b">
        <v>0</v>
      </c>
      <c r="AQ70" s="17">
        <f t="shared" si="9"/>
        <v>0</v>
      </c>
      <c r="AR70" s="12">
        <f t="shared" si="10"/>
        <v>19900.079999999998</v>
      </c>
      <c r="AS70" s="18">
        <f t="shared" si="11"/>
        <v>0</v>
      </c>
      <c r="AT70" s="12">
        <f t="shared" si="12"/>
        <v>8937.4199999999983</v>
      </c>
      <c r="AU70" s="18">
        <f t="shared" si="13"/>
        <v>0</v>
      </c>
      <c r="AV70" s="19">
        <f t="shared" si="14"/>
        <v>0.44911477742803041</v>
      </c>
      <c r="AW70" s="20" t="str">
        <f t="shared" si="15"/>
        <v>November</v>
      </c>
      <c r="AX70" s="21">
        <f t="shared" si="16"/>
        <v>2024</v>
      </c>
    </row>
    <row r="71" spans="1:50" ht="15.75" customHeight="1">
      <c r="A71" s="10" t="s">
        <v>345</v>
      </c>
      <c r="B71" s="11">
        <v>45391</v>
      </c>
      <c r="C71" s="11">
        <v>45396</v>
      </c>
      <c r="D71" s="10" t="s">
        <v>346</v>
      </c>
      <c r="E71" s="10" t="s">
        <v>108</v>
      </c>
      <c r="F71" s="10" t="s">
        <v>66</v>
      </c>
      <c r="G71" s="10" t="s">
        <v>92</v>
      </c>
      <c r="H71" s="10" t="s">
        <v>209</v>
      </c>
      <c r="I71" s="10" t="s">
        <v>210</v>
      </c>
      <c r="J71" s="10" t="s">
        <v>103</v>
      </c>
      <c r="K71" s="10" t="s">
        <v>304</v>
      </c>
      <c r="L71" s="10" t="s">
        <v>347</v>
      </c>
      <c r="M71" s="10" t="s">
        <v>73</v>
      </c>
      <c r="N71" s="12">
        <v>7</v>
      </c>
      <c r="O71" s="12">
        <v>3417.09</v>
      </c>
      <c r="P71" s="12">
        <v>0.1</v>
      </c>
      <c r="Q71" s="12">
        <v>21527.67</v>
      </c>
      <c r="R71" s="12">
        <v>18287.580000000002</v>
      </c>
      <c r="S71" s="12">
        <v>3240.09</v>
      </c>
      <c r="T71" s="10" t="s">
        <v>131</v>
      </c>
      <c r="U71" s="13" t="s">
        <v>132</v>
      </c>
      <c r="V71" s="14" t="e">
        <f t="shared" ca="1" si="0"/>
        <v>#NAME?</v>
      </c>
      <c r="W71" s="10" t="str">
        <f ca="1">IFERROR(__xludf.DUMMYFUNCTION("IF(COUNTIF($A:$A,A65)=1,
""Unique"",
IF(COUNTUNIQUE(FILTER($V$2:$V$934,$A$2:$A$934=A65))&gt;1,
""Conflicting Duplicate"",
""Exact Duplicate""))"),"Unique")</f>
        <v>Unique</v>
      </c>
      <c r="X71" s="10" t="b">
        <f t="shared" ca="1" si="1"/>
        <v>1</v>
      </c>
      <c r="Y71" s="10" t="str">
        <f t="shared" si="2"/>
        <v>Unique</v>
      </c>
      <c r="Z71" s="10"/>
      <c r="AA71" s="10" t="str">
        <f t="shared" si="3"/>
        <v>Clean</v>
      </c>
      <c r="AB71" s="15" t="str">
        <f t="shared" si="4"/>
        <v>Valid</v>
      </c>
      <c r="AC71" s="15">
        <v>5</v>
      </c>
      <c r="AD71" s="16" t="str">
        <f t="shared" si="5"/>
        <v>Valid</v>
      </c>
      <c r="AE71" s="16" t="str">
        <f t="shared" si="6"/>
        <v>Valid</v>
      </c>
      <c r="AF71" s="16" t="str">
        <f t="shared" ref="AF71:AG71" si="153">IF(ISNUMBER(B71),"Valid","Invalid")</f>
        <v>Valid</v>
      </c>
      <c r="AG71" s="16" t="str">
        <f t="shared" si="153"/>
        <v>Valid</v>
      </c>
      <c r="AH71" s="16" t="str">
        <f t="shared" ref="AH71:AI71" si="154">IF(OR(B71="",ISBLANK(B71)),"Missing","Valid")</f>
        <v>Valid</v>
      </c>
      <c r="AI71" s="16" t="str">
        <f t="shared" si="154"/>
        <v>Valid</v>
      </c>
      <c r="AJ71" s="16" t="b">
        <v>0</v>
      </c>
      <c r="AK71" s="16" t="b">
        <v>0</v>
      </c>
      <c r="AL71" s="16" t="b">
        <v>0</v>
      </c>
      <c r="AM71" s="16" t="b">
        <v>0</v>
      </c>
      <c r="AN71" s="16" t="b">
        <v>0</v>
      </c>
      <c r="AO71" s="16" t="b">
        <v>0</v>
      </c>
      <c r="AP71" s="16" t="b">
        <v>0</v>
      </c>
      <c r="AQ71" s="17">
        <f t="shared" si="9"/>
        <v>0.1</v>
      </c>
      <c r="AR71" s="12">
        <f t="shared" si="10"/>
        <v>21527.667000000001</v>
      </c>
      <c r="AS71" s="18">
        <f t="shared" si="11"/>
        <v>2.9999999969732016E-3</v>
      </c>
      <c r="AT71" s="12">
        <f t="shared" si="12"/>
        <v>3240.0869999999995</v>
      </c>
      <c r="AU71" s="18">
        <f t="shared" si="13"/>
        <v>3.0000000006111804E-3</v>
      </c>
      <c r="AV71" s="19">
        <f t="shared" si="14"/>
        <v>0.15050804158202555</v>
      </c>
      <c r="AW71" s="20" t="str">
        <f t="shared" si="15"/>
        <v>April</v>
      </c>
      <c r="AX71" s="21">
        <f t="shared" si="16"/>
        <v>2024</v>
      </c>
    </row>
    <row r="72" spans="1:50" ht="15.75" customHeight="1">
      <c r="A72" s="10" t="s">
        <v>348</v>
      </c>
      <c r="B72" s="11">
        <v>45891</v>
      </c>
      <c r="C72" s="11">
        <v>45896</v>
      </c>
      <c r="D72" s="10" t="s">
        <v>349</v>
      </c>
      <c r="E72" s="10" t="s">
        <v>52</v>
      </c>
      <c r="F72" s="10" t="s">
        <v>119</v>
      </c>
      <c r="G72" s="10" t="s">
        <v>83</v>
      </c>
      <c r="H72" s="10" t="s">
        <v>113</v>
      </c>
      <c r="I72" s="10" t="s">
        <v>114</v>
      </c>
      <c r="J72" s="10" t="s">
        <v>103</v>
      </c>
      <c r="K72" s="10" t="s">
        <v>200</v>
      </c>
      <c r="L72" s="10" t="s">
        <v>350</v>
      </c>
      <c r="M72" s="10" t="s">
        <v>79</v>
      </c>
      <c r="N72" s="12">
        <v>2</v>
      </c>
      <c r="O72" s="12">
        <v>905.87</v>
      </c>
      <c r="P72" s="12">
        <v>0.15</v>
      </c>
      <c r="Q72" s="12">
        <v>1539.98</v>
      </c>
      <c r="R72" s="12">
        <v>1070.2</v>
      </c>
      <c r="S72" s="12">
        <v>469.78</v>
      </c>
      <c r="T72" s="10" t="s">
        <v>61</v>
      </c>
      <c r="U72" s="13" t="s">
        <v>62</v>
      </c>
      <c r="V72" s="14" t="e">
        <f t="shared" ca="1" si="0"/>
        <v>#NAME?</v>
      </c>
      <c r="W72" s="10" t="str">
        <f ca="1">IFERROR(__xludf.DUMMYFUNCTION("IF(COUNTIF($A:$A,A66)=1,
""Unique"",
IF(COUNTUNIQUE(FILTER($V$2:$V$934,$A$2:$A$934=A66))&gt;1,
""Conflicting Duplicate"",
""Exact Duplicate""))"),"Unique")</f>
        <v>Unique</v>
      </c>
      <c r="X72" s="10" t="b">
        <f t="shared" ca="1" si="1"/>
        <v>1</v>
      </c>
      <c r="Y72" s="10" t="str">
        <f t="shared" si="2"/>
        <v>Unique</v>
      </c>
      <c r="Z72" s="10"/>
      <c r="AA72" s="10" t="str">
        <f t="shared" si="3"/>
        <v>Clean</v>
      </c>
      <c r="AB72" s="15" t="str">
        <f t="shared" si="4"/>
        <v>Valid</v>
      </c>
      <c r="AC72" s="15">
        <v>5</v>
      </c>
      <c r="AD72" s="16" t="str">
        <f t="shared" si="5"/>
        <v>Valid</v>
      </c>
      <c r="AE72" s="16" t="str">
        <f t="shared" si="6"/>
        <v>Valid</v>
      </c>
      <c r="AF72" s="16" t="str">
        <f t="shared" ref="AF72:AG72" si="155">IF(ISNUMBER(B72),"Valid","Invalid")</f>
        <v>Valid</v>
      </c>
      <c r="AG72" s="16" t="str">
        <f t="shared" si="155"/>
        <v>Valid</v>
      </c>
      <c r="AH72" s="16" t="str">
        <f t="shared" ref="AH72:AI72" si="156">IF(OR(B72="",ISBLANK(B72)),"Missing","Valid")</f>
        <v>Valid</v>
      </c>
      <c r="AI72" s="16" t="str">
        <f t="shared" si="156"/>
        <v>Valid</v>
      </c>
      <c r="AJ72" s="16" t="b">
        <v>0</v>
      </c>
      <c r="AK72" s="16" t="b">
        <v>0</v>
      </c>
      <c r="AL72" s="16" t="b">
        <v>0</v>
      </c>
      <c r="AM72" s="16" t="b">
        <v>0</v>
      </c>
      <c r="AN72" s="16" t="b">
        <v>0</v>
      </c>
      <c r="AO72" s="16" t="b">
        <v>0</v>
      </c>
      <c r="AP72" s="16" t="b">
        <v>0</v>
      </c>
      <c r="AQ72" s="17">
        <f t="shared" si="9"/>
        <v>0.15</v>
      </c>
      <c r="AR72" s="12">
        <f t="shared" si="10"/>
        <v>1539.979</v>
      </c>
      <c r="AS72" s="18">
        <f t="shared" si="11"/>
        <v>9.9999999997635314E-4</v>
      </c>
      <c r="AT72" s="12">
        <f t="shared" si="12"/>
        <v>469.779</v>
      </c>
      <c r="AU72" s="18">
        <f t="shared" si="13"/>
        <v>9.9999999997635314E-4</v>
      </c>
      <c r="AV72" s="19">
        <f t="shared" si="14"/>
        <v>0.30505545854846072</v>
      </c>
      <c r="AW72" s="20" t="str">
        <f t="shared" si="15"/>
        <v>August</v>
      </c>
      <c r="AX72" s="21">
        <f t="shared" si="16"/>
        <v>2025</v>
      </c>
    </row>
    <row r="73" spans="1:50" ht="15.75" customHeight="1">
      <c r="A73" s="10" t="s">
        <v>351</v>
      </c>
      <c r="B73" s="11">
        <v>45763</v>
      </c>
      <c r="C73" s="11">
        <v>45770</v>
      </c>
      <c r="D73" s="10" t="s">
        <v>352</v>
      </c>
      <c r="E73" s="10" t="s">
        <v>65</v>
      </c>
      <c r="F73" s="10" t="s">
        <v>66</v>
      </c>
      <c r="G73" s="10" t="s">
        <v>92</v>
      </c>
      <c r="H73" s="10" t="s">
        <v>219</v>
      </c>
      <c r="I73" s="10" t="s">
        <v>220</v>
      </c>
      <c r="J73" s="10" t="s">
        <v>103</v>
      </c>
      <c r="K73" s="10" t="s">
        <v>304</v>
      </c>
      <c r="L73" s="10" t="s">
        <v>353</v>
      </c>
      <c r="M73" s="10" t="s">
        <v>88</v>
      </c>
      <c r="N73" s="12">
        <v>6</v>
      </c>
      <c r="O73" s="12">
        <v>2027.32</v>
      </c>
      <c r="P73" s="12">
        <v>0.1</v>
      </c>
      <c r="Q73" s="12">
        <v>10947.53</v>
      </c>
      <c r="R73" s="12">
        <v>6447.36</v>
      </c>
      <c r="S73" s="12">
        <v>4500.17</v>
      </c>
      <c r="T73" s="10" t="s">
        <v>61</v>
      </c>
      <c r="U73" s="13" t="s">
        <v>62</v>
      </c>
      <c r="V73" s="14" t="e">
        <f t="shared" ca="1" si="0"/>
        <v>#NAME?</v>
      </c>
      <c r="W73" s="10" t="str">
        <f ca="1">IFERROR(__xludf.DUMMYFUNCTION("IF(COUNTIF($A:$A,A67)=1,
""Unique"",
IF(COUNTUNIQUE(FILTER($V$2:$V$934,$A$2:$A$934=A67))&gt;1,
""Conflicting Duplicate"",
""Exact Duplicate""))"),"Unique")</f>
        <v>Unique</v>
      </c>
      <c r="X73" s="10" t="b">
        <f t="shared" ca="1" si="1"/>
        <v>1</v>
      </c>
      <c r="Y73" s="10" t="str">
        <f t="shared" si="2"/>
        <v>Unique</v>
      </c>
      <c r="Z73" s="10"/>
      <c r="AA73" s="10" t="str">
        <f t="shared" si="3"/>
        <v>Clean</v>
      </c>
      <c r="AB73" s="15" t="str">
        <f t="shared" si="4"/>
        <v>Valid</v>
      </c>
      <c r="AC73" s="15">
        <v>7</v>
      </c>
      <c r="AD73" s="16" t="str">
        <f t="shared" si="5"/>
        <v>Valid</v>
      </c>
      <c r="AE73" s="16" t="str">
        <f t="shared" si="6"/>
        <v>Valid</v>
      </c>
      <c r="AF73" s="16" t="str">
        <f t="shared" ref="AF73:AG73" si="157">IF(ISNUMBER(B73),"Valid","Invalid")</f>
        <v>Valid</v>
      </c>
      <c r="AG73" s="16" t="str">
        <f t="shared" si="157"/>
        <v>Valid</v>
      </c>
      <c r="AH73" s="16" t="str">
        <f t="shared" ref="AH73:AI73" si="158">IF(OR(B73="",ISBLANK(B73)),"Missing","Valid")</f>
        <v>Valid</v>
      </c>
      <c r="AI73" s="16" t="str">
        <f t="shared" si="158"/>
        <v>Valid</v>
      </c>
      <c r="AJ73" s="16" t="b">
        <v>0</v>
      </c>
      <c r="AK73" s="16" t="b">
        <v>0</v>
      </c>
      <c r="AL73" s="16" t="b">
        <v>0</v>
      </c>
      <c r="AM73" s="16" t="b">
        <v>0</v>
      </c>
      <c r="AN73" s="16" t="b">
        <v>0</v>
      </c>
      <c r="AO73" s="16" t="b">
        <v>0</v>
      </c>
      <c r="AP73" s="16" t="b">
        <v>0</v>
      </c>
      <c r="AQ73" s="17">
        <f t="shared" si="9"/>
        <v>0.1</v>
      </c>
      <c r="AR73" s="12">
        <f t="shared" si="10"/>
        <v>10947.528</v>
      </c>
      <c r="AS73" s="18">
        <f t="shared" si="11"/>
        <v>2.0000000004074536E-3</v>
      </c>
      <c r="AT73" s="12">
        <f t="shared" si="12"/>
        <v>4500.1680000000006</v>
      </c>
      <c r="AU73" s="18">
        <f t="shared" si="13"/>
        <v>1.9999999994979589E-3</v>
      </c>
      <c r="AV73" s="19">
        <f t="shared" si="14"/>
        <v>0.41106704636882413</v>
      </c>
      <c r="AW73" s="20" t="str">
        <f t="shared" si="15"/>
        <v>April</v>
      </c>
      <c r="AX73" s="21">
        <f t="shared" si="16"/>
        <v>2025</v>
      </c>
    </row>
    <row r="74" spans="1:50" ht="15.75" customHeight="1">
      <c r="A74" s="10" t="s">
        <v>354</v>
      </c>
      <c r="B74" s="11">
        <v>45333</v>
      </c>
      <c r="C74" s="11">
        <v>45329</v>
      </c>
      <c r="D74" s="10" t="s">
        <v>355</v>
      </c>
      <c r="E74" s="10" t="s">
        <v>52</v>
      </c>
      <c r="F74" s="10" t="s">
        <v>124</v>
      </c>
      <c r="G74" s="10" t="s">
        <v>83</v>
      </c>
      <c r="H74" s="10" t="s">
        <v>277</v>
      </c>
      <c r="I74" s="10" t="s">
        <v>278</v>
      </c>
      <c r="J74" s="10" t="s">
        <v>70</v>
      </c>
      <c r="K74" s="10" t="s">
        <v>71</v>
      </c>
      <c r="L74" s="10" t="s">
        <v>356</v>
      </c>
      <c r="M74" s="10" t="s">
        <v>79</v>
      </c>
      <c r="N74" s="12">
        <v>7</v>
      </c>
      <c r="O74" s="12">
        <v>2287.4699999999998</v>
      </c>
      <c r="P74" s="12">
        <v>0.15</v>
      </c>
      <c r="Q74" s="12">
        <v>13610.45</v>
      </c>
      <c r="R74" s="12">
        <v>10039.049999999999</v>
      </c>
      <c r="S74" s="12">
        <v>3571.4</v>
      </c>
      <c r="T74" s="10" t="s">
        <v>61</v>
      </c>
      <c r="U74" s="13" t="s">
        <v>62</v>
      </c>
      <c r="V74" s="14" t="e">
        <f t="shared" ca="1" si="0"/>
        <v>#NAME?</v>
      </c>
      <c r="W74" s="10" t="str">
        <f ca="1">IFERROR(__xludf.DUMMYFUNCTION("IF(COUNTIF($A:$A,A68)=1,
""Unique"",
IF(COUNTUNIQUE(FILTER($V$2:$V$934,$A$2:$A$934=A68))&gt;1,
""Conflicting Duplicate"",
""Exact Duplicate""))"),"Unique")</f>
        <v>Unique</v>
      </c>
      <c r="X74" s="10" t="b">
        <f t="shared" ca="1" si="1"/>
        <v>1</v>
      </c>
      <c r="Y74" s="10" t="str">
        <f t="shared" si="2"/>
        <v>Unique</v>
      </c>
      <c r="Z74" s="10"/>
      <c r="AA74" s="10" t="str">
        <f t="shared" si="3"/>
        <v>Invalid</v>
      </c>
      <c r="AB74" s="15" t="str">
        <f t="shared" si="4"/>
        <v>Invalid</v>
      </c>
      <c r="AC74" s="15">
        <v>-4</v>
      </c>
      <c r="AD74" s="16" t="str">
        <f t="shared" si="5"/>
        <v>Invalid Shipping Date</v>
      </c>
      <c r="AE74" s="16" t="str">
        <f t="shared" si="6"/>
        <v>Valid</v>
      </c>
      <c r="AF74" s="16" t="str">
        <f t="shared" ref="AF74:AG74" si="159">IF(ISNUMBER(B74),"Valid","Invalid")</f>
        <v>Valid</v>
      </c>
      <c r="AG74" s="16" t="str">
        <f t="shared" si="159"/>
        <v>Valid</v>
      </c>
      <c r="AH74" s="16" t="str">
        <f t="shared" ref="AH74:AI74" si="160">IF(OR(B74="",ISBLANK(B74)),"Missing","Valid")</f>
        <v>Valid</v>
      </c>
      <c r="AI74" s="16" t="str">
        <f t="shared" si="160"/>
        <v>Valid</v>
      </c>
      <c r="AJ74" s="16" t="b">
        <v>0</v>
      </c>
      <c r="AK74" s="16" t="b">
        <v>0</v>
      </c>
      <c r="AL74" s="16" t="b">
        <v>0</v>
      </c>
      <c r="AM74" s="16" t="b">
        <v>0</v>
      </c>
      <c r="AN74" s="16" t="b">
        <v>0</v>
      </c>
      <c r="AO74" s="16" t="b">
        <v>1</v>
      </c>
      <c r="AP74" s="16" t="b">
        <v>1</v>
      </c>
      <c r="AQ74" s="17">
        <f t="shared" si="9"/>
        <v>0.15</v>
      </c>
      <c r="AR74" s="12">
        <f t="shared" si="10"/>
        <v>13610.446499999998</v>
      </c>
      <c r="AS74" s="18">
        <f t="shared" si="11"/>
        <v>3.5000000025320332E-3</v>
      </c>
      <c r="AT74" s="12">
        <f t="shared" si="12"/>
        <v>3571.3964999999989</v>
      </c>
      <c r="AU74" s="18">
        <f t="shared" si="13"/>
        <v>3.5000000011677912E-3</v>
      </c>
      <c r="AV74" s="19">
        <f t="shared" si="14"/>
        <v>0.26240112695788487</v>
      </c>
      <c r="AW74" s="20" t="str">
        <f t="shared" si="15"/>
        <v>February</v>
      </c>
      <c r="AX74" s="21">
        <f t="shared" si="16"/>
        <v>2024</v>
      </c>
    </row>
    <row r="75" spans="1:50" ht="15.75" customHeight="1">
      <c r="A75" s="10" t="s">
        <v>357</v>
      </c>
      <c r="B75" s="11">
        <v>45745</v>
      </c>
      <c r="C75" s="11">
        <v>45750</v>
      </c>
      <c r="D75" s="10" t="s">
        <v>358</v>
      </c>
      <c r="E75" s="10" t="s">
        <v>161</v>
      </c>
      <c r="F75" s="10" t="s">
        <v>119</v>
      </c>
      <c r="G75" s="10" t="s">
        <v>67</v>
      </c>
      <c r="H75" s="10" t="s">
        <v>128</v>
      </c>
      <c r="I75" s="10" t="s">
        <v>129</v>
      </c>
      <c r="J75" s="10" t="s">
        <v>70</v>
      </c>
      <c r="K75" s="10" t="s">
        <v>187</v>
      </c>
      <c r="L75" s="10" t="s">
        <v>359</v>
      </c>
      <c r="M75" s="10" t="s">
        <v>79</v>
      </c>
      <c r="N75" s="12">
        <v>5</v>
      </c>
      <c r="O75" s="12">
        <v>1425.74</v>
      </c>
      <c r="P75" s="12">
        <v>0</v>
      </c>
      <c r="Q75" s="12">
        <v>7128.7</v>
      </c>
      <c r="R75" s="12">
        <v>4382.1499999999996</v>
      </c>
      <c r="S75" s="12">
        <v>2746.55</v>
      </c>
      <c r="T75" s="10" t="s">
        <v>61</v>
      </c>
      <c r="U75" s="13" t="s">
        <v>62</v>
      </c>
      <c r="V75" s="14" t="e">
        <f t="shared" ca="1" si="0"/>
        <v>#NAME?</v>
      </c>
      <c r="W75" s="10" t="str">
        <f ca="1">IFERROR(__xludf.DUMMYFUNCTION("IF(COUNTIF($A:$A,A69)=1,
""Unique"",
IF(COUNTUNIQUE(FILTER($V$2:$V$934,$A$2:$A$934=A69))&gt;1,
""Conflicting Duplicate"",
""Exact Duplicate""))"),"Unique")</f>
        <v>Unique</v>
      </c>
      <c r="X75" s="10" t="b">
        <f t="shared" ca="1" si="1"/>
        <v>1</v>
      </c>
      <c r="Y75" s="10" t="str">
        <f t="shared" si="2"/>
        <v>Unique</v>
      </c>
      <c r="Z75" s="10"/>
      <c r="AA75" s="10" t="str">
        <f t="shared" si="3"/>
        <v>Clean</v>
      </c>
      <c r="AB75" s="15" t="str">
        <f t="shared" si="4"/>
        <v>Valid</v>
      </c>
      <c r="AC75" s="15">
        <v>5</v>
      </c>
      <c r="AD75" s="16" t="str">
        <f t="shared" si="5"/>
        <v>Valid</v>
      </c>
      <c r="AE75" s="16" t="str">
        <f t="shared" si="6"/>
        <v>Valid</v>
      </c>
      <c r="AF75" s="16" t="str">
        <f t="shared" ref="AF75:AG75" si="161">IF(ISNUMBER(B75),"Valid","Invalid")</f>
        <v>Valid</v>
      </c>
      <c r="AG75" s="16" t="str">
        <f t="shared" si="161"/>
        <v>Valid</v>
      </c>
      <c r="AH75" s="16" t="str">
        <f t="shared" ref="AH75:AI75" si="162">IF(OR(B75="",ISBLANK(B75)),"Missing","Valid")</f>
        <v>Valid</v>
      </c>
      <c r="AI75" s="16" t="str">
        <f t="shared" si="162"/>
        <v>Valid</v>
      </c>
      <c r="AJ75" s="16" t="b">
        <v>0</v>
      </c>
      <c r="AK75" s="16" t="b">
        <v>0</v>
      </c>
      <c r="AL75" s="16" t="b">
        <v>0</v>
      </c>
      <c r="AM75" s="16" t="b">
        <v>0</v>
      </c>
      <c r="AN75" s="16" t="b">
        <v>0</v>
      </c>
      <c r="AO75" s="16" t="b">
        <v>0</v>
      </c>
      <c r="AP75" s="16" t="b">
        <v>0</v>
      </c>
      <c r="AQ75" s="17">
        <f t="shared" si="9"/>
        <v>0</v>
      </c>
      <c r="AR75" s="12">
        <f t="shared" si="10"/>
        <v>7128.7</v>
      </c>
      <c r="AS75" s="18">
        <f t="shared" si="11"/>
        <v>0</v>
      </c>
      <c r="AT75" s="12">
        <f t="shared" si="12"/>
        <v>2746.55</v>
      </c>
      <c r="AU75" s="18">
        <f t="shared" si="13"/>
        <v>0</v>
      </c>
      <c r="AV75" s="19">
        <f t="shared" si="14"/>
        <v>0.38528062620113068</v>
      </c>
      <c r="AW75" s="20" t="str">
        <f t="shared" si="15"/>
        <v>March</v>
      </c>
      <c r="AX75" s="21">
        <f t="shared" si="16"/>
        <v>2025</v>
      </c>
    </row>
    <row r="76" spans="1:50" ht="15.75" customHeight="1">
      <c r="A76" s="10" t="s">
        <v>360</v>
      </c>
      <c r="B76" s="11">
        <v>45715</v>
      </c>
      <c r="C76" s="11">
        <v>45717</v>
      </c>
      <c r="D76" s="10" t="s">
        <v>361</v>
      </c>
      <c r="E76" s="10" t="s">
        <v>100</v>
      </c>
      <c r="F76" s="10" t="s">
        <v>66</v>
      </c>
      <c r="G76" s="10" t="s">
        <v>67</v>
      </c>
      <c r="H76" s="10" t="s">
        <v>128</v>
      </c>
      <c r="I76" s="10" t="s">
        <v>129</v>
      </c>
      <c r="J76" s="10" t="s">
        <v>70</v>
      </c>
      <c r="K76" s="10" t="s">
        <v>95</v>
      </c>
      <c r="L76" s="10" t="s">
        <v>362</v>
      </c>
      <c r="M76" s="10" t="s">
        <v>88</v>
      </c>
      <c r="N76" s="12">
        <v>6</v>
      </c>
      <c r="O76" s="12">
        <v>551.64</v>
      </c>
      <c r="P76" s="12">
        <v>0</v>
      </c>
      <c r="Q76" s="12">
        <v>3309.84</v>
      </c>
      <c r="R76" s="12">
        <v>2671.08</v>
      </c>
      <c r="S76" s="12">
        <v>638.76</v>
      </c>
      <c r="T76" s="10" t="s">
        <v>61</v>
      </c>
      <c r="U76" s="13" t="s">
        <v>62</v>
      </c>
      <c r="V76" s="14" t="e">
        <f t="shared" ca="1" si="0"/>
        <v>#NAME?</v>
      </c>
      <c r="W76" s="10" t="str">
        <f ca="1">IFERROR(__xludf.DUMMYFUNCTION("IF(COUNTIF($A:$A,A70)=1,
""Unique"",
IF(COUNTUNIQUE(FILTER($V$2:$V$934,$A$2:$A$934=A70))&gt;1,
""Conflicting Duplicate"",
""Exact Duplicate""))"),"Unique")</f>
        <v>Unique</v>
      </c>
      <c r="X76" s="10" t="b">
        <f t="shared" ca="1" si="1"/>
        <v>1</v>
      </c>
      <c r="Y76" s="10" t="str">
        <f t="shared" si="2"/>
        <v>Unique</v>
      </c>
      <c r="Z76" s="10"/>
      <c r="AA76" s="10" t="str">
        <f t="shared" si="3"/>
        <v>Clean</v>
      </c>
      <c r="AB76" s="15" t="str">
        <f t="shared" si="4"/>
        <v>Valid</v>
      </c>
      <c r="AC76" s="15">
        <v>2</v>
      </c>
      <c r="AD76" s="16" t="str">
        <f t="shared" si="5"/>
        <v>Valid</v>
      </c>
      <c r="AE76" s="16" t="str">
        <f t="shared" si="6"/>
        <v>Valid</v>
      </c>
      <c r="AF76" s="16" t="str">
        <f t="shared" ref="AF76:AG76" si="163">IF(ISNUMBER(B76),"Valid","Invalid")</f>
        <v>Valid</v>
      </c>
      <c r="AG76" s="16" t="str">
        <f t="shared" si="163"/>
        <v>Valid</v>
      </c>
      <c r="AH76" s="16" t="str">
        <f t="shared" ref="AH76:AI76" si="164">IF(OR(B76="",ISBLANK(B76)),"Missing","Valid")</f>
        <v>Valid</v>
      </c>
      <c r="AI76" s="16" t="str">
        <f t="shared" si="164"/>
        <v>Valid</v>
      </c>
      <c r="AJ76" s="16" t="b">
        <v>0</v>
      </c>
      <c r="AK76" s="16" t="b">
        <v>0</v>
      </c>
      <c r="AL76" s="16" t="b">
        <v>0</v>
      </c>
      <c r="AM76" s="16" t="b">
        <v>0</v>
      </c>
      <c r="AN76" s="16" t="b">
        <v>0</v>
      </c>
      <c r="AO76" s="16" t="b">
        <v>0</v>
      </c>
      <c r="AP76" s="16" t="b">
        <v>0</v>
      </c>
      <c r="AQ76" s="17">
        <f t="shared" si="9"/>
        <v>0</v>
      </c>
      <c r="AR76" s="12">
        <f t="shared" si="10"/>
        <v>3309.84</v>
      </c>
      <c r="AS76" s="18">
        <f t="shared" si="11"/>
        <v>0</v>
      </c>
      <c r="AT76" s="12">
        <f t="shared" si="12"/>
        <v>638.76000000000022</v>
      </c>
      <c r="AU76" s="18">
        <f t="shared" si="13"/>
        <v>0</v>
      </c>
      <c r="AV76" s="19">
        <f t="shared" si="14"/>
        <v>0.19298818069755644</v>
      </c>
      <c r="AW76" s="20" t="str">
        <f t="shared" si="15"/>
        <v>February</v>
      </c>
      <c r="AX76" s="21">
        <f t="shared" si="16"/>
        <v>2025</v>
      </c>
    </row>
    <row r="77" spans="1:50" ht="15.75" customHeight="1">
      <c r="A77" s="10" t="s">
        <v>363</v>
      </c>
      <c r="B77" s="11">
        <v>45891</v>
      </c>
      <c r="C77" s="11">
        <v>45896</v>
      </c>
      <c r="D77" s="10" t="s">
        <v>364</v>
      </c>
      <c r="E77" s="10" t="s">
        <v>143</v>
      </c>
      <c r="F77" s="10" t="s">
        <v>66</v>
      </c>
      <c r="G77" s="10" t="s">
        <v>67</v>
      </c>
      <c r="H77" s="10" t="s">
        <v>68</v>
      </c>
      <c r="I77" s="10" t="s">
        <v>69</v>
      </c>
      <c r="J77" s="10" t="s">
        <v>57</v>
      </c>
      <c r="K77" s="10" t="s">
        <v>120</v>
      </c>
      <c r="L77" s="10" t="s">
        <v>365</v>
      </c>
      <c r="M77" s="10" t="s">
        <v>79</v>
      </c>
      <c r="N77" s="12">
        <v>3</v>
      </c>
      <c r="O77" s="12">
        <v>3294.82</v>
      </c>
      <c r="P77" s="12">
        <v>0.2</v>
      </c>
      <c r="Q77" s="12">
        <v>7907.57</v>
      </c>
      <c r="R77" s="12">
        <v>5391.18</v>
      </c>
      <c r="S77" s="12">
        <v>2516.39</v>
      </c>
      <c r="T77" s="10" t="s">
        <v>61</v>
      </c>
      <c r="U77" s="13" t="s">
        <v>62</v>
      </c>
      <c r="V77" s="14" t="e">
        <f t="shared" ca="1" si="0"/>
        <v>#NAME?</v>
      </c>
      <c r="W77" s="10" t="str">
        <f ca="1">IFERROR(__xludf.DUMMYFUNCTION("IF(COUNTIF($A:$A,A71)=1,
""Unique"",
IF(COUNTUNIQUE(FILTER($V$2:$V$934,$A$2:$A$934=A71))&gt;1,
""Conflicting Duplicate"",
""Exact Duplicate""))"),"Unique")</f>
        <v>Unique</v>
      </c>
      <c r="X77" s="10" t="b">
        <f t="shared" ca="1" si="1"/>
        <v>1</v>
      </c>
      <c r="Y77" s="10" t="str">
        <f t="shared" si="2"/>
        <v>Unique</v>
      </c>
      <c r="Z77" s="10"/>
      <c r="AA77" s="10" t="str">
        <f t="shared" si="3"/>
        <v>Clean</v>
      </c>
      <c r="AB77" s="15" t="str">
        <f t="shared" si="4"/>
        <v>Valid</v>
      </c>
      <c r="AC77" s="15">
        <v>5</v>
      </c>
      <c r="AD77" s="16" t="str">
        <f t="shared" si="5"/>
        <v>Valid</v>
      </c>
      <c r="AE77" s="16" t="str">
        <f t="shared" si="6"/>
        <v>Valid</v>
      </c>
      <c r="AF77" s="16" t="str">
        <f t="shared" ref="AF77:AG77" si="165">IF(ISNUMBER(B77),"Valid","Invalid")</f>
        <v>Valid</v>
      </c>
      <c r="AG77" s="16" t="str">
        <f t="shared" si="165"/>
        <v>Valid</v>
      </c>
      <c r="AH77" s="16" t="str">
        <f t="shared" ref="AH77:AI77" si="166">IF(OR(B77="",ISBLANK(B77)),"Missing","Valid")</f>
        <v>Valid</v>
      </c>
      <c r="AI77" s="16" t="str">
        <f t="shared" si="166"/>
        <v>Valid</v>
      </c>
      <c r="AJ77" s="16" t="b">
        <v>0</v>
      </c>
      <c r="AK77" s="16" t="b">
        <v>0</v>
      </c>
      <c r="AL77" s="16" t="b">
        <v>0</v>
      </c>
      <c r="AM77" s="16" t="b">
        <v>0</v>
      </c>
      <c r="AN77" s="16" t="b">
        <v>0</v>
      </c>
      <c r="AO77" s="16" t="b">
        <v>0</v>
      </c>
      <c r="AP77" s="16" t="b">
        <v>0</v>
      </c>
      <c r="AQ77" s="17">
        <f t="shared" si="9"/>
        <v>0.2</v>
      </c>
      <c r="AR77" s="12">
        <f t="shared" si="10"/>
        <v>7907.5680000000011</v>
      </c>
      <c r="AS77" s="18">
        <f t="shared" si="11"/>
        <v>1.9999999985884642E-3</v>
      </c>
      <c r="AT77" s="12">
        <f t="shared" si="12"/>
        <v>2516.3880000000008</v>
      </c>
      <c r="AU77" s="18">
        <f t="shared" si="13"/>
        <v>1.9999999990432116E-3</v>
      </c>
      <c r="AV77" s="19">
        <f t="shared" si="14"/>
        <v>0.31822527482533197</v>
      </c>
      <c r="AW77" s="20" t="str">
        <f t="shared" si="15"/>
        <v>August</v>
      </c>
      <c r="AX77" s="21">
        <f t="shared" si="16"/>
        <v>2025</v>
      </c>
    </row>
    <row r="78" spans="1:50" ht="15.75" customHeight="1">
      <c r="A78" s="10" t="s">
        <v>366</v>
      </c>
      <c r="B78" s="11">
        <v>45599</v>
      </c>
      <c r="C78" s="11">
        <v>45607</v>
      </c>
      <c r="D78" s="10" t="s">
        <v>367</v>
      </c>
      <c r="E78" s="10" t="s">
        <v>91</v>
      </c>
      <c r="F78" s="10" t="s">
        <v>119</v>
      </c>
      <c r="G78" s="10" t="s">
        <v>67</v>
      </c>
      <c r="H78" s="10" t="s">
        <v>258</v>
      </c>
      <c r="I78" s="10" t="s">
        <v>259</v>
      </c>
      <c r="J78" s="10" t="s">
        <v>57</v>
      </c>
      <c r="K78" s="10" t="s">
        <v>120</v>
      </c>
      <c r="L78" s="10" t="s">
        <v>368</v>
      </c>
      <c r="M78" s="10" t="s">
        <v>60</v>
      </c>
      <c r="N78" s="12">
        <v>3</v>
      </c>
      <c r="O78" s="12">
        <v>3406.27</v>
      </c>
      <c r="P78" s="12">
        <v>0</v>
      </c>
      <c r="Q78" s="12">
        <v>10218.81</v>
      </c>
      <c r="R78" s="12">
        <v>7616.97</v>
      </c>
      <c r="S78" s="12">
        <v>2601.84</v>
      </c>
      <c r="T78" s="10" t="s">
        <v>61</v>
      </c>
      <c r="U78" s="13" t="s">
        <v>62</v>
      </c>
      <c r="V78" s="14" t="e">
        <f t="shared" ca="1" si="0"/>
        <v>#NAME?</v>
      </c>
      <c r="W78" s="10" t="str">
        <f ca="1">IFERROR(__xludf.DUMMYFUNCTION("IF(COUNTIF($A:$A,A72)=1,
""Unique"",
IF(COUNTUNIQUE(FILTER($V$2:$V$934,$A$2:$A$934=A72))&gt;1,
""Conflicting Duplicate"",
""Exact Duplicate""))"),"Unique")</f>
        <v>Unique</v>
      </c>
      <c r="X78" s="10" t="b">
        <f t="shared" ca="1" si="1"/>
        <v>1</v>
      </c>
      <c r="Y78" s="10" t="str">
        <f t="shared" si="2"/>
        <v>Unique</v>
      </c>
      <c r="Z78" s="10"/>
      <c r="AA78" s="10" t="str">
        <f t="shared" si="3"/>
        <v>Clean</v>
      </c>
      <c r="AB78" s="15" t="str">
        <f t="shared" si="4"/>
        <v>Valid</v>
      </c>
      <c r="AC78" s="15">
        <v>8</v>
      </c>
      <c r="AD78" s="16" t="str">
        <f t="shared" si="5"/>
        <v>Valid</v>
      </c>
      <c r="AE78" s="16" t="str">
        <f t="shared" si="6"/>
        <v>Valid</v>
      </c>
      <c r="AF78" s="16" t="str">
        <f t="shared" ref="AF78:AG78" si="167">IF(ISNUMBER(B78),"Valid","Invalid")</f>
        <v>Valid</v>
      </c>
      <c r="AG78" s="16" t="str">
        <f t="shared" si="167"/>
        <v>Valid</v>
      </c>
      <c r="AH78" s="16" t="str">
        <f t="shared" ref="AH78:AI78" si="168">IF(OR(B78="",ISBLANK(B78)),"Missing","Valid")</f>
        <v>Valid</v>
      </c>
      <c r="AI78" s="16" t="str">
        <f t="shared" si="168"/>
        <v>Valid</v>
      </c>
      <c r="AJ78" s="16" t="b">
        <v>0</v>
      </c>
      <c r="AK78" s="16" t="b">
        <v>0</v>
      </c>
      <c r="AL78" s="16" t="b">
        <v>0</v>
      </c>
      <c r="AM78" s="16" t="b">
        <v>0</v>
      </c>
      <c r="AN78" s="16" t="b">
        <v>0</v>
      </c>
      <c r="AO78" s="16" t="b">
        <v>0</v>
      </c>
      <c r="AP78" s="16" t="b">
        <v>0</v>
      </c>
      <c r="AQ78" s="17">
        <f t="shared" si="9"/>
        <v>0</v>
      </c>
      <c r="AR78" s="12">
        <f t="shared" si="10"/>
        <v>10218.81</v>
      </c>
      <c r="AS78" s="18">
        <f t="shared" si="11"/>
        <v>0</v>
      </c>
      <c r="AT78" s="12">
        <f t="shared" si="12"/>
        <v>2601.8399999999992</v>
      </c>
      <c r="AU78" s="18">
        <f t="shared" si="13"/>
        <v>0</v>
      </c>
      <c r="AV78" s="19">
        <f t="shared" si="14"/>
        <v>0.2546128169522674</v>
      </c>
      <c r="AW78" s="20" t="str">
        <f t="shared" si="15"/>
        <v>November</v>
      </c>
      <c r="AX78" s="21">
        <f t="shared" si="16"/>
        <v>2024</v>
      </c>
    </row>
    <row r="79" spans="1:50" ht="15.75" customHeight="1">
      <c r="A79" s="10" t="s">
        <v>369</v>
      </c>
      <c r="B79" s="11">
        <v>45846</v>
      </c>
      <c r="C79" s="11">
        <v>45850</v>
      </c>
      <c r="D79" s="10" t="s">
        <v>370</v>
      </c>
      <c r="E79" s="10" t="s">
        <v>170</v>
      </c>
      <c r="F79" s="10" t="s">
        <v>124</v>
      </c>
      <c r="G79" s="10" t="s">
        <v>54</v>
      </c>
      <c r="H79" s="10" t="s">
        <v>165</v>
      </c>
      <c r="I79" s="10" t="s">
        <v>166</v>
      </c>
      <c r="J79" s="10" t="s">
        <v>70</v>
      </c>
      <c r="K79" s="10" t="s">
        <v>86</v>
      </c>
      <c r="L79" s="10" t="s">
        <v>371</v>
      </c>
      <c r="M79" s="10" t="s">
        <v>88</v>
      </c>
      <c r="N79" s="12">
        <v>1</v>
      </c>
      <c r="O79" s="12">
        <v>2582.1999999999998</v>
      </c>
      <c r="P79" s="12">
        <v>0.15</v>
      </c>
      <c r="Q79" s="12">
        <v>2194.87</v>
      </c>
      <c r="R79" s="12">
        <v>1223.17</v>
      </c>
      <c r="S79" s="12">
        <v>971.7</v>
      </c>
      <c r="T79" s="10" t="s">
        <v>131</v>
      </c>
      <c r="U79" s="13" t="s">
        <v>97</v>
      </c>
      <c r="V79" s="14" t="e">
        <f t="shared" ca="1" si="0"/>
        <v>#NAME?</v>
      </c>
      <c r="W79" s="10" t="str">
        <f ca="1">IFERROR(__xludf.DUMMYFUNCTION("IF(COUNTIF($A:$A,A73)=1,
""Unique"",
IF(COUNTUNIQUE(FILTER($V$2:$V$934,$A$2:$A$934=A73))&gt;1,
""Conflicting Duplicate"",
""Exact Duplicate""))"),"Unique")</f>
        <v>Unique</v>
      </c>
      <c r="X79" s="10" t="b">
        <f t="shared" ca="1" si="1"/>
        <v>1</v>
      </c>
      <c r="Y79" s="10" t="str">
        <f t="shared" si="2"/>
        <v>Unique</v>
      </c>
      <c r="Z79" s="10"/>
      <c r="AA79" s="10" t="str">
        <f t="shared" si="3"/>
        <v>Clean</v>
      </c>
      <c r="AB79" s="15" t="str">
        <f t="shared" si="4"/>
        <v>Valid</v>
      </c>
      <c r="AC79" s="15">
        <v>4</v>
      </c>
      <c r="AD79" s="16" t="str">
        <f t="shared" si="5"/>
        <v>Valid</v>
      </c>
      <c r="AE79" s="16" t="str">
        <f t="shared" si="6"/>
        <v>Valid</v>
      </c>
      <c r="AF79" s="16" t="str">
        <f t="shared" ref="AF79:AG79" si="169">IF(ISNUMBER(B79),"Valid","Invalid")</f>
        <v>Valid</v>
      </c>
      <c r="AG79" s="16" t="str">
        <f t="shared" si="169"/>
        <v>Valid</v>
      </c>
      <c r="AH79" s="16" t="str">
        <f t="shared" ref="AH79:AI79" si="170">IF(OR(B79="",ISBLANK(B79)),"Missing","Valid")</f>
        <v>Valid</v>
      </c>
      <c r="AI79" s="16" t="str">
        <f t="shared" si="170"/>
        <v>Valid</v>
      </c>
      <c r="AJ79" s="16" t="b">
        <v>0</v>
      </c>
      <c r="AK79" s="16" t="b">
        <v>0</v>
      </c>
      <c r="AL79" s="16" t="b">
        <v>0</v>
      </c>
      <c r="AM79" s="16" t="b">
        <v>0</v>
      </c>
      <c r="AN79" s="16" t="b">
        <v>0</v>
      </c>
      <c r="AO79" s="16" t="b">
        <v>0</v>
      </c>
      <c r="AP79" s="16" t="b">
        <v>0</v>
      </c>
      <c r="AQ79" s="17">
        <f t="shared" si="9"/>
        <v>0.15</v>
      </c>
      <c r="AR79" s="12">
        <f t="shared" si="10"/>
        <v>2194.87</v>
      </c>
      <c r="AS79" s="18">
        <f t="shared" si="11"/>
        <v>0</v>
      </c>
      <c r="AT79" s="12">
        <f t="shared" si="12"/>
        <v>971.69999999999982</v>
      </c>
      <c r="AU79" s="18">
        <f t="shared" si="13"/>
        <v>0</v>
      </c>
      <c r="AV79" s="19">
        <f t="shared" si="14"/>
        <v>0.44271414707932583</v>
      </c>
      <c r="AW79" s="20" t="str">
        <f t="shared" si="15"/>
        <v>July</v>
      </c>
      <c r="AX79" s="21">
        <f t="shared" si="16"/>
        <v>2025</v>
      </c>
    </row>
    <row r="80" spans="1:50" ht="15.75" customHeight="1">
      <c r="A80" s="10" t="s">
        <v>372</v>
      </c>
      <c r="B80" s="11">
        <v>45854</v>
      </c>
      <c r="C80" s="11">
        <v>45859</v>
      </c>
      <c r="D80" s="10" t="s">
        <v>373</v>
      </c>
      <c r="E80" s="10" t="s">
        <v>161</v>
      </c>
      <c r="F80" s="10" t="s">
        <v>119</v>
      </c>
      <c r="G80" s="10" t="s">
        <v>67</v>
      </c>
      <c r="H80" s="10" t="s">
        <v>128</v>
      </c>
      <c r="I80" s="10" t="s">
        <v>129</v>
      </c>
      <c r="J80" s="10" t="s">
        <v>70</v>
      </c>
      <c r="K80" s="10" t="s">
        <v>71</v>
      </c>
      <c r="L80" s="10" t="s">
        <v>374</v>
      </c>
      <c r="M80" s="10" t="s">
        <v>79</v>
      </c>
      <c r="N80" s="12">
        <v>5</v>
      </c>
      <c r="O80" s="12">
        <v>2129.5100000000002</v>
      </c>
      <c r="P80" s="12">
        <v>0.15</v>
      </c>
      <c r="Q80" s="12">
        <v>9050.42</v>
      </c>
      <c r="R80" s="12">
        <v>6778.85</v>
      </c>
      <c r="S80" s="12">
        <v>2271.5700000000002</v>
      </c>
      <c r="T80" s="10" t="s">
        <v>61</v>
      </c>
      <c r="U80" s="13" t="s">
        <v>62</v>
      </c>
      <c r="V80" s="14" t="e">
        <f t="shared" ca="1" si="0"/>
        <v>#NAME?</v>
      </c>
      <c r="W80" s="10" t="str">
        <f ca="1">IFERROR(__xludf.DUMMYFUNCTION("IF(COUNTIF($A:$A,A74)=1,
""Unique"",
IF(COUNTUNIQUE(FILTER($V$2:$V$934,$A$2:$A$934=A74))&gt;1,
""Conflicting Duplicate"",
""Exact Duplicate""))"),"Unique")</f>
        <v>Unique</v>
      </c>
      <c r="X80" s="10" t="b">
        <f t="shared" ca="1" si="1"/>
        <v>1</v>
      </c>
      <c r="Y80" s="10" t="str">
        <f t="shared" si="2"/>
        <v>Unique</v>
      </c>
      <c r="Z80" s="10"/>
      <c r="AA80" s="10" t="str">
        <f t="shared" si="3"/>
        <v>Clean</v>
      </c>
      <c r="AB80" s="15" t="str">
        <f t="shared" si="4"/>
        <v>Valid</v>
      </c>
      <c r="AC80" s="15">
        <v>5</v>
      </c>
      <c r="AD80" s="16" t="str">
        <f t="shared" si="5"/>
        <v>Valid</v>
      </c>
      <c r="AE80" s="16" t="str">
        <f t="shared" si="6"/>
        <v>Valid</v>
      </c>
      <c r="AF80" s="16" t="str">
        <f t="shared" ref="AF80:AG80" si="171">IF(ISNUMBER(B80),"Valid","Invalid")</f>
        <v>Valid</v>
      </c>
      <c r="AG80" s="16" t="str">
        <f t="shared" si="171"/>
        <v>Valid</v>
      </c>
      <c r="AH80" s="16" t="str">
        <f t="shared" ref="AH80:AI80" si="172">IF(OR(B80="",ISBLANK(B80)),"Missing","Valid")</f>
        <v>Valid</v>
      </c>
      <c r="AI80" s="16" t="str">
        <f t="shared" si="172"/>
        <v>Valid</v>
      </c>
      <c r="AJ80" s="16" t="b">
        <v>0</v>
      </c>
      <c r="AK80" s="16" t="b">
        <v>0</v>
      </c>
      <c r="AL80" s="16" t="b">
        <v>0</v>
      </c>
      <c r="AM80" s="16" t="b">
        <v>0</v>
      </c>
      <c r="AN80" s="16" t="b">
        <v>0</v>
      </c>
      <c r="AO80" s="16" t="b">
        <v>0</v>
      </c>
      <c r="AP80" s="16" t="b">
        <v>0</v>
      </c>
      <c r="AQ80" s="17">
        <f t="shared" si="9"/>
        <v>0.15</v>
      </c>
      <c r="AR80" s="12">
        <f t="shared" si="10"/>
        <v>9050.4175000000014</v>
      </c>
      <c r="AS80" s="18">
        <f t="shared" si="11"/>
        <v>2.4999999986903276E-3</v>
      </c>
      <c r="AT80" s="12">
        <f t="shared" si="12"/>
        <v>2271.567500000001</v>
      </c>
      <c r="AU80" s="18">
        <f t="shared" si="13"/>
        <v>2.499999999145075E-3</v>
      </c>
      <c r="AV80" s="19">
        <f t="shared" si="14"/>
        <v>0.25099035486484472</v>
      </c>
      <c r="AW80" s="20" t="str">
        <f t="shared" si="15"/>
        <v>July</v>
      </c>
      <c r="AX80" s="21">
        <f t="shared" si="16"/>
        <v>2025</v>
      </c>
    </row>
    <row r="81" spans="1:50" ht="15.75" customHeight="1">
      <c r="A81" s="10" t="s">
        <v>375</v>
      </c>
      <c r="B81" s="11">
        <v>45927</v>
      </c>
      <c r="C81" s="11">
        <v>45933</v>
      </c>
      <c r="D81" s="10" t="s">
        <v>376</v>
      </c>
      <c r="E81" s="10" t="s">
        <v>191</v>
      </c>
      <c r="F81" s="10" t="s">
        <v>124</v>
      </c>
      <c r="G81" s="10" t="s">
        <v>83</v>
      </c>
      <c r="H81" s="10" t="s">
        <v>277</v>
      </c>
      <c r="I81" s="10" t="s">
        <v>278</v>
      </c>
      <c r="J81" s="10" t="s">
        <v>70</v>
      </c>
      <c r="K81" s="10" t="s">
        <v>95</v>
      </c>
      <c r="L81" s="10" t="s">
        <v>377</v>
      </c>
      <c r="M81" s="10" t="s">
        <v>73</v>
      </c>
      <c r="N81" s="12">
        <v>9</v>
      </c>
      <c r="O81" s="12">
        <v>4131.5200000000004</v>
      </c>
      <c r="P81" s="12">
        <v>0.1</v>
      </c>
      <c r="Q81" s="12">
        <v>33465.31</v>
      </c>
      <c r="R81" s="12">
        <v>24781.26</v>
      </c>
      <c r="S81" s="12">
        <v>8684.0499999999993</v>
      </c>
      <c r="T81" s="10" t="s">
        <v>61</v>
      </c>
      <c r="U81" s="13" t="s">
        <v>62</v>
      </c>
      <c r="V81" s="14" t="e">
        <f t="shared" ca="1" si="0"/>
        <v>#NAME?</v>
      </c>
      <c r="W81" s="10" t="str">
        <f ca="1">IFERROR(__xludf.DUMMYFUNCTION("IF(COUNTIF($A:$A,A75)=1,
""Unique"",
IF(COUNTUNIQUE(FILTER($V$2:$V$934,$A$2:$A$934=A75))&gt;1,
""Conflicting Duplicate"",
""Exact Duplicate""))"),"Unique")</f>
        <v>Unique</v>
      </c>
      <c r="X81" s="10" t="b">
        <f t="shared" ca="1" si="1"/>
        <v>1</v>
      </c>
      <c r="Y81" s="10" t="str">
        <f t="shared" si="2"/>
        <v>Unique</v>
      </c>
      <c r="Z81" s="10"/>
      <c r="AA81" s="10" t="str">
        <f t="shared" si="3"/>
        <v>Clean</v>
      </c>
      <c r="AB81" s="15" t="str">
        <f t="shared" si="4"/>
        <v>Valid</v>
      </c>
      <c r="AC81" s="15">
        <v>6</v>
      </c>
      <c r="AD81" s="16" t="str">
        <f t="shared" si="5"/>
        <v>Valid</v>
      </c>
      <c r="AE81" s="16" t="str">
        <f t="shared" si="6"/>
        <v>Valid</v>
      </c>
      <c r="AF81" s="16" t="str">
        <f t="shared" ref="AF81:AG81" si="173">IF(ISNUMBER(B81),"Valid","Invalid")</f>
        <v>Valid</v>
      </c>
      <c r="AG81" s="16" t="str">
        <f t="shared" si="173"/>
        <v>Valid</v>
      </c>
      <c r="AH81" s="16" t="str">
        <f t="shared" ref="AH81:AI81" si="174">IF(OR(B81="",ISBLANK(B81)),"Missing","Valid")</f>
        <v>Valid</v>
      </c>
      <c r="AI81" s="16" t="str">
        <f t="shared" si="174"/>
        <v>Valid</v>
      </c>
      <c r="AJ81" s="16" t="b">
        <v>0</v>
      </c>
      <c r="AK81" s="16" t="b">
        <v>0</v>
      </c>
      <c r="AL81" s="16" t="b">
        <v>0</v>
      </c>
      <c r="AM81" s="16" t="b">
        <v>0</v>
      </c>
      <c r="AN81" s="16" t="b">
        <v>0</v>
      </c>
      <c r="AO81" s="16" t="b">
        <v>0</v>
      </c>
      <c r="AP81" s="16" t="b">
        <v>0</v>
      </c>
      <c r="AQ81" s="17">
        <f t="shared" si="9"/>
        <v>0.1</v>
      </c>
      <c r="AR81" s="12">
        <f t="shared" si="10"/>
        <v>33465.312000000005</v>
      </c>
      <c r="AS81" s="18">
        <f t="shared" si="11"/>
        <v>-2.0000000076834112E-3</v>
      </c>
      <c r="AT81" s="12">
        <f t="shared" si="12"/>
        <v>8684.052000000007</v>
      </c>
      <c r="AU81" s="18">
        <f t="shared" si="13"/>
        <v>-2.0000000076834112E-3</v>
      </c>
      <c r="AV81" s="19">
        <f t="shared" si="14"/>
        <v>0.25949412932411942</v>
      </c>
      <c r="AW81" s="20" t="str">
        <f t="shared" si="15"/>
        <v>September</v>
      </c>
      <c r="AX81" s="21">
        <f t="shared" si="16"/>
        <v>2025</v>
      </c>
    </row>
    <row r="82" spans="1:50" ht="15.75" customHeight="1">
      <c r="A82" s="10" t="s">
        <v>378</v>
      </c>
      <c r="B82" s="11">
        <v>45514</v>
      </c>
      <c r="C82" s="11">
        <v>45518</v>
      </c>
      <c r="D82" s="10" t="s">
        <v>379</v>
      </c>
      <c r="E82" s="10" t="s">
        <v>157</v>
      </c>
      <c r="F82" s="10" t="s">
        <v>66</v>
      </c>
      <c r="G82" s="10" t="s">
        <v>54</v>
      </c>
      <c r="H82" s="10" t="s">
        <v>380</v>
      </c>
      <c r="I82" s="10" t="s">
        <v>381</v>
      </c>
      <c r="J82" s="10" t="s">
        <v>57</v>
      </c>
      <c r="K82" s="10" t="s">
        <v>153</v>
      </c>
      <c r="L82" s="10" t="s">
        <v>382</v>
      </c>
      <c r="M82" s="10" t="s">
        <v>60</v>
      </c>
      <c r="N82" s="12">
        <v>4</v>
      </c>
      <c r="O82" s="12">
        <v>1182.32</v>
      </c>
      <c r="P82" s="12">
        <v>0.1</v>
      </c>
      <c r="Q82" s="12">
        <v>4256.3500000000004</v>
      </c>
      <c r="R82" s="12">
        <v>2495.33</v>
      </c>
      <c r="S82" s="12">
        <v>1761.02</v>
      </c>
      <c r="T82" s="10" t="s">
        <v>140</v>
      </c>
      <c r="U82" s="13" t="s">
        <v>132</v>
      </c>
      <c r="V82" s="14" t="e">
        <f t="shared" ca="1" si="0"/>
        <v>#NAME?</v>
      </c>
      <c r="W82" s="10" t="str">
        <f ca="1">IFERROR(__xludf.DUMMYFUNCTION("IF(COUNTIF($A:$A,A76)=1,
""Unique"",
IF(COUNTUNIQUE(FILTER($V$2:$V$934,$A$2:$A$934=A76))&gt;1,
""Conflicting Duplicate"",
""Exact Duplicate""))"),"Unique")</f>
        <v>Unique</v>
      </c>
      <c r="X82" s="10" t="b">
        <f t="shared" ca="1" si="1"/>
        <v>1</v>
      </c>
      <c r="Y82" s="10" t="str">
        <f t="shared" si="2"/>
        <v>Unique</v>
      </c>
      <c r="Z82" s="10"/>
      <c r="AA82" s="10" t="str">
        <f t="shared" si="3"/>
        <v>Clean</v>
      </c>
      <c r="AB82" s="15" t="str">
        <f t="shared" si="4"/>
        <v>Valid</v>
      </c>
      <c r="AC82" s="15">
        <v>4</v>
      </c>
      <c r="AD82" s="16" t="str">
        <f t="shared" si="5"/>
        <v>Valid</v>
      </c>
      <c r="AE82" s="16" t="str">
        <f t="shared" si="6"/>
        <v>Valid</v>
      </c>
      <c r="AF82" s="16" t="str">
        <f t="shared" ref="AF82:AG82" si="175">IF(ISNUMBER(B82),"Valid","Invalid")</f>
        <v>Valid</v>
      </c>
      <c r="AG82" s="16" t="str">
        <f t="shared" si="175"/>
        <v>Valid</v>
      </c>
      <c r="AH82" s="16" t="str">
        <f t="shared" ref="AH82:AI82" si="176">IF(OR(B82="",ISBLANK(B82)),"Missing","Valid")</f>
        <v>Valid</v>
      </c>
      <c r="AI82" s="16" t="str">
        <f t="shared" si="176"/>
        <v>Valid</v>
      </c>
      <c r="AJ82" s="16" t="b">
        <v>0</v>
      </c>
      <c r="AK82" s="16" t="b">
        <v>0</v>
      </c>
      <c r="AL82" s="16" t="b">
        <v>0</v>
      </c>
      <c r="AM82" s="16" t="b">
        <v>0</v>
      </c>
      <c r="AN82" s="16" t="b">
        <v>0</v>
      </c>
      <c r="AO82" s="16" t="b">
        <v>0</v>
      </c>
      <c r="AP82" s="16" t="b">
        <v>0</v>
      </c>
      <c r="AQ82" s="17">
        <f t="shared" si="9"/>
        <v>0.1</v>
      </c>
      <c r="AR82" s="12">
        <f t="shared" si="10"/>
        <v>4256.3519999999999</v>
      </c>
      <c r="AS82" s="18">
        <f t="shared" si="11"/>
        <v>-1.9999999994979589E-3</v>
      </c>
      <c r="AT82" s="12">
        <f t="shared" si="12"/>
        <v>1761.0219999999999</v>
      </c>
      <c r="AU82" s="18">
        <f t="shared" si="13"/>
        <v>-1.9999999999527063E-3</v>
      </c>
      <c r="AV82" s="19">
        <f t="shared" si="14"/>
        <v>0.41373974708858663</v>
      </c>
      <c r="AW82" s="20" t="str">
        <f t="shared" si="15"/>
        <v>August</v>
      </c>
      <c r="AX82" s="21">
        <f t="shared" si="16"/>
        <v>2024</v>
      </c>
    </row>
    <row r="83" spans="1:50" ht="15.75" customHeight="1">
      <c r="A83" s="10" t="s">
        <v>383</v>
      </c>
      <c r="B83" s="11">
        <v>45732</v>
      </c>
      <c r="C83" s="11">
        <v>45733</v>
      </c>
      <c r="D83" s="10" t="s">
        <v>384</v>
      </c>
      <c r="E83" s="10" t="s">
        <v>52</v>
      </c>
      <c r="F83" s="10" t="s">
        <v>124</v>
      </c>
      <c r="G83" s="10" t="s">
        <v>92</v>
      </c>
      <c r="H83" s="10" t="s">
        <v>219</v>
      </c>
      <c r="I83" s="10" t="s">
        <v>220</v>
      </c>
      <c r="J83" s="10" t="s">
        <v>57</v>
      </c>
      <c r="K83" s="10" t="s">
        <v>120</v>
      </c>
      <c r="L83" s="10" t="s">
        <v>385</v>
      </c>
      <c r="M83" s="10" t="s">
        <v>73</v>
      </c>
      <c r="N83" s="12">
        <v>3</v>
      </c>
      <c r="O83" s="12">
        <v>1841.91</v>
      </c>
      <c r="P83" s="12">
        <v>0</v>
      </c>
      <c r="Q83" s="12">
        <v>5525.73</v>
      </c>
      <c r="R83" s="12">
        <v>3093.42</v>
      </c>
      <c r="S83" s="12">
        <v>2432.31</v>
      </c>
      <c r="T83" s="10" t="s">
        <v>61</v>
      </c>
      <c r="U83" s="13" t="s">
        <v>62</v>
      </c>
      <c r="V83" s="14" t="e">
        <f t="shared" ca="1" si="0"/>
        <v>#NAME?</v>
      </c>
      <c r="W83" s="10" t="str">
        <f ca="1">IFERROR(__xludf.DUMMYFUNCTION("IF(COUNTIF($A:$A,A77)=1,
""Unique"",
IF(COUNTUNIQUE(FILTER($V$2:$V$934,$A$2:$A$934=A77))&gt;1,
""Conflicting Duplicate"",
""Exact Duplicate""))"),"Unique")</f>
        <v>Unique</v>
      </c>
      <c r="X83" s="10" t="b">
        <f t="shared" ca="1" si="1"/>
        <v>1</v>
      </c>
      <c r="Y83" s="10" t="str">
        <f t="shared" si="2"/>
        <v>Unique</v>
      </c>
      <c r="Z83" s="10"/>
      <c r="AA83" s="10" t="str">
        <f t="shared" si="3"/>
        <v>Clean</v>
      </c>
      <c r="AB83" s="15" t="str">
        <f t="shared" si="4"/>
        <v>Valid</v>
      </c>
      <c r="AC83" s="15">
        <v>1</v>
      </c>
      <c r="AD83" s="16" t="str">
        <f t="shared" si="5"/>
        <v>Valid</v>
      </c>
      <c r="AE83" s="16" t="str">
        <f t="shared" si="6"/>
        <v>Valid</v>
      </c>
      <c r="AF83" s="16" t="str">
        <f t="shared" ref="AF83:AG83" si="177">IF(ISNUMBER(B83),"Valid","Invalid")</f>
        <v>Valid</v>
      </c>
      <c r="AG83" s="16" t="str">
        <f t="shared" si="177"/>
        <v>Valid</v>
      </c>
      <c r="AH83" s="16" t="str">
        <f t="shared" ref="AH83:AI83" si="178">IF(OR(B83="",ISBLANK(B83)),"Missing","Valid")</f>
        <v>Valid</v>
      </c>
      <c r="AI83" s="16" t="str">
        <f t="shared" si="178"/>
        <v>Valid</v>
      </c>
      <c r="AJ83" s="16" t="b">
        <v>0</v>
      </c>
      <c r="AK83" s="16" t="b">
        <v>0</v>
      </c>
      <c r="AL83" s="16" t="b">
        <v>0</v>
      </c>
      <c r="AM83" s="16" t="b">
        <v>0</v>
      </c>
      <c r="AN83" s="16" t="b">
        <v>0</v>
      </c>
      <c r="AO83" s="16" t="b">
        <v>0</v>
      </c>
      <c r="AP83" s="16" t="b">
        <v>0</v>
      </c>
      <c r="AQ83" s="17">
        <f t="shared" si="9"/>
        <v>0</v>
      </c>
      <c r="AR83" s="12">
        <f t="shared" si="10"/>
        <v>5525.7300000000005</v>
      </c>
      <c r="AS83" s="18">
        <f t="shared" si="11"/>
        <v>0</v>
      </c>
      <c r="AT83" s="12">
        <f t="shared" si="12"/>
        <v>2432.3100000000004</v>
      </c>
      <c r="AU83" s="18">
        <f t="shared" si="13"/>
        <v>0</v>
      </c>
      <c r="AV83" s="19">
        <f t="shared" si="14"/>
        <v>0.44017894468242208</v>
      </c>
      <c r="AW83" s="20" t="str">
        <f t="shared" si="15"/>
        <v>March</v>
      </c>
      <c r="AX83" s="21">
        <f t="shared" si="16"/>
        <v>2025</v>
      </c>
    </row>
    <row r="84" spans="1:50" ht="15.75" customHeight="1">
      <c r="A84" s="10" t="s">
        <v>386</v>
      </c>
      <c r="B84" s="11">
        <v>45507</v>
      </c>
      <c r="C84" s="11">
        <v>45508</v>
      </c>
      <c r="D84" s="10" t="s">
        <v>387</v>
      </c>
      <c r="E84" s="10" t="s">
        <v>82</v>
      </c>
      <c r="F84" s="10" t="s">
        <v>53</v>
      </c>
      <c r="G84" s="10" t="s">
        <v>54</v>
      </c>
      <c r="H84" s="10" t="s">
        <v>165</v>
      </c>
      <c r="I84" s="10" t="s">
        <v>166</v>
      </c>
      <c r="J84" s="10" t="s">
        <v>103</v>
      </c>
      <c r="K84" s="10" t="s">
        <v>109</v>
      </c>
      <c r="L84" s="10" t="s">
        <v>388</v>
      </c>
      <c r="M84" s="10" t="s">
        <v>60</v>
      </c>
      <c r="N84" s="12">
        <v>6</v>
      </c>
      <c r="O84" s="12">
        <v>1001.73</v>
      </c>
      <c r="P84" s="12">
        <v>0</v>
      </c>
      <c r="Q84" s="12">
        <v>6010.38</v>
      </c>
      <c r="R84" s="12">
        <v>3762.85</v>
      </c>
      <c r="S84" s="12">
        <v>2247.5300000000002</v>
      </c>
      <c r="T84" s="10" t="s">
        <v>184</v>
      </c>
      <c r="U84" s="13" t="s">
        <v>132</v>
      </c>
      <c r="V84" s="14" t="e">
        <f t="shared" ca="1" si="0"/>
        <v>#NAME?</v>
      </c>
      <c r="W84" s="10" t="str">
        <f ca="1">IFERROR(__xludf.DUMMYFUNCTION("IF(COUNTIF($A:$A,A78)=1,
""Unique"",
IF(COUNTUNIQUE(FILTER($V$2:$V$934,$A$2:$A$934=A78))&gt;1,
""Conflicting Duplicate"",
""Exact Duplicate""))"),"Unique")</f>
        <v>Unique</v>
      </c>
      <c r="X84" s="10" t="b">
        <f t="shared" ca="1" si="1"/>
        <v>1</v>
      </c>
      <c r="Y84" s="10" t="str">
        <f t="shared" si="2"/>
        <v>Unique</v>
      </c>
      <c r="Z84" s="10"/>
      <c r="AA84" s="10" t="str">
        <f t="shared" si="3"/>
        <v>Clean</v>
      </c>
      <c r="AB84" s="15" t="str">
        <f t="shared" si="4"/>
        <v>Valid</v>
      </c>
      <c r="AC84" s="15">
        <v>1</v>
      </c>
      <c r="AD84" s="16" t="str">
        <f t="shared" si="5"/>
        <v>Valid</v>
      </c>
      <c r="AE84" s="16" t="str">
        <f t="shared" si="6"/>
        <v>Valid</v>
      </c>
      <c r="AF84" s="16" t="str">
        <f t="shared" ref="AF84:AG84" si="179">IF(ISNUMBER(B84),"Valid","Invalid")</f>
        <v>Valid</v>
      </c>
      <c r="AG84" s="16" t="str">
        <f t="shared" si="179"/>
        <v>Valid</v>
      </c>
      <c r="AH84" s="16" t="str">
        <f t="shared" ref="AH84:AI84" si="180">IF(OR(B84="",ISBLANK(B84)),"Missing","Valid")</f>
        <v>Valid</v>
      </c>
      <c r="AI84" s="16" t="str">
        <f t="shared" si="180"/>
        <v>Valid</v>
      </c>
      <c r="AJ84" s="16" t="b">
        <v>0</v>
      </c>
      <c r="AK84" s="16" t="b">
        <v>0</v>
      </c>
      <c r="AL84" s="16" t="b">
        <v>0</v>
      </c>
      <c r="AM84" s="16" t="b">
        <v>0</v>
      </c>
      <c r="AN84" s="16" t="b">
        <v>0</v>
      </c>
      <c r="AO84" s="16" t="b">
        <v>0</v>
      </c>
      <c r="AP84" s="16" t="b">
        <v>0</v>
      </c>
      <c r="AQ84" s="17">
        <f t="shared" si="9"/>
        <v>0</v>
      </c>
      <c r="AR84" s="12">
        <f t="shared" si="10"/>
        <v>6010.38</v>
      </c>
      <c r="AS84" s="18">
        <f t="shared" si="11"/>
        <v>0</v>
      </c>
      <c r="AT84" s="12">
        <f t="shared" si="12"/>
        <v>2247.5300000000002</v>
      </c>
      <c r="AU84" s="18">
        <f t="shared" si="13"/>
        <v>0</v>
      </c>
      <c r="AV84" s="19">
        <f t="shared" si="14"/>
        <v>0.37394141468592673</v>
      </c>
      <c r="AW84" s="20" t="str">
        <f t="shared" si="15"/>
        <v>August</v>
      </c>
      <c r="AX84" s="21">
        <f t="shared" si="16"/>
        <v>2024</v>
      </c>
    </row>
    <row r="85" spans="1:50" ht="15.75" customHeight="1">
      <c r="A85" s="10" t="s">
        <v>389</v>
      </c>
      <c r="B85" s="11">
        <v>45591</v>
      </c>
      <c r="C85" s="11">
        <v>45594</v>
      </c>
      <c r="D85" s="10" t="s">
        <v>390</v>
      </c>
      <c r="E85" s="10" t="s">
        <v>118</v>
      </c>
      <c r="F85" s="10" t="s">
        <v>124</v>
      </c>
      <c r="G85" s="10" t="s">
        <v>92</v>
      </c>
      <c r="H85" s="10" t="s">
        <v>93</v>
      </c>
      <c r="I85" s="10" t="s">
        <v>94</v>
      </c>
      <c r="J85" s="10" t="s">
        <v>70</v>
      </c>
      <c r="K85" s="10" t="s">
        <v>71</v>
      </c>
      <c r="L85" s="10" t="s">
        <v>391</v>
      </c>
      <c r="M85" s="10" t="s">
        <v>60</v>
      </c>
      <c r="N85" s="12">
        <v>9</v>
      </c>
      <c r="O85" s="12">
        <v>131.74</v>
      </c>
      <c r="P85" s="12">
        <v>0.2</v>
      </c>
      <c r="Q85" s="12">
        <v>948.53</v>
      </c>
      <c r="R85" s="12">
        <v>674.62</v>
      </c>
      <c r="S85" s="12">
        <v>273.91000000000003</v>
      </c>
      <c r="T85" s="10" t="s">
        <v>61</v>
      </c>
      <c r="U85" s="13" t="s">
        <v>62</v>
      </c>
      <c r="V85" s="14" t="e">
        <f t="shared" ca="1" si="0"/>
        <v>#NAME?</v>
      </c>
      <c r="W85" s="10" t="str">
        <f ca="1">IFERROR(__xludf.DUMMYFUNCTION("IF(COUNTIF($A:$A,A79)=1,
""Unique"",
IF(COUNTUNIQUE(FILTER($V$2:$V$934,$A$2:$A$934=A79))&gt;1,
""Conflicting Duplicate"",
""Exact Duplicate""))"),"Unique")</f>
        <v>Unique</v>
      </c>
      <c r="X85" s="10" t="b">
        <f t="shared" ca="1" si="1"/>
        <v>1</v>
      </c>
      <c r="Y85" s="10" t="str">
        <f t="shared" si="2"/>
        <v>Unique</v>
      </c>
      <c r="Z85" s="10"/>
      <c r="AA85" s="10" t="str">
        <f t="shared" si="3"/>
        <v>Clean</v>
      </c>
      <c r="AB85" s="15" t="str">
        <f t="shared" si="4"/>
        <v>Valid</v>
      </c>
      <c r="AC85" s="15">
        <v>3</v>
      </c>
      <c r="AD85" s="16" t="str">
        <f t="shared" si="5"/>
        <v>Valid</v>
      </c>
      <c r="AE85" s="16" t="str">
        <f t="shared" si="6"/>
        <v>Valid</v>
      </c>
      <c r="AF85" s="16" t="str">
        <f t="shared" ref="AF85:AG85" si="181">IF(ISNUMBER(B85),"Valid","Invalid")</f>
        <v>Valid</v>
      </c>
      <c r="AG85" s="16" t="str">
        <f t="shared" si="181"/>
        <v>Valid</v>
      </c>
      <c r="AH85" s="16" t="str">
        <f t="shared" ref="AH85:AI85" si="182">IF(OR(B85="",ISBLANK(B85)),"Missing","Valid")</f>
        <v>Valid</v>
      </c>
      <c r="AI85" s="16" t="str">
        <f t="shared" si="182"/>
        <v>Valid</v>
      </c>
      <c r="AJ85" s="16" t="b">
        <v>0</v>
      </c>
      <c r="AK85" s="16" t="b">
        <v>0</v>
      </c>
      <c r="AL85" s="16" t="b">
        <v>0</v>
      </c>
      <c r="AM85" s="16" t="b">
        <v>0</v>
      </c>
      <c r="AN85" s="16" t="b">
        <v>0</v>
      </c>
      <c r="AO85" s="16" t="b">
        <v>0</v>
      </c>
      <c r="AP85" s="16" t="b">
        <v>0</v>
      </c>
      <c r="AQ85" s="17">
        <f t="shared" si="9"/>
        <v>0.2</v>
      </c>
      <c r="AR85" s="12">
        <f t="shared" si="10"/>
        <v>948.52800000000013</v>
      </c>
      <c r="AS85" s="18">
        <f t="shared" si="11"/>
        <v>1.9999999998390194E-3</v>
      </c>
      <c r="AT85" s="12">
        <f t="shared" si="12"/>
        <v>273.90800000000013</v>
      </c>
      <c r="AU85" s="18">
        <f t="shared" si="13"/>
        <v>1.9999999998958629E-3</v>
      </c>
      <c r="AV85" s="19">
        <f t="shared" si="14"/>
        <v>0.28877165460587362</v>
      </c>
      <c r="AW85" s="20" t="str">
        <f t="shared" si="15"/>
        <v>October</v>
      </c>
      <c r="AX85" s="21">
        <f t="shared" si="16"/>
        <v>2024</v>
      </c>
    </row>
    <row r="86" spans="1:50" ht="15.75" customHeight="1">
      <c r="A86" s="10" t="s">
        <v>392</v>
      </c>
      <c r="B86" s="11">
        <v>45566</v>
      </c>
      <c r="C86" s="11">
        <v>45568</v>
      </c>
      <c r="D86" s="10" t="s">
        <v>393</v>
      </c>
      <c r="E86" s="10" t="s">
        <v>170</v>
      </c>
      <c r="F86" s="10" t="s">
        <v>119</v>
      </c>
      <c r="G86" s="10" t="s">
        <v>83</v>
      </c>
      <c r="H86" s="10" t="s">
        <v>277</v>
      </c>
      <c r="I86" s="10" t="s">
        <v>278</v>
      </c>
      <c r="J86" s="10" t="s">
        <v>103</v>
      </c>
      <c r="K86" s="10" t="s">
        <v>200</v>
      </c>
      <c r="L86" s="10" t="s">
        <v>394</v>
      </c>
      <c r="M86" s="10" t="s">
        <v>60</v>
      </c>
      <c r="N86" s="12">
        <v>6</v>
      </c>
      <c r="O86" s="12">
        <v>570.28</v>
      </c>
      <c r="P86" s="12">
        <v>0.2</v>
      </c>
      <c r="Q86" s="12">
        <v>2737.34</v>
      </c>
      <c r="R86" s="12">
        <v>2085.44</v>
      </c>
      <c r="S86" s="12">
        <v>651.9</v>
      </c>
      <c r="T86" s="10" t="s">
        <v>61</v>
      </c>
      <c r="U86" s="13" t="s">
        <v>62</v>
      </c>
      <c r="V86" s="14" t="e">
        <f t="shared" ca="1" si="0"/>
        <v>#NAME?</v>
      </c>
      <c r="W86" s="10" t="str">
        <f ca="1">IFERROR(__xludf.DUMMYFUNCTION("IF(COUNTIF($A:$A,A80)=1,
""Unique"",
IF(COUNTUNIQUE(FILTER($V$2:$V$934,$A$2:$A$934=A80))&gt;1,
""Conflicting Duplicate"",
""Exact Duplicate""))"),"Unique")</f>
        <v>Unique</v>
      </c>
      <c r="X86" s="10" t="b">
        <f t="shared" ca="1" si="1"/>
        <v>1</v>
      </c>
      <c r="Y86" s="10" t="str">
        <f t="shared" si="2"/>
        <v>Unique</v>
      </c>
      <c r="Z86" s="10"/>
      <c r="AA86" s="10" t="str">
        <f t="shared" si="3"/>
        <v>Clean</v>
      </c>
      <c r="AB86" s="15" t="str">
        <f t="shared" si="4"/>
        <v>Valid</v>
      </c>
      <c r="AC86" s="15">
        <v>2</v>
      </c>
      <c r="AD86" s="16" t="str">
        <f t="shared" si="5"/>
        <v>Valid</v>
      </c>
      <c r="AE86" s="16" t="str">
        <f t="shared" si="6"/>
        <v>Valid</v>
      </c>
      <c r="AF86" s="16" t="str">
        <f t="shared" ref="AF86:AG86" si="183">IF(ISNUMBER(B86),"Valid","Invalid")</f>
        <v>Valid</v>
      </c>
      <c r="AG86" s="16" t="str">
        <f t="shared" si="183"/>
        <v>Valid</v>
      </c>
      <c r="AH86" s="16" t="str">
        <f t="shared" ref="AH86:AI86" si="184">IF(OR(B86="",ISBLANK(B86)),"Missing","Valid")</f>
        <v>Valid</v>
      </c>
      <c r="AI86" s="16" t="str">
        <f t="shared" si="184"/>
        <v>Valid</v>
      </c>
      <c r="AJ86" s="16" t="b">
        <v>0</v>
      </c>
      <c r="AK86" s="16" t="b">
        <v>0</v>
      </c>
      <c r="AL86" s="16" t="b">
        <v>0</v>
      </c>
      <c r="AM86" s="16" t="b">
        <v>0</v>
      </c>
      <c r="AN86" s="16" t="b">
        <v>0</v>
      </c>
      <c r="AO86" s="16" t="b">
        <v>0</v>
      </c>
      <c r="AP86" s="16" t="b">
        <v>0</v>
      </c>
      <c r="AQ86" s="17">
        <f t="shared" si="9"/>
        <v>0.2</v>
      </c>
      <c r="AR86" s="12">
        <f t="shared" si="10"/>
        <v>2737.3440000000001</v>
      </c>
      <c r="AS86" s="18">
        <f t="shared" si="11"/>
        <v>-3.9999999999054126E-3</v>
      </c>
      <c r="AT86" s="12">
        <f t="shared" si="12"/>
        <v>651.904</v>
      </c>
      <c r="AU86" s="18">
        <f t="shared" si="13"/>
        <v>-4.0000000000190994E-3</v>
      </c>
      <c r="AV86" s="19">
        <f t="shared" si="14"/>
        <v>0.23815201889130486</v>
      </c>
      <c r="AW86" s="20" t="str">
        <f t="shared" si="15"/>
        <v>October</v>
      </c>
      <c r="AX86" s="21">
        <f t="shared" si="16"/>
        <v>2024</v>
      </c>
    </row>
    <row r="87" spans="1:50" ht="15.75" customHeight="1">
      <c r="A87" s="10" t="s">
        <v>395</v>
      </c>
      <c r="B87" s="11">
        <v>45503</v>
      </c>
      <c r="C87" s="11">
        <v>45509</v>
      </c>
      <c r="D87" s="10" t="s">
        <v>396</v>
      </c>
      <c r="E87" s="10" t="s">
        <v>294</v>
      </c>
      <c r="F87" s="10" t="s">
        <v>119</v>
      </c>
      <c r="G87" s="10" t="s">
        <v>54</v>
      </c>
      <c r="H87" s="10" t="s">
        <v>380</v>
      </c>
      <c r="I87" s="10" t="s">
        <v>381</v>
      </c>
      <c r="J87" s="10" t="s">
        <v>57</v>
      </c>
      <c r="K87" s="10" t="s">
        <v>182</v>
      </c>
      <c r="L87" s="10" t="s">
        <v>397</v>
      </c>
      <c r="M87" s="10" t="s">
        <v>88</v>
      </c>
      <c r="N87" s="12">
        <v>1</v>
      </c>
      <c r="O87" s="12">
        <v>608.64</v>
      </c>
      <c r="P87" s="12">
        <v>0</v>
      </c>
      <c r="Q87" s="12">
        <v>608.64</v>
      </c>
      <c r="R87" s="12">
        <v>343.99</v>
      </c>
      <c r="S87" s="12">
        <v>264.64999999999998</v>
      </c>
      <c r="T87" s="10" t="s">
        <v>61</v>
      </c>
      <c r="U87" s="13" t="s">
        <v>97</v>
      </c>
      <c r="V87" s="14" t="e">
        <f t="shared" ca="1" si="0"/>
        <v>#NAME?</v>
      </c>
      <c r="W87" s="10" t="str">
        <f ca="1">IFERROR(__xludf.DUMMYFUNCTION("IF(COUNTIF($A:$A,A81)=1,
""Unique"",
IF(COUNTUNIQUE(FILTER($V$2:$V$934,$A$2:$A$934=A81))&gt;1,
""Conflicting Duplicate"",
""Exact Duplicate""))"),"Unique")</f>
        <v>Unique</v>
      </c>
      <c r="X87" s="10" t="b">
        <f t="shared" ca="1" si="1"/>
        <v>1</v>
      </c>
      <c r="Y87" s="10" t="str">
        <f t="shared" si="2"/>
        <v>Unique</v>
      </c>
      <c r="Z87" s="10"/>
      <c r="AA87" s="10" t="str">
        <f t="shared" si="3"/>
        <v>Clean</v>
      </c>
      <c r="AB87" s="15" t="str">
        <f t="shared" si="4"/>
        <v>Valid</v>
      </c>
      <c r="AC87" s="15">
        <v>6</v>
      </c>
      <c r="AD87" s="16" t="str">
        <f t="shared" si="5"/>
        <v>Valid</v>
      </c>
      <c r="AE87" s="16" t="str">
        <f t="shared" si="6"/>
        <v>Valid</v>
      </c>
      <c r="AF87" s="16" t="str">
        <f t="shared" ref="AF87:AG87" si="185">IF(ISNUMBER(B87),"Valid","Invalid")</f>
        <v>Valid</v>
      </c>
      <c r="AG87" s="16" t="str">
        <f t="shared" si="185"/>
        <v>Valid</v>
      </c>
      <c r="AH87" s="16" t="str">
        <f t="shared" ref="AH87:AI87" si="186">IF(OR(B87="",ISBLANK(B87)),"Missing","Valid")</f>
        <v>Valid</v>
      </c>
      <c r="AI87" s="16" t="str">
        <f t="shared" si="186"/>
        <v>Valid</v>
      </c>
      <c r="AJ87" s="16" t="b">
        <v>0</v>
      </c>
      <c r="AK87" s="16" t="b">
        <v>0</v>
      </c>
      <c r="AL87" s="16" t="b">
        <v>0</v>
      </c>
      <c r="AM87" s="16" t="b">
        <v>0</v>
      </c>
      <c r="AN87" s="16" t="b">
        <v>0</v>
      </c>
      <c r="AO87" s="16" t="b">
        <v>0</v>
      </c>
      <c r="AP87" s="16" t="b">
        <v>0</v>
      </c>
      <c r="AQ87" s="17">
        <f t="shared" si="9"/>
        <v>0</v>
      </c>
      <c r="AR87" s="12">
        <f t="shared" si="10"/>
        <v>608.64</v>
      </c>
      <c r="AS87" s="18">
        <f t="shared" si="11"/>
        <v>0</v>
      </c>
      <c r="AT87" s="12">
        <f t="shared" si="12"/>
        <v>264.64999999999998</v>
      </c>
      <c r="AU87" s="18">
        <f t="shared" si="13"/>
        <v>0</v>
      </c>
      <c r="AV87" s="19">
        <f t="shared" si="14"/>
        <v>0.43482189800210302</v>
      </c>
      <c r="AW87" s="20" t="str">
        <f t="shared" si="15"/>
        <v>July</v>
      </c>
      <c r="AX87" s="21">
        <f t="shared" si="16"/>
        <v>2024</v>
      </c>
    </row>
    <row r="88" spans="1:50" ht="15.75" customHeight="1">
      <c r="A88" s="10" t="s">
        <v>398</v>
      </c>
      <c r="B88" s="11">
        <v>45474</v>
      </c>
      <c r="C88" s="11">
        <v>45474</v>
      </c>
      <c r="D88" s="10" t="s">
        <v>399</v>
      </c>
      <c r="E88" s="10" t="s">
        <v>91</v>
      </c>
      <c r="F88" s="10" t="s">
        <v>66</v>
      </c>
      <c r="G88" s="10" t="s">
        <v>54</v>
      </c>
      <c r="H88" s="10" t="s">
        <v>380</v>
      </c>
      <c r="I88" s="10" t="s">
        <v>381</v>
      </c>
      <c r="J88" s="10" t="s">
        <v>103</v>
      </c>
      <c r="K88" s="10" t="s">
        <v>109</v>
      </c>
      <c r="L88" s="10" t="s">
        <v>400</v>
      </c>
      <c r="M88" s="10" t="s">
        <v>60</v>
      </c>
      <c r="N88" s="12">
        <v>3</v>
      </c>
      <c r="O88" s="12">
        <v>885.28</v>
      </c>
      <c r="P88" s="12">
        <v>0.1</v>
      </c>
      <c r="Q88" s="12">
        <v>2390.2600000000002</v>
      </c>
      <c r="R88" s="12">
        <v>1495.94</v>
      </c>
      <c r="S88" s="12">
        <v>894.32</v>
      </c>
      <c r="T88" s="10" t="s">
        <v>131</v>
      </c>
      <c r="U88" s="13" t="s">
        <v>97</v>
      </c>
      <c r="V88" s="14" t="e">
        <f t="shared" ca="1" si="0"/>
        <v>#NAME?</v>
      </c>
      <c r="W88" s="10" t="str">
        <f ca="1">IFERROR(__xludf.DUMMYFUNCTION("IF(COUNTIF($A:$A,A82)=1,
""Unique"",
IF(COUNTUNIQUE(FILTER($V$2:$V$934,$A$2:$A$934=A82))&gt;1,
""Conflicting Duplicate"",
""Exact Duplicate""))"),"Unique")</f>
        <v>Unique</v>
      </c>
      <c r="X88" s="10" t="b">
        <f t="shared" ca="1" si="1"/>
        <v>1</v>
      </c>
      <c r="Y88" s="10" t="str">
        <f t="shared" si="2"/>
        <v>Unique</v>
      </c>
      <c r="Z88" s="10"/>
      <c r="AA88" s="10" t="str">
        <f t="shared" si="3"/>
        <v>Clean</v>
      </c>
      <c r="AB88" s="15" t="str">
        <f t="shared" si="4"/>
        <v>Valid</v>
      </c>
      <c r="AC88" s="15">
        <v>0</v>
      </c>
      <c r="AD88" s="16" t="str">
        <f t="shared" si="5"/>
        <v>Valid</v>
      </c>
      <c r="AE88" s="16" t="str">
        <f t="shared" si="6"/>
        <v>Valid</v>
      </c>
      <c r="AF88" s="16" t="str">
        <f t="shared" ref="AF88:AG88" si="187">IF(ISNUMBER(B88),"Valid","Invalid")</f>
        <v>Valid</v>
      </c>
      <c r="AG88" s="16" t="str">
        <f t="shared" si="187"/>
        <v>Valid</v>
      </c>
      <c r="AH88" s="16" t="str">
        <f t="shared" ref="AH88:AI88" si="188">IF(OR(B88="",ISBLANK(B88)),"Missing","Valid")</f>
        <v>Valid</v>
      </c>
      <c r="AI88" s="16" t="str">
        <f t="shared" si="188"/>
        <v>Valid</v>
      </c>
      <c r="AJ88" s="16" t="b">
        <v>0</v>
      </c>
      <c r="AK88" s="16" t="b">
        <v>0</v>
      </c>
      <c r="AL88" s="16" t="b">
        <v>0</v>
      </c>
      <c r="AM88" s="16" t="b">
        <v>0</v>
      </c>
      <c r="AN88" s="16" t="b">
        <v>0</v>
      </c>
      <c r="AO88" s="16" t="b">
        <v>0</v>
      </c>
      <c r="AP88" s="16" t="b">
        <v>0</v>
      </c>
      <c r="AQ88" s="17">
        <f t="shared" si="9"/>
        <v>0.1</v>
      </c>
      <c r="AR88" s="12">
        <f t="shared" si="10"/>
        <v>2390.2560000000003</v>
      </c>
      <c r="AS88" s="18">
        <f t="shared" si="11"/>
        <v>3.9999999999054126E-3</v>
      </c>
      <c r="AT88" s="12">
        <f t="shared" si="12"/>
        <v>894.31600000000026</v>
      </c>
      <c r="AU88" s="18">
        <f t="shared" si="13"/>
        <v>3.9999999997917257E-3</v>
      </c>
      <c r="AV88" s="19">
        <f t="shared" si="14"/>
        <v>0.37415071858411825</v>
      </c>
      <c r="AW88" s="20" t="str">
        <f t="shared" si="15"/>
        <v>July</v>
      </c>
      <c r="AX88" s="21">
        <f t="shared" si="16"/>
        <v>2024</v>
      </c>
    </row>
    <row r="89" spans="1:50" ht="15.75" customHeight="1">
      <c r="A89" s="10" t="s">
        <v>401</v>
      </c>
      <c r="B89" s="11">
        <v>45506</v>
      </c>
      <c r="C89" s="11">
        <v>45507</v>
      </c>
      <c r="D89" s="10" t="s">
        <v>402</v>
      </c>
      <c r="E89" s="10" t="s">
        <v>100</v>
      </c>
      <c r="F89" s="10" t="s">
        <v>53</v>
      </c>
      <c r="G89" s="10" t="s">
        <v>67</v>
      </c>
      <c r="H89" s="10" t="s">
        <v>195</v>
      </c>
      <c r="I89" s="10" t="s">
        <v>196</v>
      </c>
      <c r="J89" s="10" t="s">
        <v>57</v>
      </c>
      <c r="K89" s="10" t="s">
        <v>182</v>
      </c>
      <c r="L89" s="10" t="s">
        <v>403</v>
      </c>
      <c r="M89" s="10" t="s">
        <v>88</v>
      </c>
      <c r="N89" s="12">
        <v>7</v>
      </c>
      <c r="O89" s="12">
        <v>3345.22</v>
      </c>
      <c r="P89" s="12">
        <v>0</v>
      </c>
      <c r="Q89" s="12">
        <v>23416.54</v>
      </c>
      <c r="R89" s="12">
        <v>15490.89</v>
      </c>
      <c r="S89" s="12">
        <v>7925.65</v>
      </c>
      <c r="T89" s="10" t="s">
        <v>61</v>
      </c>
      <c r="U89" s="13" t="s">
        <v>62</v>
      </c>
      <c r="V89" s="14" t="e">
        <f t="shared" ca="1" si="0"/>
        <v>#NAME?</v>
      </c>
      <c r="W89" s="10" t="str">
        <f ca="1">IFERROR(__xludf.DUMMYFUNCTION("IF(COUNTIF($A:$A,A83)=1,
""Unique"",
IF(COUNTUNIQUE(FILTER($V$2:$V$934,$A$2:$A$934=A83))&gt;1,
""Conflicting Duplicate"",
""Exact Duplicate""))"),"Unique")</f>
        <v>Unique</v>
      </c>
      <c r="X89" s="10" t="b">
        <f t="shared" ca="1" si="1"/>
        <v>1</v>
      </c>
      <c r="Y89" s="10" t="str">
        <f t="shared" si="2"/>
        <v>Unique</v>
      </c>
      <c r="Z89" s="10"/>
      <c r="AA89" s="10" t="str">
        <f t="shared" si="3"/>
        <v>Clean</v>
      </c>
      <c r="AB89" s="15" t="str">
        <f t="shared" si="4"/>
        <v>Valid</v>
      </c>
      <c r="AC89" s="15">
        <v>1</v>
      </c>
      <c r="AD89" s="16" t="str">
        <f t="shared" si="5"/>
        <v>Valid</v>
      </c>
      <c r="AE89" s="16" t="str">
        <f t="shared" si="6"/>
        <v>Valid</v>
      </c>
      <c r="AF89" s="16" t="str">
        <f t="shared" ref="AF89:AG89" si="189">IF(ISNUMBER(B89),"Valid","Invalid")</f>
        <v>Valid</v>
      </c>
      <c r="AG89" s="16" t="str">
        <f t="shared" si="189"/>
        <v>Valid</v>
      </c>
      <c r="AH89" s="16" t="str">
        <f t="shared" ref="AH89:AI89" si="190">IF(OR(B89="",ISBLANK(B89)),"Missing","Valid")</f>
        <v>Valid</v>
      </c>
      <c r="AI89" s="16" t="str">
        <f t="shared" si="190"/>
        <v>Valid</v>
      </c>
      <c r="AJ89" s="16" t="b">
        <v>0</v>
      </c>
      <c r="AK89" s="16" t="b">
        <v>0</v>
      </c>
      <c r="AL89" s="16" t="b">
        <v>0</v>
      </c>
      <c r="AM89" s="16" t="b">
        <v>0</v>
      </c>
      <c r="AN89" s="16" t="b">
        <v>0</v>
      </c>
      <c r="AO89" s="16" t="b">
        <v>0</v>
      </c>
      <c r="AP89" s="16" t="b">
        <v>0</v>
      </c>
      <c r="AQ89" s="17">
        <f t="shared" si="9"/>
        <v>0</v>
      </c>
      <c r="AR89" s="12">
        <f t="shared" si="10"/>
        <v>23416.539999999997</v>
      </c>
      <c r="AS89" s="18">
        <f t="shared" si="11"/>
        <v>0</v>
      </c>
      <c r="AT89" s="12">
        <f t="shared" si="12"/>
        <v>7925.6499999999978</v>
      </c>
      <c r="AU89" s="18">
        <f t="shared" si="13"/>
        <v>0</v>
      </c>
      <c r="AV89" s="19">
        <f t="shared" si="14"/>
        <v>0.33846375254414185</v>
      </c>
      <c r="AW89" s="20" t="str">
        <f t="shared" si="15"/>
        <v>August</v>
      </c>
      <c r="AX89" s="21">
        <f t="shared" si="16"/>
        <v>2024</v>
      </c>
    </row>
    <row r="90" spans="1:50" ht="15.75" customHeight="1">
      <c r="A90" s="10" t="s">
        <v>404</v>
      </c>
      <c r="B90" s="11">
        <v>45375</v>
      </c>
      <c r="C90" s="11">
        <v>45378</v>
      </c>
      <c r="D90" s="10" t="s">
        <v>405</v>
      </c>
      <c r="E90" s="10" t="s">
        <v>170</v>
      </c>
      <c r="F90" s="10" t="s">
        <v>66</v>
      </c>
      <c r="G90" s="10" t="s">
        <v>92</v>
      </c>
      <c r="H90" s="10" t="s">
        <v>93</v>
      </c>
      <c r="I90" s="10" t="s">
        <v>94</v>
      </c>
      <c r="J90" s="10" t="s">
        <v>70</v>
      </c>
      <c r="K90" s="10" t="s">
        <v>187</v>
      </c>
      <c r="L90" s="10" t="s">
        <v>406</v>
      </c>
      <c r="M90" s="10" t="s">
        <v>88</v>
      </c>
      <c r="N90" s="12">
        <v>2</v>
      </c>
      <c r="O90" s="12">
        <v>3284.75</v>
      </c>
      <c r="P90" s="12">
        <v>0.05</v>
      </c>
      <c r="Q90" s="12">
        <v>6241.02</v>
      </c>
      <c r="R90" s="12">
        <v>5345.88</v>
      </c>
      <c r="S90" s="12">
        <v>895.14</v>
      </c>
      <c r="T90" s="10" t="s">
        <v>61</v>
      </c>
      <c r="U90" s="13" t="s">
        <v>62</v>
      </c>
      <c r="V90" s="14" t="e">
        <f t="shared" ca="1" si="0"/>
        <v>#NAME?</v>
      </c>
      <c r="W90" s="10" t="str">
        <f ca="1">IFERROR(__xludf.DUMMYFUNCTION("IF(COUNTIF($A:$A,A84)=1,
""Unique"",
IF(COUNTUNIQUE(FILTER($V$2:$V$934,$A$2:$A$934=A84))&gt;1,
""Conflicting Duplicate"",
""Exact Duplicate""))"),"Unique")</f>
        <v>Unique</v>
      </c>
      <c r="X90" s="10" t="b">
        <f t="shared" ca="1" si="1"/>
        <v>1</v>
      </c>
      <c r="Y90" s="10" t="str">
        <f t="shared" si="2"/>
        <v>Unique</v>
      </c>
      <c r="Z90" s="10"/>
      <c r="AA90" s="10" t="str">
        <f t="shared" si="3"/>
        <v>Clean</v>
      </c>
      <c r="AB90" s="15" t="str">
        <f t="shared" si="4"/>
        <v>Valid</v>
      </c>
      <c r="AC90" s="15">
        <v>3</v>
      </c>
      <c r="AD90" s="16" t="str">
        <f t="shared" si="5"/>
        <v>Valid</v>
      </c>
      <c r="AE90" s="16" t="str">
        <f t="shared" si="6"/>
        <v>Valid</v>
      </c>
      <c r="AF90" s="16" t="str">
        <f t="shared" ref="AF90:AG90" si="191">IF(ISNUMBER(B90),"Valid","Invalid")</f>
        <v>Valid</v>
      </c>
      <c r="AG90" s="16" t="str">
        <f t="shared" si="191"/>
        <v>Valid</v>
      </c>
      <c r="AH90" s="16" t="str">
        <f t="shared" ref="AH90:AI90" si="192">IF(OR(B90="",ISBLANK(B90)),"Missing","Valid")</f>
        <v>Valid</v>
      </c>
      <c r="AI90" s="16" t="str">
        <f t="shared" si="192"/>
        <v>Valid</v>
      </c>
      <c r="AJ90" s="16" t="b">
        <v>0</v>
      </c>
      <c r="AK90" s="16" t="b">
        <v>0</v>
      </c>
      <c r="AL90" s="16" t="b">
        <v>0</v>
      </c>
      <c r="AM90" s="16" t="b">
        <v>0</v>
      </c>
      <c r="AN90" s="16" t="b">
        <v>0</v>
      </c>
      <c r="AO90" s="16" t="b">
        <v>0</v>
      </c>
      <c r="AP90" s="16" t="b">
        <v>0</v>
      </c>
      <c r="AQ90" s="17">
        <f t="shared" si="9"/>
        <v>0.05</v>
      </c>
      <c r="AR90" s="12">
        <f t="shared" si="10"/>
        <v>6241.0249999999996</v>
      </c>
      <c r="AS90" s="18">
        <f t="shared" si="11"/>
        <v>-4.9999999991996447E-3</v>
      </c>
      <c r="AT90" s="12">
        <f t="shared" si="12"/>
        <v>895.14499999999953</v>
      </c>
      <c r="AU90" s="18">
        <f t="shared" si="13"/>
        <v>-4.9999999995407052E-3</v>
      </c>
      <c r="AV90" s="19">
        <f t="shared" si="14"/>
        <v>0.14342916427990587</v>
      </c>
      <c r="AW90" s="20" t="str">
        <f t="shared" si="15"/>
        <v>March</v>
      </c>
      <c r="AX90" s="21">
        <f t="shared" si="16"/>
        <v>2024</v>
      </c>
    </row>
    <row r="91" spans="1:50" ht="15.75" customHeight="1">
      <c r="A91" s="10" t="s">
        <v>407</v>
      </c>
      <c r="B91" s="11">
        <v>45540</v>
      </c>
      <c r="C91" s="11">
        <v>45540</v>
      </c>
      <c r="D91" s="10" t="s">
        <v>408</v>
      </c>
      <c r="E91" s="10" t="s">
        <v>294</v>
      </c>
      <c r="F91" s="10" t="s">
        <v>53</v>
      </c>
      <c r="G91" s="10" t="s">
        <v>83</v>
      </c>
      <c r="H91" s="10" t="s">
        <v>113</v>
      </c>
      <c r="I91" s="10" t="s">
        <v>114</v>
      </c>
      <c r="J91" s="10" t="s">
        <v>70</v>
      </c>
      <c r="K91" s="10" t="s">
        <v>187</v>
      </c>
      <c r="L91" s="10" t="s">
        <v>409</v>
      </c>
      <c r="M91" s="10" t="s">
        <v>88</v>
      </c>
      <c r="N91" s="12">
        <v>7</v>
      </c>
      <c r="O91" s="12">
        <v>3761.09</v>
      </c>
      <c r="P91" s="12">
        <v>0.2</v>
      </c>
      <c r="Q91" s="12">
        <v>21062.1</v>
      </c>
      <c r="R91" s="12">
        <v>12057.13</v>
      </c>
      <c r="S91" s="12">
        <v>9004.9699999999993</v>
      </c>
      <c r="T91" s="10" t="s">
        <v>140</v>
      </c>
      <c r="U91" s="13" t="s">
        <v>97</v>
      </c>
      <c r="V91" s="14" t="e">
        <f t="shared" ca="1" si="0"/>
        <v>#NAME?</v>
      </c>
      <c r="W91" s="10" t="str">
        <f ca="1">IFERROR(__xludf.DUMMYFUNCTION("IF(COUNTIF($A:$A,A85)=1,
""Unique"",
IF(COUNTUNIQUE(FILTER($V$2:$V$934,$A$2:$A$934=A85))&gt;1,
""Conflicting Duplicate"",
""Exact Duplicate""))"),"Unique")</f>
        <v>Unique</v>
      </c>
      <c r="X91" s="10" t="b">
        <f t="shared" ca="1" si="1"/>
        <v>1</v>
      </c>
      <c r="Y91" s="10" t="str">
        <f t="shared" si="2"/>
        <v>Unique</v>
      </c>
      <c r="Z91" s="10"/>
      <c r="AA91" s="10" t="str">
        <f t="shared" si="3"/>
        <v>Clean</v>
      </c>
      <c r="AB91" s="15" t="str">
        <f t="shared" si="4"/>
        <v>Valid</v>
      </c>
      <c r="AC91" s="15">
        <v>0</v>
      </c>
      <c r="AD91" s="16" t="str">
        <f t="shared" si="5"/>
        <v>Valid</v>
      </c>
      <c r="AE91" s="16" t="str">
        <f t="shared" si="6"/>
        <v>Valid</v>
      </c>
      <c r="AF91" s="16" t="str">
        <f t="shared" ref="AF91:AG91" si="193">IF(ISNUMBER(B91),"Valid","Invalid")</f>
        <v>Valid</v>
      </c>
      <c r="AG91" s="16" t="str">
        <f t="shared" si="193"/>
        <v>Valid</v>
      </c>
      <c r="AH91" s="16" t="str">
        <f t="shared" ref="AH91:AI91" si="194">IF(OR(B91="",ISBLANK(B91)),"Missing","Valid")</f>
        <v>Valid</v>
      </c>
      <c r="AI91" s="16" t="str">
        <f t="shared" si="194"/>
        <v>Valid</v>
      </c>
      <c r="AJ91" s="16" t="b">
        <v>0</v>
      </c>
      <c r="AK91" s="16" t="b">
        <v>0</v>
      </c>
      <c r="AL91" s="16" t="b">
        <v>0</v>
      </c>
      <c r="AM91" s="16" t="b">
        <v>0</v>
      </c>
      <c r="AN91" s="16" t="b">
        <v>0</v>
      </c>
      <c r="AO91" s="16" t="b">
        <v>0</v>
      </c>
      <c r="AP91" s="16" t="b">
        <v>0</v>
      </c>
      <c r="AQ91" s="17">
        <f t="shared" si="9"/>
        <v>0.2</v>
      </c>
      <c r="AR91" s="12">
        <f t="shared" si="10"/>
        <v>21062.104000000003</v>
      </c>
      <c r="AS91" s="18">
        <f t="shared" si="11"/>
        <v>-4.0000000044528861E-3</v>
      </c>
      <c r="AT91" s="12">
        <f t="shared" si="12"/>
        <v>9004.9740000000038</v>
      </c>
      <c r="AU91" s="18">
        <f t="shared" si="13"/>
        <v>-4.0000000044528861E-3</v>
      </c>
      <c r="AV91" s="19">
        <f t="shared" si="14"/>
        <v>0.42754389589947911</v>
      </c>
      <c r="AW91" s="20" t="str">
        <f t="shared" si="15"/>
        <v>September</v>
      </c>
      <c r="AX91" s="21">
        <f t="shared" si="16"/>
        <v>2024</v>
      </c>
    </row>
    <row r="92" spans="1:50" ht="15.75" customHeight="1">
      <c r="A92" s="10" t="s">
        <v>410</v>
      </c>
      <c r="B92" s="11">
        <v>45893</v>
      </c>
      <c r="C92" s="11">
        <v>45898</v>
      </c>
      <c r="D92" s="10" t="s">
        <v>411</v>
      </c>
      <c r="E92" s="10" t="s">
        <v>157</v>
      </c>
      <c r="F92" s="10" t="s">
        <v>66</v>
      </c>
      <c r="G92" s="10" t="s">
        <v>67</v>
      </c>
      <c r="H92" s="10" t="s">
        <v>174</v>
      </c>
      <c r="I92" s="10" t="s">
        <v>175</v>
      </c>
      <c r="J92" s="10" t="s">
        <v>103</v>
      </c>
      <c r="K92" s="10" t="s">
        <v>109</v>
      </c>
      <c r="L92" s="10" t="s">
        <v>412</v>
      </c>
      <c r="M92" s="10" t="s">
        <v>79</v>
      </c>
      <c r="N92" s="12">
        <v>3</v>
      </c>
      <c r="O92" s="12">
        <v>3703.96</v>
      </c>
      <c r="P92" s="12">
        <v>0.15</v>
      </c>
      <c r="Q92" s="12">
        <v>9445.1</v>
      </c>
      <c r="R92" s="12">
        <v>5586.28</v>
      </c>
      <c r="S92" s="12">
        <v>3858.82</v>
      </c>
      <c r="T92" s="10" t="s">
        <v>61</v>
      </c>
      <c r="U92" s="13" t="s">
        <v>62</v>
      </c>
      <c r="V92" s="14" t="e">
        <f t="shared" ca="1" si="0"/>
        <v>#NAME?</v>
      </c>
      <c r="W92" s="10" t="str">
        <f ca="1">IFERROR(__xludf.DUMMYFUNCTION("IF(COUNTIF($A:$A,A86)=1,
""Unique"",
IF(COUNTUNIQUE(FILTER($V$2:$V$934,$A$2:$A$934=A86))&gt;1,
""Conflicting Duplicate"",
""Exact Duplicate""))"),"Unique")</f>
        <v>Unique</v>
      </c>
      <c r="X92" s="10" t="b">
        <f t="shared" ca="1" si="1"/>
        <v>1</v>
      </c>
      <c r="Y92" s="10" t="str">
        <f t="shared" si="2"/>
        <v>Duplicate Order ID</v>
      </c>
      <c r="Z92" s="10"/>
      <c r="AA92" s="10" t="str">
        <f t="shared" si="3"/>
        <v>Clean</v>
      </c>
      <c r="AB92" s="15" t="str">
        <f t="shared" si="4"/>
        <v>Valid</v>
      </c>
      <c r="AC92" s="15">
        <v>5</v>
      </c>
      <c r="AD92" s="16" t="str">
        <f t="shared" si="5"/>
        <v>Valid</v>
      </c>
      <c r="AE92" s="16" t="str">
        <f t="shared" si="6"/>
        <v>Valid</v>
      </c>
      <c r="AF92" s="16" t="str">
        <f t="shared" ref="AF92:AG92" si="195">IF(ISNUMBER(B92),"Valid","Invalid")</f>
        <v>Valid</v>
      </c>
      <c r="AG92" s="16" t="str">
        <f t="shared" si="195"/>
        <v>Valid</v>
      </c>
      <c r="AH92" s="16" t="str">
        <f t="shared" ref="AH92:AI92" si="196">IF(OR(B92="",ISBLANK(B92)),"Missing","Valid")</f>
        <v>Valid</v>
      </c>
      <c r="AI92" s="16" t="str">
        <f t="shared" si="196"/>
        <v>Valid</v>
      </c>
      <c r="AJ92" s="16" t="b">
        <v>0</v>
      </c>
      <c r="AK92" s="16" t="b">
        <v>0</v>
      </c>
      <c r="AL92" s="16" t="b">
        <v>0</v>
      </c>
      <c r="AM92" s="16" t="b">
        <v>0</v>
      </c>
      <c r="AN92" s="16" t="b">
        <v>0</v>
      </c>
      <c r="AO92" s="16" t="b">
        <v>0</v>
      </c>
      <c r="AP92" s="16" t="b">
        <v>0</v>
      </c>
      <c r="AQ92" s="17">
        <f t="shared" si="9"/>
        <v>0.15</v>
      </c>
      <c r="AR92" s="12">
        <f t="shared" si="10"/>
        <v>9445.098</v>
      </c>
      <c r="AS92" s="18">
        <f t="shared" si="11"/>
        <v>2.0000000004074536E-3</v>
      </c>
      <c r="AT92" s="12">
        <f t="shared" si="12"/>
        <v>3858.8180000000002</v>
      </c>
      <c r="AU92" s="18">
        <f t="shared" si="13"/>
        <v>1.9999999999527063E-3</v>
      </c>
      <c r="AV92" s="19">
        <f t="shared" si="14"/>
        <v>0.40855245758170006</v>
      </c>
      <c r="AW92" s="20" t="str">
        <f t="shared" si="15"/>
        <v>August</v>
      </c>
      <c r="AX92" s="21">
        <f t="shared" si="16"/>
        <v>2025</v>
      </c>
    </row>
    <row r="93" spans="1:50" ht="15.75" customHeight="1">
      <c r="A93" s="10" t="s">
        <v>413</v>
      </c>
      <c r="B93" s="11">
        <v>45718</v>
      </c>
      <c r="C93" s="11">
        <v>45724</v>
      </c>
      <c r="D93" s="10" t="s">
        <v>414</v>
      </c>
      <c r="E93" s="10" t="s">
        <v>161</v>
      </c>
      <c r="F93" s="10" t="s">
        <v>119</v>
      </c>
      <c r="G93" s="10" t="s">
        <v>92</v>
      </c>
      <c r="H93" s="10" t="s">
        <v>101</v>
      </c>
      <c r="I93" s="10" t="s">
        <v>102</v>
      </c>
      <c r="J93" s="10" t="s">
        <v>103</v>
      </c>
      <c r="K93" s="10" t="s">
        <v>109</v>
      </c>
      <c r="L93" s="10" t="s">
        <v>415</v>
      </c>
      <c r="M93" s="10" t="s">
        <v>60</v>
      </c>
      <c r="N93" s="12">
        <v>9</v>
      </c>
      <c r="O93" s="12">
        <v>269.68</v>
      </c>
      <c r="P93" s="12">
        <v>0</v>
      </c>
      <c r="Q93" s="12">
        <v>2427.12</v>
      </c>
      <c r="R93" s="12">
        <v>1538.35</v>
      </c>
      <c r="S93" s="12">
        <v>804.53</v>
      </c>
      <c r="T93" s="10" t="s">
        <v>61</v>
      </c>
      <c r="U93" s="13" t="s">
        <v>62</v>
      </c>
      <c r="V93" s="14" t="e">
        <f t="shared" ca="1" si="0"/>
        <v>#NAME?</v>
      </c>
      <c r="W93" s="10" t="str">
        <f ca="1">IFERROR(__xludf.DUMMYFUNCTION("IF(COUNTIF($A:$A,A87)=1,
""Unique"",
IF(COUNTUNIQUE(FILTER($V$2:$V$934,$A$2:$A$934=A87))&gt;1,
""Conflicting Duplicate"",
""Exact Duplicate""))"),"Unique")</f>
        <v>Unique</v>
      </c>
      <c r="X93" s="10" t="b">
        <f t="shared" ca="1" si="1"/>
        <v>1</v>
      </c>
      <c r="Y93" s="10" t="str">
        <f t="shared" si="2"/>
        <v>Unique</v>
      </c>
      <c r="Z93" s="10"/>
      <c r="AA93" s="10" t="str">
        <f t="shared" si="3"/>
        <v>Clean</v>
      </c>
      <c r="AB93" s="15" t="str">
        <f t="shared" si="4"/>
        <v>Valid</v>
      </c>
      <c r="AC93" s="15">
        <v>6</v>
      </c>
      <c r="AD93" s="16" t="str">
        <f t="shared" si="5"/>
        <v>Valid</v>
      </c>
      <c r="AE93" s="16" t="str">
        <f t="shared" si="6"/>
        <v>Valid</v>
      </c>
      <c r="AF93" s="16" t="str">
        <f t="shared" ref="AF93:AG93" si="197">IF(ISNUMBER(B93),"Valid","Invalid")</f>
        <v>Valid</v>
      </c>
      <c r="AG93" s="16" t="str">
        <f t="shared" si="197"/>
        <v>Valid</v>
      </c>
      <c r="AH93" s="16" t="str">
        <f t="shared" ref="AH93:AI93" si="198">IF(OR(B93="",ISBLANK(B93)),"Missing","Valid")</f>
        <v>Valid</v>
      </c>
      <c r="AI93" s="16" t="str">
        <f t="shared" si="198"/>
        <v>Valid</v>
      </c>
      <c r="AJ93" s="16" t="b">
        <v>0</v>
      </c>
      <c r="AK93" s="16" t="b">
        <v>0</v>
      </c>
      <c r="AL93" s="16" t="b">
        <v>0</v>
      </c>
      <c r="AM93" s="16" t="b">
        <v>0</v>
      </c>
      <c r="AN93" s="16" t="b">
        <v>0</v>
      </c>
      <c r="AO93" s="16" t="b">
        <v>0</v>
      </c>
      <c r="AP93" s="16" t="b">
        <v>0</v>
      </c>
      <c r="AQ93" s="17">
        <f t="shared" si="9"/>
        <v>0</v>
      </c>
      <c r="AR93" s="12">
        <f t="shared" si="10"/>
        <v>2427.12</v>
      </c>
      <c r="AS93" s="18">
        <f t="shared" si="11"/>
        <v>0</v>
      </c>
      <c r="AT93" s="12">
        <f t="shared" si="12"/>
        <v>888.77</v>
      </c>
      <c r="AU93" s="18">
        <f t="shared" si="13"/>
        <v>-84.240000000000009</v>
      </c>
      <c r="AV93" s="19">
        <f t="shared" si="14"/>
        <v>0.36618296581957216</v>
      </c>
      <c r="AW93" s="20" t="str">
        <f t="shared" si="15"/>
        <v>March</v>
      </c>
      <c r="AX93" s="21">
        <f t="shared" si="16"/>
        <v>2025</v>
      </c>
    </row>
    <row r="94" spans="1:50" ht="15.75" customHeight="1">
      <c r="A94" s="10" t="s">
        <v>416</v>
      </c>
      <c r="B94" s="11">
        <v>45680</v>
      </c>
      <c r="C94" s="11">
        <v>45683</v>
      </c>
      <c r="D94" s="10" t="s">
        <v>417</v>
      </c>
      <c r="E94" s="10" t="s">
        <v>157</v>
      </c>
      <c r="F94" s="10" t="s">
        <v>53</v>
      </c>
      <c r="G94" s="10" t="s">
        <v>92</v>
      </c>
      <c r="H94" s="10" t="s">
        <v>101</v>
      </c>
      <c r="I94" s="10" t="s">
        <v>102</v>
      </c>
      <c r="J94" s="10" t="s">
        <v>57</v>
      </c>
      <c r="K94" s="10" t="s">
        <v>58</v>
      </c>
      <c r="L94" s="10" t="s">
        <v>418</v>
      </c>
      <c r="M94" s="10" t="s">
        <v>88</v>
      </c>
      <c r="N94" s="12">
        <v>9</v>
      </c>
      <c r="O94" s="12">
        <v>4458.26</v>
      </c>
      <c r="P94" s="12">
        <v>0.1</v>
      </c>
      <c r="Q94" s="12">
        <v>36111.910000000003</v>
      </c>
      <c r="R94" s="12">
        <v>29194.5</v>
      </c>
      <c r="S94" s="12">
        <v>6917.41</v>
      </c>
      <c r="T94" s="10" t="s">
        <v>61</v>
      </c>
      <c r="U94" s="13" t="s">
        <v>62</v>
      </c>
      <c r="V94" s="14" t="e">
        <f t="shared" ca="1" si="0"/>
        <v>#NAME?</v>
      </c>
      <c r="W94" s="10" t="str">
        <f ca="1">IFERROR(__xludf.DUMMYFUNCTION("IF(COUNTIF($A:$A,A88)=1,
""Unique"",
IF(COUNTUNIQUE(FILTER($V$2:$V$934,$A$2:$A$934=A88))&gt;1,
""Conflicting Duplicate"",
""Exact Duplicate""))"),"Unique")</f>
        <v>Unique</v>
      </c>
      <c r="X94" s="10" t="b">
        <f t="shared" ca="1" si="1"/>
        <v>1</v>
      </c>
      <c r="Y94" s="10" t="str">
        <f t="shared" si="2"/>
        <v>Unique</v>
      </c>
      <c r="Z94" s="10"/>
      <c r="AA94" s="10" t="str">
        <f t="shared" si="3"/>
        <v>Clean</v>
      </c>
      <c r="AB94" s="15" t="str">
        <f t="shared" si="4"/>
        <v>Valid</v>
      </c>
      <c r="AC94" s="15">
        <v>3</v>
      </c>
      <c r="AD94" s="16" t="str">
        <f t="shared" si="5"/>
        <v>Valid</v>
      </c>
      <c r="AE94" s="16" t="str">
        <f t="shared" si="6"/>
        <v>Valid</v>
      </c>
      <c r="AF94" s="16" t="str">
        <f t="shared" ref="AF94:AG94" si="199">IF(ISNUMBER(B94),"Valid","Invalid")</f>
        <v>Valid</v>
      </c>
      <c r="AG94" s="16" t="str">
        <f t="shared" si="199"/>
        <v>Valid</v>
      </c>
      <c r="AH94" s="16" t="str">
        <f t="shared" ref="AH94:AI94" si="200">IF(OR(B94="",ISBLANK(B94)),"Missing","Valid")</f>
        <v>Valid</v>
      </c>
      <c r="AI94" s="16" t="str">
        <f t="shared" si="200"/>
        <v>Valid</v>
      </c>
      <c r="AJ94" s="16" t="b">
        <v>0</v>
      </c>
      <c r="AK94" s="16" t="b">
        <v>0</v>
      </c>
      <c r="AL94" s="16" t="b">
        <v>0</v>
      </c>
      <c r="AM94" s="16" t="b">
        <v>0</v>
      </c>
      <c r="AN94" s="16" t="b">
        <v>0</v>
      </c>
      <c r="AO94" s="16" t="b">
        <v>0</v>
      </c>
      <c r="AP94" s="16" t="b">
        <v>0</v>
      </c>
      <c r="AQ94" s="17">
        <f t="shared" si="9"/>
        <v>0.1</v>
      </c>
      <c r="AR94" s="12">
        <f t="shared" si="10"/>
        <v>36111.906000000003</v>
      </c>
      <c r="AS94" s="18">
        <f t="shared" si="11"/>
        <v>4.0000000008149073E-3</v>
      </c>
      <c r="AT94" s="12">
        <f t="shared" si="12"/>
        <v>6917.4060000000027</v>
      </c>
      <c r="AU94" s="18">
        <f t="shared" si="13"/>
        <v>3.9999999971769284E-3</v>
      </c>
      <c r="AV94" s="19">
        <f t="shared" si="14"/>
        <v>0.19155471882320479</v>
      </c>
      <c r="AW94" s="20" t="str">
        <f t="shared" si="15"/>
        <v>January</v>
      </c>
      <c r="AX94" s="21">
        <f t="shared" si="16"/>
        <v>2025</v>
      </c>
    </row>
    <row r="95" spans="1:50" ht="15.75" customHeight="1">
      <c r="A95" s="10" t="s">
        <v>419</v>
      </c>
      <c r="B95" s="11">
        <v>45298</v>
      </c>
      <c r="C95" s="11">
        <v>45304</v>
      </c>
      <c r="D95" s="10" t="s">
        <v>420</v>
      </c>
      <c r="E95" s="10" t="s">
        <v>170</v>
      </c>
      <c r="F95" s="10" t="s">
        <v>119</v>
      </c>
      <c r="G95" s="10" t="s">
        <v>54</v>
      </c>
      <c r="H95" s="10" t="s">
        <v>165</v>
      </c>
      <c r="I95" s="10" t="s">
        <v>166</v>
      </c>
      <c r="J95" s="10" t="s">
        <v>57</v>
      </c>
      <c r="K95" s="10" t="s">
        <v>182</v>
      </c>
      <c r="L95" s="10" t="s">
        <v>421</v>
      </c>
      <c r="M95" s="10" t="s">
        <v>88</v>
      </c>
      <c r="N95" s="12">
        <v>7</v>
      </c>
      <c r="O95" s="12">
        <v>2788.97</v>
      </c>
      <c r="P95" s="12">
        <v>-0.09</v>
      </c>
      <c r="Q95" s="12">
        <v>19522.79</v>
      </c>
      <c r="R95" s="12">
        <v>12455.78</v>
      </c>
      <c r="S95" s="12">
        <v>7067.01</v>
      </c>
      <c r="T95" s="10" t="s">
        <v>61</v>
      </c>
      <c r="U95" s="13" t="s">
        <v>62</v>
      </c>
      <c r="V95" s="14" t="e">
        <f t="shared" ca="1" si="0"/>
        <v>#NAME?</v>
      </c>
      <c r="W95" s="10" t="str">
        <f ca="1">IFERROR(__xludf.DUMMYFUNCTION("IF(COUNTIF($A:$A,A89)=1,
""Unique"",
IF(COUNTUNIQUE(FILTER($V$2:$V$934,$A$2:$A$934=A89))&gt;1,
""Conflicting Duplicate"",
""Exact Duplicate""))"),"Unique")</f>
        <v>Unique</v>
      </c>
      <c r="X95" s="10" t="b">
        <f t="shared" ca="1" si="1"/>
        <v>1</v>
      </c>
      <c r="Y95" s="10" t="str">
        <f t="shared" si="2"/>
        <v>Unique</v>
      </c>
      <c r="Z95" s="10"/>
      <c r="AA95" s="10" t="str">
        <f t="shared" si="3"/>
        <v>Invalid</v>
      </c>
      <c r="AB95" s="15" t="str">
        <f t="shared" si="4"/>
        <v>Valid</v>
      </c>
      <c r="AC95" s="15">
        <v>6</v>
      </c>
      <c r="AD95" s="16" t="str">
        <f t="shared" si="5"/>
        <v>Valid</v>
      </c>
      <c r="AE95" s="16" t="str">
        <f t="shared" si="6"/>
        <v>Valid</v>
      </c>
      <c r="AF95" s="16" t="str">
        <f t="shared" ref="AF95:AG95" si="201">IF(ISNUMBER(B95),"Valid","Invalid")</f>
        <v>Valid</v>
      </c>
      <c r="AG95" s="16" t="str">
        <f t="shared" si="201"/>
        <v>Valid</v>
      </c>
      <c r="AH95" s="16" t="str">
        <f t="shared" ref="AH95:AI95" si="202">IF(OR(B95="",ISBLANK(B95)),"Missing","Valid")</f>
        <v>Valid</v>
      </c>
      <c r="AI95" s="16" t="str">
        <f t="shared" si="202"/>
        <v>Valid</v>
      </c>
      <c r="AJ95" s="16" t="b">
        <v>0</v>
      </c>
      <c r="AK95" s="16" t="b">
        <v>0</v>
      </c>
      <c r="AL95" s="16" t="b">
        <v>0</v>
      </c>
      <c r="AM95" s="16" t="b">
        <v>1</v>
      </c>
      <c r="AN95" s="16" t="b">
        <v>0</v>
      </c>
      <c r="AO95" s="16" t="b">
        <v>0</v>
      </c>
      <c r="AP95" s="16" t="b">
        <v>1</v>
      </c>
      <c r="AQ95" s="17">
        <f t="shared" si="9"/>
        <v>-0.09</v>
      </c>
      <c r="AR95" s="12">
        <f t="shared" si="10"/>
        <v>21279.841099999998</v>
      </c>
      <c r="AS95" s="18">
        <f t="shared" si="11"/>
        <v>-1757.0510999999969</v>
      </c>
      <c r="AT95" s="12">
        <f t="shared" si="12"/>
        <v>8824.0610999999972</v>
      </c>
      <c r="AU95" s="18">
        <f t="shared" si="13"/>
        <v>-1757.0510999999969</v>
      </c>
      <c r="AV95" s="19">
        <f t="shared" si="14"/>
        <v>0.41466762174272054</v>
      </c>
      <c r="AW95" s="20" t="str">
        <f t="shared" si="15"/>
        <v>January</v>
      </c>
      <c r="AX95" s="21">
        <f t="shared" si="16"/>
        <v>2024</v>
      </c>
    </row>
    <row r="96" spans="1:50" ht="15.75" customHeight="1">
      <c r="A96" s="10" t="s">
        <v>422</v>
      </c>
      <c r="B96" s="11">
        <v>45541</v>
      </c>
      <c r="C96" s="11">
        <v>45544</v>
      </c>
      <c r="D96" s="10" t="s">
        <v>423</v>
      </c>
      <c r="E96" s="10" t="s">
        <v>191</v>
      </c>
      <c r="F96" s="10" t="s">
        <v>53</v>
      </c>
      <c r="G96" s="10" t="s">
        <v>54</v>
      </c>
      <c r="H96" s="10" t="s">
        <v>266</v>
      </c>
      <c r="I96" s="10" t="s">
        <v>267</v>
      </c>
      <c r="J96" s="10" t="s">
        <v>103</v>
      </c>
      <c r="K96" s="10" t="s">
        <v>200</v>
      </c>
      <c r="L96" s="10" t="s">
        <v>424</v>
      </c>
      <c r="M96" s="10" t="s">
        <v>60</v>
      </c>
      <c r="N96" s="12">
        <v>7</v>
      </c>
      <c r="O96" s="12">
        <v>3781.53</v>
      </c>
      <c r="P96" s="12">
        <v>0</v>
      </c>
      <c r="Q96" s="12">
        <v>26470.71</v>
      </c>
      <c r="R96" s="12">
        <v>21367.599999999999</v>
      </c>
      <c r="S96" s="12">
        <v>5103.1099999999997</v>
      </c>
      <c r="T96" s="10" t="s">
        <v>140</v>
      </c>
      <c r="U96" s="13" t="s">
        <v>97</v>
      </c>
      <c r="V96" s="14" t="e">
        <f t="shared" ca="1" si="0"/>
        <v>#NAME?</v>
      </c>
      <c r="W96" s="10" t="str">
        <f ca="1">IFERROR(__xludf.DUMMYFUNCTION("IF(COUNTIF($A:$A,A90)=1,
""Unique"",
IF(COUNTUNIQUE(FILTER($V$2:$V$934,$A$2:$A$934=A90))&gt;1,
""Conflicting Duplicate"",
""Exact Duplicate""))"),"Unique")</f>
        <v>Unique</v>
      </c>
      <c r="X96" s="10" t="b">
        <f t="shared" ca="1" si="1"/>
        <v>1</v>
      </c>
      <c r="Y96" s="10" t="str">
        <f t="shared" si="2"/>
        <v>Unique</v>
      </c>
      <c r="Z96" s="10"/>
      <c r="AA96" s="10" t="str">
        <f t="shared" si="3"/>
        <v>Clean</v>
      </c>
      <c r="AB96" s="15" t="str">
        <f t="shared" si="4"/>
        <v>Valid</v>
      </c>
      <c r="AC96" s="15">
        <v>3</v>
      </c>
      <c r="AD96" s="16" t="str">
        <f t="shared" si="5"/>
        <v>Valid</v>
      </c>
      <c r="AE96" s="16" t="str">
        <f t="shared" si="6"/>
        <v>Valid</v>
      </c>
      <c r="AF96" s="16" t="str">
        <f t="shared" ref="AF96:AG96" si="203">IF(ISNUMBER(B96),"Valid","Invalid")</f>
        <v>Valid</v>
      </c>
      <c r="AG96" s="16" t="str">
        <f t="shared" si="203"/>
        <v>Valid</v>
      </c>
      <c r="AH96" s="16" t="str">
        <f t="shared" ref="AH96:AI96" si="204">IF(OR(B96="",ISBLANK(B96)),"Missing","Valid")</f>
        <v>Valid</v>
      </c>
      <c r="AI96" s="16" t="str">
        <f t="shared" si="204"/>
        <v>Valid</v>
      </c>
      <c r="AJ96" s="16" t="b">
        <v>0</v>
      </c>
      <c r="AK96" s="16" t="b">
        <v>0</v>
      </c>
      <c r="AL96" s="16" t="b">
        <v>0</v>
      </c>
      <c r="AM96" s="16" t="b">
        <v>0</v>
      </c>
      <c r="AN96" s="16" t="b">
        <v>0</v>
      </c>
      <c r="AO96" s="16" t="b">
        <v>0</v>
      </c>
      <c r="AP96" s="16" t="b">
        <v>0</v>
      </c>
      <c r="AQ96" s="17">
        <f t="shared" si="9"/>
        <v>0</v>
      </c>
      <c r="AR96" s="12">
        <f t="shared" si="10"/>
        <v>26470.710000000003</v>
      </c>
      <c r="AS96" s="18">
        <f t="shared" si="11"/>
        <v>0</v>
      </c>
      <c r="AT96" s="12">
        <f t="shared" si="12"/>
        <v>5103.1100000000042</v>
      </c>
      <c r="AU96" s="18">
        <f t="shared" si="13"/>
        <v>0</v>
      </c>
      <c r="AV96" s="19">
        <f t="shared" si="14"/>
        <v>0.19278326875251944</v>
      </c>
      <c r="AW96" s="20" t="str">
        <f t="shared" si="15"/>
        <v>September</v>
      </c>
      <c r="AX96" s="21">
        <f t="shared" si="16"/>
        <v>2024</v>
      </c>
    </row>
    <row r="97" spans="1:50" ht="15.75" customHeight="1">
      <c r="A97" s="10" t="s">
        <v>425</v>
      </c>
      <c r="B97" s="11">
        <v>45905</v>
      </c>
      <c r="C97" s="11">
        <v>45910</v>
      </c>
      <c r="D97" s="10" t="s">
        <v>426</v>
      </c>
      <c r="E97" s="10" t="s">
        <v>161</v>
      </c>
      <c r="F97" s="10" t="s">
        <v>119</v>
      </c>
      <c r="G97" s="10" t="s">
        <v>92</v>
      </c>
      <c r="H97" s="10" t="s">
        <v>219</v>
      </c>
      <c r="I97" s="10" t="s">
        <v>220</v>
      </c>
      <c r="J97" s="10" t="s">
        <v>70</v>
      </c>
      <c r="K97" s="10" t="s">
        <v>187</v>
      </c>
      <c r="L97" s="10" t="s">
        <v>427</v>
      </c>
      <c r="M97" s="10" t="s">
        <v>73</v>
      </c>
      <c r="N97" s="12">
        <v>6</v>
      </c>
      <c r="O97" s="12">
        <v>1754.13</v>
      </c>
      <c r="P97" s="12">
        <v>0</v>
      </c>
      <c r="Q97" s="12">
        <v>10524.78</v>
      </c>
      <c r="R97" s="12">
        <v>8841.0499999999993</v>
      </c>
      <c r="S97" s="12">
        <v>1683.73</v>
      </c>
      <c r="T97" s="10" t="s">
        <v>61</v>
      </c>
      <c r="U97" s="13" t="s">
        <v>62</v>
      </c>
      <c r="V97" s="14" t="e">
        <f t="shared" ca="1" si="0"/>
        <v>#NAME?</v>
      </c>
      <c r="W97" s="10" t="str">
        <f ca="1">IFERROR(__xludf.DUMMYFUNCTION("IF(COUNTIF($A:$A,A91)=1,
""Unique"",
IF(COUNTUNIQUE(FILTER($V$2:$V$934,$A$2:$A$934=A91))&gt;1,
""Conflicting Duplicate"",
""Exact Duplicate""))"),"Unique")</f>
        <v>Unique</v>
      </c>
      <c r="X97" s="10" t="b">
        <f t="shared" ca="1" si="1"/>
        <v>1</v>
      </c>
      <c r="Y97" s="10" t="str">
        <f t="shared" si="2"/>
        <v>Unique</v>
      </c>
      <c r="Z97" s="10"/>
      <c r="AA97" s="10" t="str">
        <f t="shared" si="3"/>
        <v>Clean</v>
      </c>
      <c r="AB97" s="15" t="str">
        <f t="shared" si="4"/>
        <v>Valid</v>
      </c>
      <c r="AC97" s="15">
        <v>5</v>
      </c>
      <c r="AD97" s="16" t="str">
        <f t="shared" si="5"/>
        <v>Valid</v>
      </c>
      <c r="AE97" s="16" t="str">
        <f t="shared" si="6"/>
        <v>Valid</v>
      </c>
      <c r="AF97" s="16" t="str">
        <f t="shared" ref="AF97:AG97" si="205">IF(ISNUMBER(B97),"Valid","Invalid")</f>
        <v>Valid</v>
      </c>
      <c r="AG97" s="16" t="str">
        <f t="shared" si="205"/>
        <v>Valid</v>
      </c>
      <c r="AH97" s="16" t="str">
        <f t="shared" ref="AH97:AI97" si="206">IF(OR(B97="",ISBLANK(B97)),"Missing","Valid")</f>
        <v>Valid</v>
      </c>
      <c r="AI97" s="16" t="str">
        <f t="shared" si="206"/>
        <v>Valid</v>
      </c>
      <c r="AJ97" s="16" t="b">
        <v>0</v>
      </c>
      <c r="AK97" s="16" t="b">
        <v>0</v>
      </c>
      <c r="AL97" s="16" t="b">
        <v>0</v>
      </c>
      <c r="AM97" s="16" t="b">
        <v>0</v>
      </c>
      <c r="AN97" s="16" t="b">
        <v>0</v>
      </c>
      <c r="AO97" s="16" t="b">
        <v>0</v>
      </c>
      <c r="AP97" s="16" t="b">
        <v>0</v>
      </c>
      <c r="AQ97" s="17">
        <f t="shared" si="9"/>
        <v>0</v>
      </c>
      <c r="AR97" s="12">
        <f t="shared" si="10"/>
        <v>10524.78</v>
      </c>
      <c r="AS97" s="18">
        <f t="shared" si="11"/>
        <v>0</v>
      </c>
      <c r="AT97" s="12">
        <f t="shared" si="12"/>
        <v>1683.7300000000014</v>
      </c>
      <c r="AU97" s="18">
        <f t="shared" si="13"/>
        <v>0</v>
      </c>
      <c r="AV97" s="19">
        <f t="shared" si="14"/>
        <v>0.15997769074507984</v>
      </c>
      <c r="AW97" s="20" t="str">
        <f t="shared" si="15"/>
        <v>September</v>
      </c>
      <c r="AX97" s="21">
        <f t="shared" si="16"/>
        <v>2025</v>
      </c>
    </row>
    <row r="98" spans="1:50" ht="15.75" customHeight="1">
      <c r="A98" s="10" t="s">
        <v>428</v>
      </c>
      <c r="B98" s="11">
        <v>45448</v>
      </c>
      <c r="C98" s="11">
        <v>45450</v>
      </c>
      <c r="D98" s="10" t="s">
        <v>429</v>
      </c>
      <c r="E98" s="10" t="s">
        <v>147</v>
      </c>
      <c r="F98" s="10" t="s">
        <v>124</v>
      </c>
      <c r="G98" s="10" t="s">
        <v>67</v>
      </c>
      <c r="H98" s="10" t="s">
        <v>68</v>
      </c>
      <c r="I98" s="10" t="s">
        <v>69</v>
      </c>
      <c r="J98" s="10" t="s">
        <v>103</v>
      </c>
      <c r="K98" s="10" t="s">
        <v>109</v>
      </c>
      <c r="L98" s="10" t="s">
        <v>430</v>
      </c>
      <c r="M98" s="10" t="s">
        <v>60</v>
      </c>
      <c r="N98" s="12">
        <v>2</v>
      </c>
      <c r="O98" s="12">
        <v>2259.2399999999998</v>
      </c>
      <c r="P98" s="12">
        <v>0.15</v>
      </c>
      <c r="Q98" s="12">
        <v>3840.71</v>
      </c>
      <c r="R98" s="12">
        <v>2516.29</v>
      </c>
      <c r="S98" s="12">
        <v>1324.42</v>
      </c>
      <c r="T98" s="10" t="s">
        <v>61</v>
      </c>
      <c r="U98" s="13" t="s">
        <v>62</v>
      </c>
      <c r="V98" s="14" t="e">
        <f t="shared" ca="1" si="0"/>
        <v>#NAME?</v>
      </c>
      <c r="W98" s="10" t="str">
        <f ca="1">IFERROR(__xludf.DUMMYFUNCTION("IF(COUNTIF($A:$A,A92)=1,
""Unique"",
IF(COUNTUNIQUE(FILTER($V$2:$V$934,$A$2:$A$934=A92))&gt;1,
""Conflicting Duplicate"",
""Exact Duplicate""))"),"Conflicting Duplicate")</f>
        <v>Conflicting Duplicate</v>
      </c>
      <c r="X98" s="10" t="b">
        <f t="shared" ca="1" si="1"/>
        <v>1</v>
      </c>
      <c r="Y98" s="10" t="str">
        <f t="shared" si="2"/>
        <v>Unique</v>
      </c>
      <c r="Z98" s="10"/>
      <c r="AA98" s="10" t="str">
        <f t="shared" si="3"/>
        <v>Clean</v>
      </c>
      <c r="AB98" s="15" t="str">
        <f t="shared" si="4"/>
        <v>Valid</v>
      </c>
      <c r="AC98" s="15">
        <v>2</v>
      </c>
      <c r="AD98" s="16" t="str">
        <f t="shared" si="5"/>
        <v>Valid</v>
      </c>
      <c r="AE98" s="16" t="str">
        <f t="shared" si="6"/>
        <v>Valid</v>
      </c>
      <c r="AF98" s="16" t="str">
        <f t="shared" ref="AF98:AG98" si="207">IF(ISNUMBER(B98),"Valid","Invalid")</f>
        <v>Valid</v>
      </c>
      <c r="AG98" s="16" t="str">
        <f t="shared" si="207"/>
        <v>Valid</v>
      </c>
      <c r="AH98" s="16" t="str">
        <f t="shared" ref="AH98:AI98" si="208">IF(OR(B98="",ISBLANK(B98)),"Missing","Valid")</f>
        <v>Valid</v>
      </c>
      <c r="AI98" s="16" t="str">
        <f t="shared" si="208"/>
        <v>Valid</v>
      </c>
      <c r="AJ98" s="16" t="b">
        <v>0</v>
      </c>
      <c r="AK98" s="16" t="b">
        <v>0</v>
      </c>
      <c r="AL98" s="16" t="b">
        <v>0</v>
      </c>
      <c r="AM98" s="16" t="b">
        <v>0</v>
      </c>
      <c r="AN98" s="16" t="b">
        <v>0</v>
      </c>
      <c r="AO98" s="16" t="b">
        <v>0</v>
      </c>
      <c r="AP98" s="16" t="b">
        <v>0</v>
      </c>
      <c r="AQ98" s="17">
        <f t="shared" si="9"/>
        <v>0.15</v>
      </c>
      <c r="AR98" s="12">
        <f t="shared" si="10"/>
        <v>3840.7079999999996</v>
      </c>
      <c r="AS98" s="18">
        <f t="shared" si="11"/>
        <v>2.0000000004074536E-3</v>
      </c>
      <c r="AT98" s="12">
        <f t="shared" si="12"/>
        <v>1324.4179999999997</v>
      </c>
      <c r="AU98" s="18">
        <f t="shared" si="13"/>
        <v>2.0000000004074536E-3</v>
      </c>
      <c r="AV98" s="19">
        <f t="shared" si="14"/>
        <v>0.34483694152224009</v>
      </c>
      <c r="AW98" s="20" t="str">
        <f t="shared" si="15"/>
        <v>June</v>
      </c>
      <c r="AX98" s="21">
        <f t="shared" si="16"/>
        <v>2024</v>
      </c>
    </row>
    <row r="99" spans="1:50" ht="15.75" customHeight="1">
      <c r="A99" s="10" t="s">
        <v>431</v>
      </c>
      <c r="B99" s="11">
        <v>45877</v>
      </c>
      <c r="C99" s="11">
        <v>45880</v>
      </c>
      <c r="D99" s="10" t="s">
        <v>432</v>
      </c>
      <c r="E99" s="10" t="s">
        <v>191</v>
      </c>
      <c r="F99" s="10" t="s">
        <v>66</v>
      </c>
      <c r="G99" s="10" t="s">
        <v>92</v>
      </c>
      <c r="H99" s="10" t="s">
        <v>209</v>
      </c>
      <c r="I99" s="10" t="s">
        <v>210</v>
      </c>
      <c r="J99" s="10" t="s">
        <v>57</v>
      </c>
      <c r="K99" s="10" t="s">
        <v>153</v>
      </c>
      <c r="L99" s="10" t="s">
        <v>433</v>
      </c>
      <c r="M99" s="10" t="s">
        <v>73</v>
      </c>
      <c r="N99" s="12">
        <v>5</v>
      </c>
      <c r="O99" s="12">
        <v>3602.36</v>
      </c>
      <c r="P99" s="12">
        <v>0.2</v>
      </c>
      <c r="Q99" s="12">
        <v>14409.44</v>
      </c>
      <c r="R99" s="12">
        <v>8809.9699999999993</v>
      </c>
      <c r="S99" s="12">
        <v>5599.47</v>
      </c>
      <c r="T99" s="10" t="s">
        <v>140</v>
      </c>
      <c r="U99" s="13" t="s">
        <v>132</v>
      </c>
      <c r="V99" s="14" t="e">
        <f t="shared" ca="1" si="0"/>
        <v>#NAME?</v>
      </c>
      <c r="W99" s="10" t="str">
        <f ca="1">IFERROR(__xludf.DUMMYFUNCTION("IF(COUNTIF($A:$A,A93)=1,
""Unique"",
IF(COUNTUNIQUE(FILTER($V$2:$V$934,$A$2:$A$934=A93))&gt;1,
""Conflicting Duplicate"",
""Exact Duplicate""))"),"Unique")</f>
        <v>Unique</v>
      </c>
      <c r="X99" s="10" t="b">
        <f t="shared" ca="1" si="1"/>
        <v>1</v>
      </c>
      <c r="Y99" s="10" t="str">
        <f t="shared" si="2"/>
        <v>Unique</v>
      </c>
      <c r="Z99" s="10"/>
      <c r="AA99" s="10" t="str">
        <f t="shared" si="3"/>
        <v>Clean</v>
      </c>
      <c r="AB99" s="15" t="str">
        <f t="shared" si="4"/>
        <v>Valid</v>
      </c>
      <c r="AC99" s="15">
        <v>3</v>
      </c>
      <c r="AD99" s="16" t="str">
        <f t="shared" si="5"/>
        <v>Valid</v>
      </c>
      <c r="AE99" s="16" t="str">
        <f t="shared" si="6"/>
        <v>Valid</v>
      </c>
      <c r="AF99" s="16" t="str">
        <f t="shared" ref="AF99:AG99" si="209">IF(ISNUMBER(B99),"Valid","Invalid")</f>
        <v>Valid</v>
      </c>
      <c r="AG99" s="16" t="str">
        <f t="shared" si="209"/>
        <v>Valid</v>
      </c>
      <c r="AH99" s="16" t="str">
        <f t="shared" ref="AH99:AI99" si="210">IF(OR(B99="",ISBLANK(B99)),"Missing","Valid")</f>
        <v>Valid</v>
      </c>
      <c r="AI99" s="16" t="str">
        <f t="shared" si="210"/>
        <v>Valid</v>
      </c>
      <c r="AJ99" s="16" t="b">
        <v>0</v>
      </c>
      <c r="AK99" s="16" t="b">
        <v>0</v>
      </c>
      <c r="AL99" s="16" t="b">
        <v>0</v>
      </c>
      <c r="AM99" s="16" t="b">
        <v>0</v>
      </c>
      <c r="AN99" s="16" t="b">
        <v>0</v>
      </c>
      <c r="AO99" s="16" t="b">
        <v>0</v>
      </c>
      <c r="AP99" s="16" t="b">
        <v>0</v>
      </c>
      <c r="AQ99" s="17">
        <f t="shared" si="9"/>
        <v>0.2</v>
      </c>
      <c r="AR99" s="12">
        <f t="shared" si="10"/>
        <v>14409.44</v>
      </c>
      <c r="AS99" s="18">
        <f t="shared" si="11"/>
        <v>0</v>
      </c>
      <c r="AT99" s="12">
        <f t="shared" si="12"/>
        <v>5599.4700000000012</v>
      </c>
      <c r="AU99" s="18">
        <f t="shared" si="13"/>
        <v>0</v>
      </c>
      <c r="AV99" s="19">
        <f t="shared" si="14"/>
        <v>0.38859733619071951</v>
      </c>
      <c r="AW99" s="20" t="str">
        <f t="shared" si="15"/>
        <v>August</v>
      </c>
      <c r="AX99" s="21">
        <f t="shared" si="16"/>
        <v>2025</v>
      </c>
    </row>
    <row r="100" spans="1:50" ht="15.75" customHeight="1">
      <c r="A100" s="10" t="s">
        <v>434</v>
      </c>
      <c r="B100" s="11">
        <v>45317</v>
      </c>
      <c r="C100" s="11">
        <v>45323</v>
      </c>
      <c r="D100" s="10" t="s">
        <v>435</v>
      </c>
      <c r="E100" s="10" t="s">
        <v>170</v>
      </c>
      <c r="F100" s="10" t="s">
        <v>124</v>
      </c>
      <c r="G100" s="10" t="s">
        <v>83</v>
      </c>
      <c r="H100" s="10" t="s">
        <v>214</v>
      </c>
      <c r="I100" s="10" t="s">
        <v>215</v>
      </c>
      <c r="J100" s="10" t="s">
        <v>103</v>
      </c>
      <c r="K100" s="10" t="s">
        <v>109</v>
      </c>
      <c r="L100" s="10" t="s">
        <v>436</v>
      </c>
      <c r="M100" s="10" t="s">
        <v>234</v>
      </c>
      <c r="N100" s="12">
        <v>8</v>
      </c>
      <c r="O100" s="12">
        <v>2108.9299999999998</v>
      </c>
      <c r="P100" s="12">
        <v>0.1</v>
      </c>
      <c r="Q100" s="12">
        <v>15184.3</v>
      </c>
      <c r="R100" s="12">
        <v>11270.74</v>
      </c>
      <c r="S100" s="12">
        <v>3913.56</v>
      </c>
      <c r="T100" s="10" t="s">
        <v>61</v>
      </c>
      <c r="U100" s="13" t="s">
        <v>62</v>
      </c>
      <c r="V100" s="14" t="e">
        <f t="shared" ca="1" si="0"/>
        <v>#NAME?</v>
      </c>
      <c r="W100" s="10" t="str">
        <f ca="1">IFERROR(__xludf.DUMMYFUNCTION("IF(COUNTIF($A:$A,A94)=1,
""Unique"",
IF(COUNTUNIQUE(FILTER($V$2:$V$934,$A$2:$A$934=A94))&gt;1,
""Conflicting Duplicate"",
""Exact Duplicate""))"),"Unique")</f>
        <v>Unique</v>
      </c>
      <c r="X100" s="10" t="b">
        <f t="shared" ca="1" si="1"/>
        <v>1</v>
      </c>
      <c r="Y100" s="10" t="str">
        <f t="shared" si="2"/>
        <v>Unique</v>
      </c>
      <c r="Z100" s="10"/>
      <c r="AA100" s="10" t="str">
        <f t="shared" si="3"/>
        <v>Warning</v>
      </c>
      <c r="AB100" s="15" t="str">
        <f t="shared" si="4"/>
        <v>Valid</v>
      </c>
      <c r="AC100" s="15">
        <v>6</v>
      </c>
      <c r="AD100" s="16" t="str">
        <f t="shared" si="5"/>
        <v>Valid</v>
      </c>
      <c r="AE100" s="16" t="str">
        <f t="shared" si="6"/>
        <v>Valid</v>
      </c>
      <c r="AF100" s="16" t="str">
        <f t="shared" ref="AF100:AG100" si="211">IF(ISNUMBER(B100),"Valid","Invalid")</f>
        <v>Valid</v>
      </c>
      <c r="AG100" s="16" t="str">
        <f t="shared" si="211"/>
        <v>Valid</v>
      </c>
      <c r="AH100" s="16" t="str">
        <f t="shared" ref="AH100:AI100" si="212">IF(OR(B100="",ISBLANK(B100)),"Missing","Valid")</f>
        <v>Valid</v>
      </c>
      <c r="AI100" s="16" t="str">
        <f t="shared" si="212"/>
        <v>Valid</v>
      </c>
      <c r="AJ100" s="16" t="b">
        <v>0</v>
      </c>
      <c r="AK100" s="16" t="b">
        <v>1</v>
      </c>
      <c r="AL100" s="16" t="b">
        <v>0</v>
      </c>
      <c r="AM100" s="16" t="b">
        <v>0</v>
      </c>
      <c r="AN100" s="16" t="b">
        <v>0</v>
      </c>
      <c r="AO100" s="16" t="b">
        <v>0</v>
      </c>
      <c r="AP100" s="16" t="b">
        <v>1</v>
      </c>
      <c r="AQ100" s="17">
        <f t="shared" si="9"/>
        <v>0.1</v>
      </c>
      <c r="AR100" s="12">
        <f t="shared" si="10"/>
        <v>15184.295999999998</v>
      </c>
      <c r="AS100" s="18">
        <f t="shared" si="11"/>
        <v>4.0000000008149073E-3</v>
      </c>
      <c r="AT100" s="12">
        <f t="shared" si="12"/>
        <v>3913.5559999999987</v>
      </c>
      <c r="AU100" s="18">
        <f t="shared" si="13"/>
        <v>4.0000000012696546E-3</v>
      </c>
      <c r="AV100" s="19">
        <f t="shared" si="14"/>
        <v>0.25773707256497103</v>
      </c>
      <c r="AW100" s="20" t="str">
        <f t="shared" si="15"/>
        <v>January</v>
      </c>
      <c r="AX100" s="21">
        <f t="shared" si="16"/>
        <v>2024</v>
      </c>
    </row>
    <row r="101" spans="1:50" ht="15.75" customHeight="1">
      <c r="A101" s="10" t="s">
        <v>437</v>
      </c>
      <c r="B101" s="11">
        <v>45668</v>
      </c>
      <c r="C101" s="11">
        <v>45668</v>
      </c>
      <c r="D101" s="10" t="s">
        <v>438</v>
      </c>
      <c r="E101" s="10" t="s">
        <v>118</v>
      </c>
      <c r="F101" s="10" t="s">
        <v>66</v>
      </c>
      <c r="G101" s="10" t="s">
        <v>92</v>
      </c>
      <c r="H101" s="10" t="s">
        <v>55</v>
      </c>
      <c r="I101" s="10" t="s">
        <v>138</v>
      </c>
      <c r="J101" s="10" t="s">
        <v>103</v>
      </c>
      <c r="K101" s="10" t="s">
        <v>104</v>
      </c>
      <c r="L101" s="10" t="s">
        <v>439</v>
      </c>
      <c r="M101" s="10" t="s">
        <v>73</v>
      </c>
      <c r="N101" s="12">
        <v>3</v>
      </c>
      <c r="O101" s="12">
        <v>2165.29</v>
      </c>
      <c r="P101" s="12">
        <v>0</v>
      </c>
      <c r="Q101" s="12">
        <v>6495.87</v>
      </c>
      <c r="R101" s="12">
        <v>4700.8900000000003</v>
      </c>
      <c r="S101" s="12">
        <v>1794.98</v>
      </c>
      <c r="T101" s="10" t="s">
        <v>61</v>
      </c>
      <c r="U101" s="13" t="s">
        <v>62</v>
      </c>
      <c r="V101" s="14" t="e">
        <f t="shared" ca="1" si="0"/>
        <v>#NAME?</v>
      </c>
      <c r="W101" s="10" t="str">
        <f ca="1">IFERROR(__xludf.DUMMYFUNCTION("IF(COUNTIF($A:$A,A95)=1,
""Unique"",
IF(COUNTUNIQUE(FILTER($V$2:$V$934,$A$2:$A$934=A95))&gt;1,
""Conflicting Duplicate"",
""Exact Duplicate""))"),"Unique")</f>
        <v>Unique</v>
      </c>
      <c r="X101" s="10" t="b">
        <f t="shared" ca="1" si="1"/>
        <v>1</v>
      </c>
      <c r="Y101" s="10" t="str">
        <f t="shared" si="2"/>
        <v>Unique</v>
      </c>
      <c r="Z101" s="10"/>
      <c r="AA101" s="10" t="str">
        <f t="shared" si="3"/>
        <v>Clean</v>
      </c>
      <c r="AB101" s="15" t="str">
        <f t="shared" si="4"/>
        <v>Valid</v>
      </c>
      <c r="AC101" s="15">
        <v>0</v>
      </c>
      <c r="AD101" s="16" t="str">
        <f t="shared" si="5"/>
        <v>Valid</v>
      </c>
      <c r="AE101" s="16" t="str">
        <f t="shared" si="6"/>
        <v>Valid</v>
      </c>
      <c r="AF101" s="16" t="str">
        <f t="shared" ref="AF101:AG101" si="213">IF(ISNUMBER(B101),"Valid","Invalid")</f>
        <v>Valid</v>
      </c>
      <c r="AG101" s="16" t="str">
        <f t="shared" si="213"/>
        <v>Valid</v>
      </c>
      <c r="AH101" s="16" t="str">
        <f t="shared" ref="AH101:AI101" si="214">IF(OR(B101="",ISBLANK(B101)),"Missing","Valid")</f>
        <v>Valid</v>
      </c>
      <c r="AI101" s="16" t="str">
        <f t="shared" si="214"/>
        <v>Valid</v>
      </c>
      <c r="AJ101" s="16" t="b">
        <v>0</v>
      </c>
      <c r="AK101" s="16" t="b">
        <v>0</v>
      </c>
      <c r="AL101" s="16" t="b">
        <v>0</v>
      </c>
      <c r="AM101" s="16" t="b">
        <v>0</v>
      </c>
      <c r="AN101" s="16" t="b">
        <v>0</v>
      </c>
      <c r="AO101" s="16" t="b">
        <v>0</v>
      </c>
      <c r="AP101" s="16" t="b">
        <v>0</v>
      </c>
      <c r="AQ101" s="17">
        <f t="shared" si="9"/>
        <v>0</v>
      </c>
      <c r="AR101" s="12">
        <f t="shared" si="10"/>
        <v>6495.87</v>
      </c>
      <c r="AS101" s="18">
        <f t="shared" si="11"/>
        <v>0</v>
      </c>
      <c r="AT101" s="12">
        <f t="shared" si="12"/>
        <v>1794.9799999999996</v>
      </c>
      <c r="AU101" s="18">
        <f t="shared" si="13"/>
        <v>0</v>
      </c>
      <c r="AV101" s="19">
        <f t="shared" si="14"/>
        <v>0.27632634273777024</v>
      </c>
      <c r="AW101" s="20" t="str">
        <f t="shared" si="15"/>
        <v>January</v>
      </c>
      <c r="AX101" s="21">
        <f t="shared" si="16"/>
        <v>2025</v>
      </c>
    </row>
    <row r="102" spans="1:50" ht="15.75" customHeight="1">
      <c r="A102" s="10" t="s">
        <v>440</v>
      </c>
      <c r="B102" s="11">
        <v>45912</v>
      </c>
      <c r="C102" s="11">
        <v>45918</v>
      </c>
      <c r="D102" s="10" t="s">
        <v>441</v>
      </c>
      <c r="E102" s="10" t="s">
        <v>157</v>
      </c>
      <c r="F102" s="10" t="s">
        <v>124</v>
      </c>
      <c r="G102" s="10" t="s">
        <v>83</v>
      </c>
      <c r="H102" s="10" t="s">
        <v>214</v>
      </c>
      <c r="I102" s="10" t="s">
        <v>215</v>
      </c>
      <c r="J102" s="10" t="s">
        <v>57</v>
      </c>
      <c r="K102" s="10" t="s">
        <v>153</v>
      </c>
      <c r="L102" s="10" t="s">
        <v>442</v>
      </c>
      <c r="M102" s="10" t="s">
        <v>88</v>
      </c>
      <c r="N102" s="12">
        <v>6</v>
      </c>
      <c r="O102" s="12">
        <v>1673.8</v>
      </c>
      <c r="P102" s="12">
        <v>0.05</v>
      </c>
      <c r="Q102" s="12">
        <v>9540.66</v>
      </c>
      <c r="R102" s="12">
        <v>5561.49</v>
      </c>
      <c r="S102" s="12">
        <v>3979.17</v>
      </c>
      <c r="T102" s="10" t="s">
        <v>61</v>
      </c>
      <c r="U102" s="13" t="s">
        <v>62</v>
      </c>
      <c r="V102" s="14" t="e">
        <f t="shared" ca="1" si="0"/>
        <v>#NAME?</v>
      </c>
      <c r="W102" s="10" t="str">
        <f ca="1">IFERROR(__xludf.DUMMYFUNCTION("IF(COUNTIF($A:$A,A96)=1,
""Unique"",
IF(COUNTUNIQUE(FILTER($V$2:$V$934,$A$2:$A$934=A96))&gt;1,
""Conflicting Duplicate"",
""Exact Duplicate""))"),"Unique")</f>
        <v>Unique</v>
      </c>
      <c r="X102" s="10" t="b">
        <f t="shared" ca="1" si="1"/>
        <v>1</v>
      </c>
      <c r="Y102" s="10" t="str">
        <f t="shared" si="2"/>
        <v>Unique</v>
      </c>
      <c r="Z102" s="10"/>
      <c r="AA102" s="10" t="str">
        <f t="shared" si="3"/>
        <v>Clean</v>
      </c>
      <c r="AB102" s="15" t="str">
        <f t="shared" si="4"/>
        <v>Valid</v>
      </c>
      <c r="AC102" s="15">
        <v>6</v>
      </c>
      <c r="AD102" s="16" t="str">
        <f t="shared" si="5"/>
        <v>Valid</v>
      </c>
      <c r="AE102" s="16" t="str">
        <f t="shared" si="6"/>
        <v>Valid</v>
      </c>
      <c r="AF102" s="16" t="str">
        <f t="shared" ref="AF102:AG102" si="215">IF(ISNUMBER(B102),"Valid","Invalid")</f>
        <v>Valid</v>
      </c>
      <c r="AG102" s="16" t="str">
        <f t="shared" si="215"/>
        <v>Valid</v>
      </c>
      <c r="AH102" s="16" t="str">
        <f t="shared" ref="AH102:AI102" si="216">IF(OR(B102="",ISBLANK(B102)),"Missing","Valid")</f>
        <v>Valid</v>
      </c>
      <c r="AI102" s="16" t="str">
        <f t="shared" si="216"/>
        <v>Valid</v>
      </c>
      <c r="AJ102" s="16" t="b">
        <v>0</v>
      </c>
      <c r="AK102" s="16" t="b">
        <v>0</v>
      </c>
      <c r="AL102" s="16" t="b">
        <v>0</v>
      </c>
      <c r="AM102" s="16" t="b">
        <v>0</v>
      </c>
      <c r="AN102" s="16" t="b">
        <v>0</v>
      </c>
      <c r="AO102" s="16" t="b">
        <v>0</v>
      </c>
      <c r="AP102" s="16" t="b">
        <v>0</v>
      </c>
      <c r="AQ102" s="17">
        <f t="shared" si="9"/>
        <v>0.05</v>
      </c>
      <c r="AR102" s="12">
        <f t="shared" si="10"/>
        <v>9540.659999999998</v>
      </c>
      <c r="AS102" s="18">
        <f t="shared" si="11"/>
        <v>0</v>
      </c>
      <c r="AT102" s="12">
        <f t="shared" si="12"/>
        <v>3979.1699999999983</v>
      </c>
      <c r="AU102" s="18">
        <f t="shared" si="13"/>
        <v>0</v>
      </c>
      <c r="AV102" s="19">
        <f t="shared" si="14"/>
        <v>0.41707491934520241</v>
      </c>
      <c r="AW102" s="20" t="str">
        <f t="shared" si="15"/>
        <v>September</v>
      </c>
      <c r="AX102" s="21">
        <f t="shared" si="16"/>
        <v>2025</v>
      </c>
    </row>
    <row r="103" spans="1:50" ht="15.75" customHeight="1">
      <c r="A103" s="10" t="s">
        <v>443</v>
      </c>
      <c r="B103" s="11">
        <v>45465</v>
      </c>
      <c r="C103" s="11">
        <v>45469</v>
      </c>
      <c r="D103" s="10" t="s">
        <v>444</v>
      </c>
      <c r="E103" s="10" t="s">
        <v>170</v>
      </c>
      <c r="F103" s="10" t="s">
        <v>124</v>
      </c>
      <c r="G103" s="10" t="s">
        <v>67</v>
      </c>
      <c r="H103" s="10" t="s">
        <v>174</v>
      </c>
      <c r="I103" s="10" t="s">
        <v>175</v>
      </c>
      <c r="J103" s="10" t="s">
        <v>70</v>
      </c>
      <c r="K103" s="10" t="s">
        <v>86</v>
      </c>
      <c r="L103" s="10" t="s">
        <v>445</v>
      </c>
      <c r="M103" s="10" t="s">
        <v>79</v>
      </c>
      <c r="N103" s="12">
        <v>5</v>
      </c>
      <c r="O103" s="12">
        <v>4396.5200000000004</v>
      </c>
      <c r="P103" s="12">
        <v>0.25</v>
      </c>
      <c r="Q103" s="12">
        <v>16486.95</v>
      </c>
      <c r="R103" s="12">
        <v>12054.14</v>
      </c>
      <c r="S103" s="12">
        <v>4432.8100000000004</v>
      </c>
      <c r="T103" s="10" t="s">
        <v>61</v>
      </c>
      <c r="U103" s="13" t="s">
        <v>62</v>
      </c>
      <c r="V103" s="14" t="e">
        <f t="shared" ca="1" si="0"/>
        <v>#NAME?</v>
      </c>
      <c r="W103" s="10" t="str">
        <f ca="1">IFERROR(__xludf.DUMMYFUNCTION("IF(COUNTIF($A:$A,A97)=1,
""Unique"",
IF(COUNTUNIQUE(FILTER($V$2:$V$934,$A$2:$A$934=A97))&gt;1,
""Conflicting Duplicate"",
""Exact Duplicate""))"),"Unique")</f>
        <v>Unique</v>
      </c>
      <c r="X103" s="10" t="b">
        <f t="shared" ca="1" si="1"/>
        <v>1</v>
      </c>
      <c r="Y103" s="10" t="str">
        <f t="shared" si="2"/>
        <v>Unique</v>
      </c>
      <c r="Z103" s="10"/>
      <c r="AA103" s="10" t="str">
        <f t="shared" si="3"/>
        <v>Clean</v>
      </c>
      <c r="AB103" s="15" t="str">
        <f t="shared" si="4"/>
        <v>Valid</v>
      </c>
      <c r="AC103" s="15">
        <v>4</v>
      </c>
      <c r="AD103" s="16" t="str">
        <f t="shared" si="5"/>
        <v>Valid</v>
      </c>
      <c r="AE103" s="16" t="str">
        <f t="shared" si="6"/>
        <v>Valid</v>
      </c>
      <c r="AF103" s="16" t="str">
        <f t="shared" ref="AF103:AG103" si="217">IF(ISNUMBER(B103),"Valid","Invalid")</f>
        <v>Valid</v>
      </c>
      <c r="AG103" s="16" t="str">
        <f t="shared" si="217"/>
        <v>Valid</v>
      </c>
      <c r="AH103" s="16" t="str">
        <f t="shared" ref="AH103:AI103" si="218">IF(OR(B103="",ISBLANK(B103)),"Missing","Valid")</f>
        <v>Valid</v>
      </c>
      <c r="AI103" s="16" t="str">
        <f t="shared" si="218"/>
        <v>Valid</v>
      </c>
      <c r="AJ103" s="16" t="b">
        <v>0</v>
      </c>
      <c r="AK103" s="16" t="b">
        <v>0</v>
      </c>
      <c r="AL103" s="16" t="b">
        <v>0</v>
      </c>
      <c r="AM103" s="16" t="b">
        <v>0</v>
      </c>
      <c r="AN103" s="16" t="b">
        <v>0</v>
      </c>
      <c r="AO103" s="16" t="b">
        <v>0</v>
      </c>
      <c r="AP103" s="16" t="b">
        <v>0</v>
      </c>
      <c r="AQ103" s="17">
        <f t="shared" si="9"/>
        <v>0.25</v>
      </c>
      <c r="AR103" s="12">
        <f t="shared" si="10"/>
        <v>16486.95</v>
      </c>
      <c r="AS103" s="18">
        <f t="shared" si="11"/>
        <v>0</v>
      </c>
      <c r="AT103" s="12">
        <f t="shared" si="12"/>
        <v>4432.8100000000013</v>
      </c>
      <c r="AU103" s="18">
        <f t="shared" si="13"/>
        <v>0</v>
      </c>
      <c r="AV103" s="19">
        <f t="shared" si="14"/>
        <v>0.26886780150361356</v>
      </c>
      <c r="AW103" s="20" t="str">
        <f t="shared" si="15"/>
        <v>June</v>
      </c>
      <c r="AX103" s="21">
        <f t="shared" si="16"/>
        <v>2024</v>
      </c>
    </row>
    <row r="104" spans="1:50" ht="15.75" customHeight="1">
      <c r="A104" s="10" t="s">
        <v>446</v>
      </c>
      <c r="B104" s="11">
        <v>45850</v>
      </c>
      <c r="C104" s="11">
        <v>45854</v>
      </c>
      <c r="D104" s="10" t="s">
        <v>447</v>
      </c>
      <c r="E104" s="10" t="s">
        <v>100</v>
      </c>
      <c r="F104" s="10" t="s">
        <v>53</v>
      </c>
      <c r="G104" s="10" t="s">
        <v>83</v>
      </c>
      <c r="H104" s="10" t="s">
        <v>204</v>
      </c>
      <c r="I104" s="10" t="s">
        <v>205</v>
      </c>
      <c r="J104" s="10" t="s">
        <v>70</v>
      </c>
      <c r="K104" s="10" t="s">
        <v>95</v>
      </c>
      <c r="L104" s="10" t="s">
        <v>448</v>
      </c>
      <c r="M104" s="10" t="s">
        <v>79</v>
      </c>
      <c r="N104" s="12">
        <v>4</v>
      </c>
      <c r="O104" s="12">
        <v>2865.71</v>
      </c>
      <c r="P104" s="12">
        <v>0</v>
      </c>
      <c r="Q104" s="12">
        <v>11462.84</v>
      </c>
      <c r="R104" s="12">
        <v>8979.7800000000007</v>
      </c>
      <c r="S104" s="12">
        <v>2483.06</v>
      </c>
      <c r="T104" s="10" t="s">
        <v>131</v>
      </c>
      <c r="U104" s="13" t="s">
        <v>97</v>
      </c>
      <c r="V104" s="14" t="e">
        <f t="shared" ca="1" si="0"/>
        <v>#NAME?</v>
      </c>
      <c r="W104" s="10" t="str">
        <f ca="1">IFERROR(__xludf.DUMMYFUNCTION("IF(COUNTIF($A:$A,A98)=1,
""Unique"",
IF(COUNTUNIQUE(FILTER($V$2:$V$934,$A$2:$A$934=A98))&gt;1,
""Conflicting Duplicate"",
""Exact Duplicate""))"),"Unique")</f>
        <v>Unique</v>
      </c>
      <c r="X104" s="10" t="b">
        <f t="shared" ca="1" si="1"/>
        <v>1</v>
      </c>
      <c r="Y104" s="10" t="str">
        <f t="shared" si="2"/>
        <v>Unique</v>
      </c>
      <c r="Z104" s="10"/>
      <c r="AA104" s="10" t="str">
        <f t="shared" si="3"/>
        <v>Clean</v>
      </c>
      <c r="AB104" s="15" t="str">
        <f t="shared" si="4"/>
        <v>Valid</v>
      </c>
      <c r="AC104" s="15">
        <v>4</v>
      </c>
      <c r="AD104" s="16" t="str">
        <f t="shared" si="5"/>
        <v>Valid</v>
      </c>
      <c r="AE104" s="16" t="str">
        <f t="shared" si="6"/>
        <v>Valid</v>
      </c>
      <c r="AF104" s="16" t="str">
        <f t="shared" ref="AF104:AG104" si="219">IF(ISNUMBER(B104),"Valid","Invalid")</f>
        <v>Valid</v>
      </c>
      <c r="AG104" s="16" t="str">
        <f t="shared" si="219"/>
        <v>Valid</v>
      </c>
      <c r="AH104" s="16" t="str">
        <f t="shared" ref="AH104:AI104" si="220">IF(OR(B104="",ISBLANK(B104)),"Missing","Valid")</f>
        <v>Valid</v>
      </c>
      <c r="AI104" s="16" t="str">
        <f t="shared" si="220"/>
        <v>Valid</v>
      </c>
      <c r="AJ104" s="16" t="b">
        <v>0</v>
      </c>
      <c r="AK104" s="16" t="b">
        <v>0</v>
      </c>
      <c r="AL104" s="16" t="b">
        <v>0</v>
      </c>
      <c r="AM104" s="16" t="b">
        <v>0</v>
      </c>
      <c r="AN104" s="16" t="b">
        <v>0</v>
      </c>
      <c r="AO104" s="16" t="b">
        <v>0</v>
      </c>
      <c r="AP104" s="16" t="b">
        <v>0</v>
      </c>
      <c r="AQ104" s="17">
        <f t="shared" si="9"/>
        <v>0</v>
      </c>
      <c r="AR104" s="12">
        <f t="shared" si="10"/>
        <v>11462.84</v>
      </c>
      <c r="AS104" s="18">
        <f t="shared" si="11"/>
        <v>0</v>
      </c>
      <c r="AT104" s="12">
        <f t="shared" si="12"/>
        <v>2483.0599999999995</v>
      </c>
      <c r="AU104" s="18">
        <f t="shared" si="13"/>
        <v>0</v>
      </c>
      <c r="AV104" s="19">
        <f t="shared" si="14"/>
        <v>0.21661822026653077</v>
      </c>
      <c r="AW104" s="20" t="str">
        <f t="shared" si="15"/>
        <v>July</v>
      </c>
      <c r="AX104" s="21">
        <f t="shared" si="16"/>
        <v>2025</v>
      </c>
    </row>
    <row r="105" spans="1:50" ht="15.75" customHeight="1">
      <c r="A105" s="10" t="s">
        <v>449</v>
      </c>
      <c r="B105" s="11">
        <v>45779</v>
      </c>
      <c r="C105" s="11">
        <v>45787</v>
      </c>
      <c r="D105" s="10" t="s">
        <v>450</v>
      </c>
      <c r="E105" s="10" t="s">
        <v>294</v>
      </c>
      <c r="F105" s="10" t="s">
        <v>119</v>
      </c>
      <c r="G105" s="10" t="s">
        <v>92</v>
      </c>
      <c r="H105" s="10" t="s">
        <v>93</v>
      </c>
      <c r="I105" s="10" t="s">
        <v>94</v>
      </c>
      <c r="J105" s="10" t="s">
        <v>70</v>
      </c>
      <c r="K105" s="10" t="s">
        <v>71</v>
      </c>
      <c r="L105" s="10" t="s">
        <v>451</v>
      </c>
      <c r="M105" s="10" t="s">
        <v>79</v>
      </c>
      <c r="N105" s="12">
        <v>4</v>
      </c>
      <c r="O105" s="12">
        <v>2440.34</v>
      </c>
      <c r="P105" s="12">
        <v>0.2</v>
      </c>
      <c r="Q105" s="12">
        <v>7809.09</v>
      </c>
      <c r="R105" s="12">
        <v>6657.75</v>
      </c>
      <c r="S105" s="12">
        <v>1151.3399999999999</v>
      </c>
      <c r="T105" s="10" t="s">
        <v>61</v>
      </c>
      <c r="U105" s="13" t="s">
        <v>62</v>
      </c>
      <c r="V105" s="14" t="e">
        <f t="shared" ca="1" si="0"/>
        <v>#NAME?</v>
      </c>
      <c r="W105" s="10" t="str">
        <f ca="1">IFERROR(__xludf.DUMMYFUNCTION("IF(COUNTIF($A:$A,A99)=1,
""Unique"",
IF(COUNTUNIQUE(FILTER($V$2:$V$934,$A$2:$A$934=A99))&gt;1,
""Conflicting Duplicate"",
""Exact Duplicate""))"),"Unique")</f>
        <v>Unique</v>
      </c>
      <c r="X105" s="10" t="b">
        <f t="shared" ca="1" si="1"/>
        <v>1</v>
      </c>
      <c r="Y105" s="10" t="str">
        <f t="shared" si="2"/>
        <v>Unique</v>
      </c>
      <c r="Z105" s="10"/>
      <c r="AA105" s="10" t="str">
        <f t="shared" si="3"/>
        <v>Clean</v>
      </c>
      <c r="AB105" s="15" t="str">
        <f t="shared" si="4"/>
        <v>Valid</v>
      </c>
      <c r="AC105" s="15">
        <v>8</v>
      </c>
      <c r="AD105" s="16" t="str">
        <f t="shared" si="5"/>
        <v>Valid</v>
      </c>
      <c r="AE105" s="16" t="str">
        <f t="shared" si="6"/>
        <v>Valid</v>
      </c>
      <c r="AF105" s="16" t="str">
        <f t="shared" ref="AF105:AG105" si="221">IF(ISNUMBER(B105),"Valid","Invalid")</f>
        <v>Valid</v>
      </c>
      <c r="AG105" s="16" t="str">
        <f t="shared" si="221"/>
        <v>Valid</v>
      </c>
      <c r="AH105" s="16" t="str">
        <f t="shared" ref="AH105:AI105" si="222">IF(OR(B105="",ISBLANK(B105)),"Missing","Valid")</f>
        <v>Valid</v>
      </c>
      <c r="AI105" s="16" t="str">
        <f t="shared" si="222"/>
        <v>Valid</v>
      </c>
      <c r="AJ105" s="16" t="b">
        <v>0</v>
      </c>
      <c r="AK105" s="16" t="b">
        <v>0</v>
      </c>
      <c r="AL105" s="16" t="b">
        <v>0</v>
      </c>
      <c r="AM105" s="16" t="b">
        <v>0</v>
      </c>
      <c r="AN105" s="16" t="b">
        <v>0</v>
      </c>
      <c r="AO105" s="16" t="b">
        <v>0</v>
      </c>
      <c r="AP105" s="16" t="b">
        <v>0</v>
      </c>
      <c r="AQ105" s="17">
        <f t="shared" si="9"/>
        <v>0.2</v>
      </c>
      <c r="AR105" s="12">
        <f t="shared" si="10"/>
        <v>7809.0880000000006</v>
      </c>
      <c r="AS105" s="18">
        <f t="shared" si="11"/>
        <v>1.9999999994979589E-3</v>
      </c>
      <c r="AT105" s="12">
        <f t="shared" si="12"/>
        <v>1151.3380000000006</v>
      </c>
      <c r="AU105" s="18">
        <f t="shared" si="13"/>
        <v>1.9999999992705852E-3</v>
      </c>
      <c r="AV105" s="19">
        <f t="shared" si="14"/>
        <v>0.14743565445798543</v>
      </c>
      <c r="AW105" s="20" t="str">
        <f t="shared" si="15"/>
        <v>May</v>
      </c>
      <c r="AX105" s="21">
        <f t="shared" si="16"/>
        <v>2025</v>
      </c>
    </row>
    <row r="106" spans="1:50" ht="15.75" customHeight="1">
      <c r="A106" s="10" t="s">
        <v>452</v>
      </c>
      <c r="B106" s="11">
        <v>45689</v>
      </c>
      <c r="C106" s="11">
        <v>45696</v>
      </c>
      <c r="D106" s="10" t="s">
        <v>453</v>
      </c>
      <c r="E106" s="10" t="s">
        <v>91</v>
      </c>
      <c r="F106" s="10" t="s">
        <v>53</v>
      </c>
      <c r="G106" s="10" t="s">
        <v>83</v>
      </c>
      <c r="H106" s="10" t="s">
        <v>204</v>
      </c>
      <c r="I106" s="10" t="s">
        <v>205</v>
      </c>
      <c r="J106" s="10" t="s">
        <v>57</v>
      </c>
      <c r="K106" s="10" t="s">
        <v>120</v>
      </c>
      <c r="L106" s="10" t="s">
        <v>454</v>
      </c>
      <c r="M106" s="10" t="s">
        <v>73</v>
      </c>
      <c r="N106" s="12">
        <v>5</v>
      </c>
      <c r="O106" s="12">
        <v>2112.54</v>
      </c>
      <c r="P106" s="12">
        <v>0.25</v>
      </c>
      <c r="Q106" s="12">
        <v>8260.4599999999991</v>
      </c>
      <c r="R106" s="12">
        <v>5619.95</v>
      </c>
      <c r="S106" s="12">
        <v>2302.08</v>
      </c>
      <c r="T106" s="10" t="s">
        <v>61</v>
      </c>
      <c r="U106" s="13" t="s">
        <v>97</v>
      </c>
      <c r="V106" s="14" t="e">
        <f t="shared" ca="1" si="0"/>
        <v>#NAME?</v>
      </c>
      <c r="W106" s="10" t="str">
        <f ca="1">IFERROR(__xludf.DUMMYFUNCTION("IF(COUNTIF($A:$A,A100)=1,
""Unique"",
IF(COUNTUNIQUE(FILTER($V$2:$V$934,$A$2:$A$934=A100))&gt;1,
""Conflicting Duplicate"",
""Exact Duplicate""))"),"Unique")</f>
        <v>Unique</v>
      </c>
      <c r="X106" s="10" t="b">
        <f t="shared" ca="1" si="1"/>
        <v>1</v>
      </c>
      <c r="Y106" s="10" t="str">
        <f t="shared" si="2"/>
        <v>Unique</v>
      </c>
      <c r="Z106" s="10"/>
      <c r="AA106" s="10" t="str">
        <f t="shared" si="3"/>
        <v>Clean</v>
      </c>
      <c r="AB106" s="15" t="str">
        <f t="shared" si="4"/>
        <v>Valid</v>
      </c>
      <c r="AC106" s="15">
        <v>7</v>
      </c>
      <c r="AD106" s="16" t="str">
        <f t="shared" si="5"/>
        <v>Valid</v>
      </c>
      <c r="AE106" s="16" t="str">
        <f t="shared" si="6"/>
        <v>Valid</v>
      </c>
      <c r="AF106" s="16" t="str">
        <f t="shared" ref="AF106:AG106" si="223">IF(ISNUMBER(B106),"Valid","Invalid")</f>
        <v>Valid</v>
      </c>
      <c r="AG106" s="16" t="str">
        <f t="shared" si="223"/>
        <v>Valid</v>
      </c>
      <c r="AH106" s="16" t="str">
        <f t="shared" ref="AH106:AI106" si="224">IF(OR(B106="",ISBLANK(B106)),"Missing","Valid")</f>
        <v>Valid</v>
      </c>
      <c r="AI106" s="16" t="str">
        <f t="shared" si="224"/>
        <v>Valid</v>
      </c>
      <c r="AJ106" s="16" t="b">
        <v>0</v>
      </c>
      <c r="AK106" s="16" t="b">
        <v>0</v>
      </c>
      <c r="AL106" s="16" t="b">
        <v>0</v>
      </c>
      <c r="AM106" s="16" t="b">
        <v>0</v>
      </c>
      <c r="AN106" s="16" t="b">
        <v>0</v>
      </c>
      <c r="AO106" s="16" t="b">
        <v>0</v>
      </c>
      <c r="AP106" s="16" t="b">
        <v>0</v>
      </c>
      <c r="AQ106" s="17">
        <f t="shared" si="9"/>
        <v>0.25</v>
      </c>
      <c r="AR106" s="12">
        <f t="shared" si="10"/>
        <v>7922.0250000000005</v>
      </c>
      <c r="AS106" s="18">
        <f t="shared" si="11"/>
        <v>338.43499999999858</v>
      </c>
      <c r="AT106" s="12">
        <f t="shared" si="12"/>
        <v>2302.0750000000007</v>
      </c>
      <c r="AU106" s="18">
        <f t="shared" si="13"/>
        <v>4.9999999991996447E-3</v>
      </c>
      <c r="AV106" s="19">
        <f t="shared" si="14"/>
        <v>0.29059173633004193</v>
      </c>
      <c r="AW106" s="20" t="str">
        <f t="shared" si="15"/>
        <v>February</v>
      </c>
      <c r="AX106" s="21">
        <f t="shared" si="16"/>
        <v>2025</v>
      </c>
    </row>
    <row r="107" spans="1:50" ht="15.75" customHeight="1">
      <c r="A107" s="10" t="s">
        <v>455</v>
      </c>
      <c r="B107" s="11">
        <v>45467</v>
      </c>
      <c r="C107" s="11">
        <v>45472</v>
      </c>
      <c r="D107" s="10" t="s">
        <v>456</v>
      </c>
      <c r="E107" s="10" t="s">
        <v>65</v>
      </c>
      <c r="F107" s="10" t="s">
        <v>124</v>
      </c>
      <c r="G107" s="10" t="s">
        <v>67</v>
      </c>
      <c r="H107" s="10" t="s">
        <v>128</v>
      </c>
      <c r="I107" s="10" t="s">
        <v>129</v>
      </c>
      <c r="J107" s="10" t="s">
        <v>70</v>
      </c>
      <c r="K107" s="10" t="s">
        <v>71</v>
      </c>
      <c r="L107" s="10" t="s">
        <v>457</v>
      </c>
      <c r="M107" s="10" t="s">
        <v>60</v>
      </c>
      <c r="N107" s="12">
        <v>2</v>
      </c>
      <c r="O107" s="12">
        <v>685</v>
      </c>
      <c r="P107" s="12">
        <v>0.1</v>
      </c>
      <c r="Q107" s="12">
        <v>1233</v>
      </c>
      <c r="R107" s="12">
        <v>1006.9</v>
      </c>
      <c r="S107" s="12">
        <v>226.1</v>
      </c>
      <c r="T107" s="10" t="s">
        <v>61</v>
      </c>
      <c r="U107" s="13" t="s">
        <v>62</v>
      </c>
      <c r="V107" s="14" t="e">
        <f t="shared" ca="1" si="0"/>
        <v>#NAME?</v>
      </c>
      <c r="W107" s="10" t="str">
        <f ca="1">IFERROR(__xludf.DUMMYFUNCTION("IF(COUNTIF($A:$A,A101)=1,
""Unique"",
IF(COUNTUNIQUE(FILTER($V$2:$V$934,$A$2:$A$934=A101))&gt;1,
""Conflicting Duplicate"",
""Exact Duplicate""))"),"Unique")</f>
        <v>Unique</v>
      </c>
      <c r="X107" s="10" t="b">
        <f t="shared" ca="1" si="1"/>
        <v>1</v>
      </c>
      <c r="Y107" s="10" t="str">
        <f t="shared" si="2"/>
        <v>Unique</v>
      </c>
      <c r="Z107" s="10"/>
      <c r="AA107" s="10" t="str">
        <f t="shared" si="3"/>
        <v>Clean</v>
      </c>
      <c r="AB107" s="15" t="str">
        <f t="shared" si="4"/>
        <v>Valid</v>
      </c>
      <c r="AC107" s="15">
        <v>5</v>
      </c>
      <c r="AD107" s="16" t="str">
        <f t="shared" si="5"/>
        <v>Valid</v>
      </c>
      <c r="AE107" s="16" t="str">
        <f t="shared" si="6"/>
        <v>Valid</v>
      </c>
      <c r="AF107" s="16" t="str">
        <f t="shared" ref="AF107:AG107" si="225">IF(ISNUMBER(B107),"Valid","Invalid")</f>
        <v>Valid</v>
      </c>
      <c r="AG107" s="16" t="str">
        <f t="shared" si="225"/>
        <v>Valid</v>
      </c>
      <c r="AH107" s="16" t="str">
        <f t="shared" ref="AH107:AI107" si="226">IF(OR(B107="",ISBLANK(B107)),"Missing","Valid")</f>
        <v>Valid</v>
      </c>
      <c r="AI107" s="16" t="str">
        <f t="shared" si="226"/>
        <v>Valid</v>
      </c>
      <c r="AJ107" s="16" t="b">
        <v>0</v>
      </c>
      <c r="AK107" s="16" t="b">
        <v>0</v>
      </c>
      <c r="AL107" s="16" t="b">
        <v>0</v>
      </c>
      <c r="AM107" s="16" t="b">
        <v>0</v>
      </c>
      <c r="AN107" s="16" t="b">
        <v>0</v>
      </c>
      <c r="AO107" s="16" t="b">
        <v>0</v>
      </c>
      <c r="AP107" s="16" t="b">
        <v>0</v>
      </c>
      <c r="AQ107" s="17">
        <f t="shared" si="9"/>
        <v>0.1</v>
      </c>
      <c r="AR107" s="12">
        <f t="shared" si="10"/>
        <v>1233</v>
      </c>
      <c r="AS107" s="18">
        <f t="shared" si="11"/>
        <v>0</v>
      </c>
      <c r="AT107" s="12">
        <f t="shared" si="12"/>
        <v>226.10000000000002</v>
      </c>
      <c r="AU107" s="18">
        <f t="shared" si="13"/>
        <v>0</v>
      </c>
      <c r="AV107" s="19">
        <f t="shared" si="14"/>
        <v>0.18337388483373887</v>
      </c>
      <c r="AW107" s="20" t="str">
        <f t="shared" si="15"/>
        <v>June</v>
      </c>
      <c r="AX107" s="21">
        <f t="shared" si="16"/>
        <v>2024</v>
      </c>
    </row>
    <row r="108" spans="1:50" ht="15.75" customHeight="1">
      <c r="A108" s="10" t="s">
        <v>458</v>
      </c>
      <c r="B108" s="11">
        <v>45342</v>
      </c>
      <c r="C108" s="11">
        <v>45350</v>
      </c>
      <c r="D108" s="10" t="s">
        <v>459</v>
      </c>
      <c r="E108" s="10" t="s">
        <v>82</v>
      </c>
      <c r="F108" s="10" t="s">
        <v>124</v>
      </c>
      <c r="G108" s="10" t="s">
        <v>67</v>
      </c>
      <c r="H108" s="10" t="s">
        <v>128</v>
      </c>
      <c r="I108" s="10" t="s">
        <v>129</v>
      </c>
      <c r="J108" s="10" t="s">
        <v>57</v>
      </c>
      <c r="K108" s="10" t="s">
        <v>58</v>
      </c>
      <c r="L108" s="10" t="s">
        <v>460</v>
      </c>
      <c r="M108" s="10" t="s">
        <v>88</v>
      </c>
      <c r="N108" s="12">
        <v>2</v>
      </c>
      <c r="O108" s="12">
        <v>4004.04</v>
      </c>
      <c r="P108" s="12">
        <v>0</v>
      </c>
      <c r="Q108" s="12">
        <v>7207.27</v>
      </c>
      <c r="R108" s="12">
        <v>5709.39</v>
      </c>
      <c r="S108" s="12">
        <v>1497.88</v>
      </c>
      <c r="T108" s="10" t="s">
        <v>61</v>
      </c>
      <c r="U108" s="13" t="s">
        <v>97</v>
      </c>
      <c r="V108" s="14" t="e">
        <f t="shared" ca="1" si="0"/>
        <v>#NAME?</v>
      </c>
      <c r="W108" s="10" t="str">
        <f ca="1">IFERROR(__xludf.DUMMYFUNCTION("IF(COUNTIF($A:$A,A102)=1,
""Unique"",
IF(COUNTUNIQUE(FILTER($V$2:$V$934,$A$2:$A$934=A102))&gt;1,
""Conflicting Duplicate"",
""Exact Duplicate""))"),"Unique")</f>
        <v>Unique</v>
      </c>
      <c r="X108" s="10" t="b">
        <f t="shared" ca="1" si="1"/>
        <v>1</v>
      </c>
      <c r="Y108" s="10" t="str">
        <f t="shared" si="2"/>
        <v>Unique</v>
      </c>
      <c r="Z108" s="10"/>
      <c r="AA108" s="10" t="str">
        <f t="shared" si="3"/>
        <v>Clean</v>
      </c>
      <c r="AB108" s="15" t="str">
        <f t="shared" si="4"/>
        <v>Valid</v>
      </c>
      <c r="AC108" s="15">
        <v>8</v>
      </c>
      <c r="AD108" s="16" t="str">
        <f t="shared" si="5"/>
        <v>Valid</v>
      </c>
      <c r="AE108" s="16" t="str">
        <f t="shared" si="6"/>
        <v>Valid</v>
      </c>
      <c r="AF108" s="16" t="str">
        <f t="shared" ref="AF108:AG108" si="227">IF(ISNUMBER(B108),"Valid","Invalid")</f>
        <v>Valid</v>
      </c>
      <c r="AG108" s="16" t="str">
        <f t="shared" si="227"/>
        <v>Valid</v>
      </c>
      <c r="AH108" s="16" t="str">
        <f t="shared" ref="AH108:AI108" si="228">IF(OR(B108="",ISBLANK(B108)),"Missing","Valid")</f>
        <v>Valid</v>
      </c>
      <c r="AI108" s="16" t="str">
        <f t="shared" si="228"/>
        <v>Valid</v>
      </c>
      <c r="AJ108" s="16" t="b">
        <v>0</v>
      </c>
      <c r="AK108" s="16" t="b">
        <v>0</v>
      </c>
      <c r="AL108" s="16" t="b">
        <v>1</v>
      </c>
      <c r="AM108" s="16" t="b">
        <v>0</v>
      </c>
      <c r="AN108" s="16" t="b">
        <v>0</v>
      </c>
      <c r="AO108" s="16" t="b">
        <v>0</v>
      </c>
      <c r="AP108" s="16" t="b">
        <v>1</v>
      </c>
      <c r="AQ108" s="17">
        <f t="shared" si="9"/>
        <v>0</v>
      </c>
      <c r="AR108" s="12">
        <f t="shared" si="10"/>
        <v>8008.08</v>
      </c>
      <c r="AS108" s="18">
        <f t="shared" si="11"/>
        <v>-800.80999999999949</v>
      </c>
      <c r="AT108" s="12">
        <f t="shared" si="12"/>
        <v>2298.6899999999996</v>
      </c>
      <c r="AU108" s="18">
        <f t="shared" si="13"/>
        <v>-800.80999999999949</v>
      </c>
      <c r="AV108" s="19">
        <f t="shared" si="14"/>
        <v>0.28704633320346445</v>
      </c>
      <c r="AW108" s="20" t="str">
        <f t="shared" si="15"/>
        <v>February</v>
      </c>
      <c r="AX108" s="21">
        <f t="shared" si="16"/>
        <v>2024</v>
      </c>
    </row>
    <row r="109" spans="1:50" ht="15.75" customHeight="1">
      <c r="A109" s="10" t="s">
        <v>461</v>
      </c>
      <c r="B109" s="11">
        <v>45594</v>
      </c>
      <c r="C109" s="11">
        <v>45600</v>
      </c>
      <c r="D109" s="10" t="s">
        <v>462</v>
      </c>
      <c r="E109" s="10" t="s">
        <v>170</v>
      </c>
      <c r="F109" s="10" t="s">
        <v>124</v>
      </c>
      <c r="G109" s="10" t="s">
        <v>67</v>
      </c>
      <c r="H109" s="10" t="s">
        <v>128</v>
      </c>
      <c r="I109" s="10" t="s">
        <v>129</v>
      </c>
      <c r="J109" s="10" t="s">
        <v>70</v>
      </c>
      <c r="K109" s="10" t="s">
        <v>86</v>
      </c>
      <c r="L109" s="10" t="s">
        <v>463</v>
      </c>
      <c r="M109" s="10" t="s">
        <v>79</v>
      </c>
      <c r="N109" s="12">
        <v>3</v>
      </c>
      <c r="O109" s="12">
        <v>4302.8900000000003</v>
      </c>
      <c r="P109" s="12">
        <v>0.05</v>
      </c>
      <c r="Q109" s="12">
        <v>12263.24</v>
      </c>
      <c r="R109" s="12">
        <v>8925.57</v>
      </c>
      <c r="S109" s="12">
        <v>3337.67</v>
      </c>
      <c r="T109" s="10" t="s">
        <v>61</v>
      </c>
      <c r="U109" s="13" t="s">
        <v>62</v>
      </c>
      <c r="V109" s="14" t="e">
        <f t="shared" ca="1" si="0"/>
        <v>#NAME?</v>
      </c>
      <c r="W109" s="10" t="str">
        <f ca="1">IFERROR(__xludf.DUMMYFUNCTION("IF(COUNTIF($A:$A,A103)=1,
""Unique"",
IF(COUNTUNIQUE(FILTER($V$2:$V$934,$A$2:$A$934=A103))&gt;1,
""Conflicting Duplicate"",
""Exact Duplicate""))"),"Unique")</f>
        <v>Unique</v>
      </c>
      <c r="X109" s="10" t="b">
        <f t="shared" ca="1" si="1"/>
        <v>1</v>
      </c>
      <c r="Y109" s="10" t="str">
        <f t="shared" si="2"/>
        <v>Unique</v>
      </c>
      <c r="Z109" s="10"/>
      <c r="AA109" s="10" t="str">
        <f t="shared" si="3"/>
        <v>Clean</v>
      </c>
      <c r="AB109" s="15" t="str">
        <f t="shared" si="4"/>
        <v>Valid</v>
      </c>
      <c r="AC109" s="15">
        <v>6</v>
      </c>
      <c r="AD109" s="16" t="str">
        <f t="shared" si="5"/>
        <v>Valid</v>
      </c>
      <c r="AE109" s="16" t="str">
        <f t="shared" si="6"/>
        <v>Valid</v>
      </c>
      <c r="AF109" s="16" t="str">
        <f t="shared" ref="AF109:AG109" si="229">IF(ISNUMBER(B109),"Valid","Invalid")</f>
        <v>Valid</v>
      </c>
      <c r="AG109" s="16" t="str">
        <f t="shared" si="229"/>
        <v>Valid</v>
      </c>
      <c r="AH109" s="16" t="str">
        <f t="shared" ref="AH109:AI109" si="230">IF(OR(B109="",ISBLANK(B109)),"Missing","Valid")</f>
        <v>Valid</v>
      </c>
      <c r="AI109" s="16" t="str">
        <f t="shared" si="230"/>
        <v>Valid</v>
      </c>
      <c r="AJ109" s="16" t="b">
        <v>0</v>
      </c>
      <c r="AK109" s="16" t="b">
        <v>0</v>
      </c>
      <c r="AL109" s="16" t="b">
        <v>0</v>
      </c>
      <c r="AM109" s="16" t="b">
        <v>0</v>
      </c>
      <c r="AN109" s="16" t="b">
        <v>0</v>
      </c>
      <c r="AO109" s="16" t="b">
        <v>0</v>
      </c>
      <c r="AP109" s="16" t="b">
        <v>0</v>
      </c>
      <c r="AQ109" s="17">
        <f t="shared" si="9"/>
        <v>0.05</v>
      </c>
      <c r="AR109" s="12">
        <f t="shared" si="10"/>
        <v>12263.236500000001</v>
      </c>
      <c r="AS109" s="18">
        <f t="shared" si="11"/>
        <v>3.4999999988940544E-3</v>
      </c>
      <c r="AT109" s="12">
        <f t="shared" si="12"/>
        <v>3337.6665000000012</v>
      </c>
      <c r="AU109" s="18">
        <f t="shared" si="13"/>
        <v>3.4999999988940544E-3</v>
      </c>
      <c r="AV109" s="19">
        <f t="shared" si="14"/>
        <v>0.27216848504878799</v>
      </c>
      <c r="AW109" s="20" t="str">
        <f t="shared" si="15"/>
        <v>October</v>
      </c>
      <c r="AX109" s="21">
        <f t="shared" si="16"/>
        <v>2024</v>
      </c>
    </row>
    <row r="110" spans="1:50" ht="15.75" customHeight="1">
      <c r="A110" s="10" t="s">
        <v>464</v>
      </c>
      <c r="B110" s="11">
        <v>45519</v>
      </c>
      <c r="C110" s="11">
        <v>45527</v>
      </c>
      <c r="D110" s="10" t="s">
        <v>465</v>
      </c>
      <c r="E110" s="10" t="s">
        <v>118</v>
      </c>
      <c r="F110" s="10" t="s">
        <v>66</v>
      </c>
      <c r="G110" s="10" t="s">
        <v>67</v>
      </c>
      <c r="H110" s="10" t="s">
        <v>68</v>
      </c>
      <c r="I110" s="10" t="s">
        <v>69</v>
      </c>
      <c r="J110" s="10" t="s">
        <v>70</v>
      </c>
      <c r="K110" s="10" t="s">
        <v>187</v>
      </c>
      <c r="L110" s="10" t="s">
        <v>466</v>
      </c>
      <c r="M110" s="10" t="s">
        <v>73</v>
      </c>
      <c r="N110" s="12">
        <v>2</v>
      </c>
      <c r="O110" s="12">
        <v>537.54</v>
      </c>
      <c r="P110" s="12">
        <v>0.25</v>
      </c>
      <c r="Q110" s="12">
        <v>806.31</v>
      </c>
      <c r="R110" s="12">
        <v>498.5</v>
      </c>
      <c r="S110" s="12">
        <v>307.81</v>
      </c>
      <c r="T110" s="10" t="s">
        <v>61</v>
      </c>
      <c r="U110" s="13" t="s">
        <v>62</v>
      </c>
      <c r="V110" s="14" t="e">
        <f t="shared" ca="1" si="0"/>
        <v>#NAME?</v>
      </c>
      <c r="W110" s="10" t="str">
        <f ca="1">IFERROR(__xludf.DUMMYFUNCTION("IF(COUNTIF($A:$A,A104)=1,
""Unique"",
IF(COUNTUNIQUE(FILTER($V$2:$V$934,$A$2:$A$934=A104))&gt;1,
""Conflicting Duplicate"",
""Exact Duplicate""))"),"Unique")</f>
        <v>Unique</v>
      </c>
      <c r="X110" s="10" t="b">
        <f t="shared" ca="1" si="1"/>
        <v>1</v>
      </c>
      <c r="Y110" s="10" t="str">
        <f t="shared" si="2"/>
        <v>Unique</v>
      </c>
      <c r="Z110" s="10"/>
      <c r="AA110" s="10" t="str">
        <f t="shared" si="3"/>
        <v>Clean</v>
      </c>
      <c r="AB110" s="15" t="str">
        <f t="shared" si="4"/>
        <v>Valid</v>
      </c>
      <c r="AC110" s="15">
        <v>8</v>
      </c>
      <c r="AD110" s="16" t="str">
        <f t="shared" si="5"/>
        <v>Valid</v>
      </c>
      <c r="AE110" s="16" t="str">
        <f t="shared" si="6"/>
        <v>Valid</v>
      </c>
      <c r="AF110" s="16" t="str">
        <f t="shared" ref="AF110:AG110" si="231">IF(ISNUMBER(B110),"Valid","Invalid")</f>
        <v>Valid</v>
      </c>
      <c r="AG110" s="16" t="str">
        <f t="shared" si="231"/>
        <v>Valid</v>
      </c>
      <c r="AH110" s="16" t="str">
        <f t="shared" ref="AH110:AI110" si="232">IF(OR(B110="",ISBLANK(B110)),"Missing","Valid")</f>
        <v>Valid</v>
      </c>
      <c r="AI110" s="16" t="str">
        <f t="shared" si="232"/>
        <v>Valid</v>
      </c>
      <c r="AJ110" s="16" t="b">
        <v>0</v>
      </c>
      <c r="AK110" s="16" t="b">
        <v>0</v>
      </c>
      <c r="AL110" s="16" t="b">
        <v>0</v>
      </c>
      <c r="AM110" s="16" t="b">
        <v>0</v>
      </c>
      <c r="AN110" s="16" t="b">
        <v>0</v>
      </c>
      <c r="AO110" s="16" t="b">
        <v>0</v>
      </c>
      <c r="AP110" s="16" t="b">
        <v>0</v>
      </c>
      <c r="AQ110" s="17">
        <f t="shared" si="9"/>
        <v>0.25</v>
      </c>
      <c r="AR110" s="12">
        <f t="shared" si="10"/>
        <v>806.31</v>
      </c>
      <c r="AS110" s="18">
        <f t="shared" si="11"/>
        <v>0</v>
      </c>
      <c r="AT110" s="12">
        <f t="shared" si="12"/>
        <v>307.80999999999995</v>
      </c>
      <c r="AU110" s="18">
        <f t="shared" si="13"/>
        <v>0</v>
      </c>
      <c r="AV110" s="19">
        <f t="shared" si="14"/>
        <v>0.38175143555208291</v>
      </c>
      <c r="AW110" s="20" t="str">
        <f t="shared" si="15"/>
        <v>August</v>
      </c>
      <c r="AX110" s="21">
        <f t="shared" si="16"/>
        <v>2024</v>
      </c>
    </row>
    <row r="111" spans="1:50" ht="15.75" customHeight="1">
      <c r="A111" s="10" t="s">
        <v>467</v>
      </c>
      <c r="B111" s="11">
        <v>45892</v>
      </c>
      <c r="C111" s="11">
        <v>45896</v>
      </c>
      <c r="D111" s="10" t="s">
        <v>468</v>
      </c>
      <c r="E111" s="10" t="s">
        <v>161</v>
      </c>
      <c r="F111" s="10" t="s">
        <v>53</v>
      </c>
      <c r="G111" s="10" t="s">
        <v>54</v>
      </c>
      <c r="H111" s="10" t="s">
        <v>380</v>
      </c>
      <c r="I111" s="10" t="s">
        <v>381</v>
      </c>
      <c r="J111" s="10" t="s">
        <v>57</v>
      </c>
      <c r="K111" s="10" t="s">
        <v>182</v>
      </c>
      <c r="L111" s="10" t="s">
        <v>469</v>
      </c>
      <c r="M111" s="10" t="s">
        <v>60</v>
      </c>
      <c r="N111" s="12">
        <v>1</v>
      </c>
      <c r="O111" s="12">
        <v>2788.62</v>
      </c>
      <c r="P111" s="12">
        <v>0.25</v>
      </c>
      <c r="Q111" s="12">
        <v>2091.4699999999998</v>
      </c>
      <c r="R111" s="12">
        <v>1317.22</v>
      </c>
      <c r="S111" s="12">
        <v>774.25</v>
      </c>
      <c r="T111" s="10" t="s">
        <v>61</v>
      </c>
      <c r="U111" s="13" t="s">
        <v>62</v>
      </c>
      <c r="V111" s="14" t="e">
        <f t="shared" ca="1" si="0"/>
        <v>#NAME?</v>
      </c>
      <c r="W111" s="10" t="str">
        <f ca="1">IFERROR(__xludf.DUMMYFUNCTION("IF(COUNTIF($A:$A,A105)=1,
""Unique"",
IF(COUNTUNIQUE(FILTER($V$2:$V$934,$A$2:$A$934=A105))&gt;1,
""Conflicting Duplicate"",
""Exact Duplicate""))"),"Unique")</f>
        <v>Unique</v>
      </c>
      <c r="X111" s="10" t="b">
        <f t="shared" ca="1" si="1"/>
        <v>1</v>
      </c>
      <c r="Y111" s="10" t="str">
        <f t="shared" si="2"/>
        <v>Unique</v>
      </c>
      <c r="Z111" s="10"/>
      <c r="AA111" s="10" t="str">
        <f t="shared" si="3"/>
        <v>Clean</v>
      </c>
      <c r="AB111" s="15" t="str">
        <f t="shared" si="4"/>
        <v>Valid</v>
      </c>
      <c r="AC111" s="15">
        <v>4</v>
      </c>
      <c r="AD111" s="16" t="str">
        <f t="shared" si="5"/>
        <v>Valid</v>
      </c>
      <c r="AE111" s="16" t="str">
        <f t="shared" si="6"/>
        <v>Valid</v>
      </c>
      <c r="AF111" s="16" t="str">
        <f t="shared" ref="AF111:AG111" si="233">IF(ISNUMBER(B111),"Valid","Invalid")</f>
        <v>Valid</v>
      </c>
      <c r="AG111" s="16" t="str">
        <f t="shared" si="233"/>
        <v>Valid</v>
      </c>
      <c r="AH111" s="16" t="str">
        <f t="shared" ref="AH111:AI111" si="234">IF(OR(B111="",ISBLANK(B111)),"Missing","Valid")</f>
        <v>Valid</v>
      </c>
      <c r="AI111" s="16" t="str">
        <f t="shared" si="234"/>
        <v>Valid</v>
      </c>
      <c r="AJ111" s="16" t="b">
        <v>0</v>
      </c>
      <c r="AK111" s="16" t="b">
        <v>0</v>
      </c>
      <c r="AL111" s="16" t="b">
        <v>0</v>
      </c>
      <c r="AM111" s="16" t="b">
        <v>0</v>
      </c>
      <c r="AN111" s="16" t="b">
        <v>0</v>
      </c>
      <c r="AO111" s="16" t="b">
        <v>0</v>
      </c>
      <c r="AP111" s="16" t="b">
        <v>0</v>
      </c>
      <c r="AQ111" s="17">
        <f t="shared" si="9"/>
        <v>0.25</v>
      </c>
      <c r="AR111" s="12">
        <f t="shared" si="10"/>
        <v>2091.4650000000001</v>
      </c>
      <c r="AS111" s="18">
        <f t="shared" si="11"/>
        <v>4.999999999654392E-3</v>
      </c>
      <c r="AT111" s="12">
        <f t="shared" si="12"/>
        <v>774.24500000000012</v>
      </c>
      <c r="AU111" s="18">
        <f t="shared" si="13"/>
        <v>4.9999999998817657E-3</v>
      </c>
      <c r="AV111" s="19">
        <f t="shared" si="14"/>
        <v>0.37019266399389905</v>
      </c>
      <c r="AW111" s="20" t="str">
        <f t="shared" si="15"/>
        <v>August</v>
      </c>
      <c r="AX111" s="21">
        <f t="shared" si="16"/>
        <v>2025</v>
      </c>
    </row>
    <row r="112" spans="1:50" ht="15.75" customHeight="1">
      <c r="A112" s="10" t="s">
        <v>470</v>
      </c>
      <c r="B112" s="11">
        <v>45583</v>
      </c>
      <c r="C112" s="11">
        <v>45589</v>
      </c>
      <c r="D112" s="10" t="s">
        <v>471</v>
      </c>
      <c r="E112" s="10" t="s">
        <v>100</v>
      </c>
      <c r="F112" s="10" t="s">
        <v>119</v>
      </c>
      <c r="G112" s="10" t="s">
        <v>83</v>
      </c>
      <c r="H112" s="10" t="s">
        <v>214</v>
      </c>
      <c r="I112" s="10" t="s">
        <v>215</v>
      </c>
      <c r="J112" s="10" t="s">
        <v>57</v>
      </c>
      <c r="K112" s="10" t="s">
        <v>120</v>
      </c>
      <c r="L112" s="10" t="s">
        <v>472</v>
      </c>
      <c r="M112" s="10" t="s">
        <v>79</v>
      </c>
      <c r="N112" s="12">
        <v>2</v>
      </c>
      <c r="O112" s="12">
        <v>2250.4699999999998</v>
      </c>
      <c r="P112" s="12">
        <v>0</v>
      </c>
      <c r="Q112" s="12">
        <v>4500.9399999999996</v>
      </c>
      <c r="R112" s="12">
        <v>2607.73</v>
      </c>
      <c r="S112" s="12">
        <v>1893.21</v>
      </c>
      <c r="T112" s="10" t="s">
        <v>131</v>
      </c>
      <c r="U112" s="13" t="s">
        <v>97</v>
      </c>
      <c r="V112" s="14" t="e">
        <f t="shared" ca="1" si="0"/>
        <v>#NAME?</v>
      </c>
      <c r="W112" s="10" t="str">
        <f ca="1">IFERROR(__xludf.DUMMYFUNCTION("IF(COUNTIF($A:$A,A106)=1,
""Unique"",
IF(COUNTUNIQUE(FILTER($V$2:$V$934,$A$2:$A$934=A106))&gt;1,
""Conflicting Duplicate"",
""Exact Duplicate""))"),"Unique")</f>
        <v>Unique</v>
      </c>
      <c r="X112" s="10" t="b">
        <f t="shared" ca="1" si="1"/>
        <v>1</v>
      </c>
      <c r="Y112" s="10" t="str">
        <f t="shared" si="2"/>
        <v>Unique</v>
      </c>
      <c r="Z112" s="10"/>
      <c r="AA112" s="10" t="str">
        <f t="shared" si="3"/>
        <v>Clean</v>
      </c>
      <c r="AB112" s="15" t="str">
        <f t="shared" si="4"/>
        <v>Valid</v>
      </c>
      <c r="AC112" s="15">
        <v>6</v>
      </c>
      <c r="AD112" s="16" t="str">
        <f t="shared" si="5"/>
        <v>Valid</v>
      </c>
      <c r="AE112" s="16" t="str">
        <f t="shared" si="6"/>
        <v>Valid</v>
      </c>
      <c r="AF112" s="16" t="str">
        <f t="shared" ref="AF112:AG112" si="235">IF(ISNUMBER(B112),"Valid","Invalid")</f>
        <v>Valid</v>
      </c>
      <c r="AG112" s="16" t="str">
        <f t="shared" si="235"/>
        <v>Valid</v>
      </c>
      <c r="AH112" s="16" t="str">
        <f t="shared" ref="AH112:AI112" si="236">IF(OR(B112="",ISBLANK(B112)),"Missing","Valid")</f>
        <v>Valid</v>
      </c>
      <c r="AI112" s="16" t="str">
        <f t="shared" si="236"/>
        <v>Valid</v>
      </c>
      <c r="AJ112" s="16" t="b">
        <v>0</v>
      </c>
      <c r="AK112" s="16" t="b">
        <v>0</v>
      </c>
      <c r="AL112" s="16" t="b">
        <v>0</v>
      </c>
      <c r="AM112" s="16" t="b">
        <v>0</v>
      </c>
      <c r="AN112" s="16" t="b">
        <v>0</v>
      </c>
      <c r="AO112" s="16" t="b">
        <v>0</v>
      </c>
      <c r="AP112" s="16" t="b">
        <v>0</v>
      </c>
      <c r="AQ112" s="17">
        <f t="shared" si="9"/>
        <v>0</v>
      </c>
      <c r="AR112" s="12">
        <f t="shared" si="10"/>
        <v>4500.9399999999996</v>
      </c>
      <c r="AS112" s="18">
        <f t="shared" si="11"/>
        <v>0</v>
      </c>
      <c r="AT112" s="12">
        <f t="shared" si="12"/>
        <v>1893.2099999999996</v>
      </c>
      <c r="AU112" s="18">
        <f t="shared" si="13"/>
        <v>0</v>
      </c>
      <c r="AV112" s="19">
        <f t="shared" si="14"/>
        <v>0.42062546934640316</v>
      </c>
      <c r="AW112" s="20" t="str">
        <f t="shared" si="15"/>
        <v>October</v>
      </c>
      <c r="AX112" s="21">
        <f t="shared" si="16"/>
        <v>2024</v>
      </c>
    </row>
    <row r="113" spans="1:50" ht="15.75" customHeight="1">
      <c r="A113" s="10" t="s">
        <v>473</v>
      </c>
      <c r="B113" s="11">
        <v>45835</v>
      </c>
      <c r="C113" s="11">
        <v>45838</v>
      </c>
      <c r="D113" s="10" t="s">
        <v>474</v>
      </c>
      <c r="E113" s="10" t="s">
        <v>108</v>
      </c>
      <c r="F113" s="10" t="s">
        <v>119</v>
      </c>
      <c r="G113" s="10" t="s">
        <v>67</v>
      </c>
      <c r="H113" s="10" t="s">
        <v>174</v>
      </c>
      <c r="I113" s="10" t="s">
        <v>175</v>
      </c>
      <c r="J113" s="10" t="s">
        <v>103</v>
      </c>
      <c r="K113" s="10" t="s">
        <v>104</v>
      </c>
      <c r="L113" s="10" t="s">
        <v>475</v>
      </c>
      <c r="M113" s="10" t="s">
        <v>79</v>
      </c>
      <c r="N113" s="12">
        <v>1</v>
      </c>
      <c r="O113" s="12">
        <v>1708.44</v>
      </c>
      <c r="P113" s="12">
        <v>0.05</v>
      </c>
      <c r="Q113" s="12">
        <v>1623.02</v>
      </c>
      <c r="R113" s="12">
        <v>1077.46</v>
      </c>
      <c r="S113" s="12">
        <v>545.55999999999995</v>
      </c>
      <c r="T113" s="10" t="s">
        <v>140</v>
      </c>
      <c r="U113" s="13" t="s">
        <v>97</v>
      </c>
      <c r="V113" s="14" t="e">
        <f t="shared" ca="1" si="0"/>
        <v>#NAME?</v>
      </c>
      <c r="W113" s="10" t="str">
        <f ca="1">IFERROR(__xludf.DUMMYFUNCTION("IF(COUNTIF($A:$A,A107)=1,
""Unique"",
IF(COUNTUNIQUE(FILTER($V$2:$V$934,$A$2:$A$934=A107))&gt;1,
""Conflicting Duplicate"",
""Exact Duplicate""))"),"Unique")</f>
        <v>Unique</v>
      </c>
      <c r="X113" s="10" t="b">
        <f t="shared" ca="1" si="1"/>
        <v>1</v>
      </c>
      <c r="Y113" s="10" t="str">
        <f t="shared" si="2"/>
        <v>Unique</v>
      </c>
      <c r="Z113" s="10"/>
      <c r="AA113" s="10" t="str">
        <f t="shared" si="3"/>
        <v>Clean</v>
      </c>
      <c r="AB113" s="15" t="str">
        <f t="shared" si="4"/>
        <v>Valid</v>
      </c>
      <c r="AC113" s="15">
        <v>3</v>
      </c>
      <c r="AD113" s="16" t="str">
        <f t="shared" si="5"/>
        <v>Valid</v>
      </c>
      <c r="AE113" s="16" t="str">
        <f t="shared" si="6"/>
        <v>Valid</v>
      </c>
      <c r="AF113" s="16" t="str">
        <f t="shared" ref="AF113:AG113" si="237">IF(ISNUMBER(B113),"Valid","Invalid")</f>
        <v>Valid</v>
      </c>
      <c r="AG113" s="16" t="str">
        <f t="shared" si="237"/>
        <v>Valid</v>
      </c>
      <c r="AH113" s="16" t="str">
        <f t="shared" ref="AH113:AI113" si="238">IF(OR(B113="",ISBLANK(B113)),"Missing","Valid")</f>
        <v>Valid</v>
      </c>
      <c r="AI113" s="16" t="str">
        <f t="shared" si="238"/>
        <v>Valid</v>
      </c>
      <c r="AJ113" s="16" t="b">
        <v>0</v>
      </c>
      <c r="AK113" s="16" t="b">
        <v>0</v>
      </c>
      <c r="AL113" s="16" t="b">
        <v>0</v>
      </c>
      <c r="AM113" s="16" t="b">
        <v>0</v>
      </c>
      <c r="AN113" s="16" t="b">
        <v>0</v>
      </c>
      <c r="AO113" s="16" t="b">
        <v>0</v>
      </c>
      <c r="AP113" s="16" t="b">
        <v>0</v>
      </c>
      <c r="AQ113" s="17">
        <f t="shared" si="9"/>
        <v>0.05</v>
      </c>
      <c r="AR113" s="12">
        <f t="shared" si="10"/>
        <v>1623.018</v>
      </c>
      <c r="AS113" s="18">
        <f t="shared" si="11"/>
        <v>1.9999999999527063E-3</v>
      </c>
      <c r="AT113" s="12">
        <f t="shared" si="12"/>
        <v>545.55799999999999</v>
      </c>
      <c r="AU113" s="18">
        <f t="shared" si="13"/>
        <v>1.9999999999527063E-3</v>
      </c>
      <c r="AV113" s="19">
        <f t="shared" si="14"/>
        <v>0.3361379849145234</v>
      </c>
      <c r="AW113" s="20" t="str">
        <f t="shared" si="15"/>
        <v>June</v>
      </c>
      <c r="AX113" s="21">
        <f t="shared" si="16"/>
        <v>2025</v>
      </c>
    </row>
    <row r="114" spans="1:50" ht="15.75" customHeight="1">
      <c r="A114" s="10" t="s">
        <v>476</v>
      </c>
      <c r="B114" s="11">
        <v>45301</v>
      </c>
      <c r="C114" s="11">
        <v>45305</v>
      </c>
      <c r="D114" s="10" t="s">
        <v>477</v>
      </c>
      <c r="E114" s="10" t="s">
        <v>161</v>
      </c>
      <c r="F114" s="10" t="s">
        <v>53</v>
      </c>
      <c r="G114" s="10" t="s">
        <v>234</v>
      </c>
      <c r="H114" s="10" t="s">
        <v>209</v>
      </c>
      <c r="I114" s="10" t="s">
        <v>210</v>
      </c>
      <c r="J114" s="10" t="s">
        <v>103</v>
      </c>
      <c r="K114" s="10" t="s">
        <v>104</v>
      </c>
      <c r="L114" s="10" t="s">
        <v>478</v>
      </c>
      <c r="M114" s="10" t="s">
        <v>88</v>
      </c>
      <c r="N114" s="12">
        <v>3</v>
      </c>
      <c r="O114" s="12">
        <v>3829.48</v>
      </c>
      <c r="P114" s="12">
        <v>0.05</v>
      </c>
      <c r="Q114" s="12">
        <v>10914.02</v>
      </c>
      <c r="R114" s="12">
        <v>6548.74</v>
      </c>
      <c r="S114" s="12">
        <v>4365.28</v>
      </c>
      <c r="T114" s="10" t="s">
        <v>61</v>
      </c>
      <c r="U114" s="13" t="s">
        <v>62</v>
      </c>
      <c r="V114" s="14" t="e">
        <f t="shared" ca="1" si="0"/>
        <v>#NAME?</v>
      </c>
      <c r="W114" s="10" t="str">
        <f ca="1">IFERROR(__xludf.DUMMYFUNCTION("IF(COUNTIF($A:$A,A108)=1,
""Unique"",
IF(COUNTUNIQUE(FILTER($V$2:$V$934,$A$2:$A$934=A108))&gt;1,
""Conflicting Duplicate"",
""Exact Duplicate""))"),"Unique")</f>
        <v>Unique</v>
      </c>
      <c r="X114" s="10" t="b">
        <f t="shared" ca="1" si="1"/>
        <v>1</v>
      </c>
      <c r="Y114" s="10" t="str">
        <f t="shared" si="2"/>
        <v>Unique</v>
      </c>
      <c r="Z114" s="10"/>
      <c r="AA114" s="10" t="str">
        <f t="shared" si="3"/>
        <v>Warning</v>
      </c>
      <c r="AB114" s="15" t="str">
        <f t="shared" si="4"/>
        <v>Valid</v>
      </c>
      <c r="AC114" s="15">
        <v>4</v>
      </c>
      <c r="AD114" s="16" t="str">
        <f t="shared" si="5"/>
        <v>Valid</v>
      </c>
      <c r="AE114" s="16" t="str">
        <f t="shared" si="6"/>
        <v>Valid</v>
      </c>
      <c r="AF114" s="16" t="str">
        <f t="shared" ref="AF114:AG114" si="239">IF(ISNUMBER(B114),"Valid","Invalid")</f>
        <v>Valid</v>
      </c>
      <c r="AG114" s="16" t="str">
        <f t="shared" si="239"/>
        <v>Valid</v>
      </c>
      <c r="AH114" s="16" t="str">
        <f t="shared" ref="AH114:AI114" si="240">IF(OR(B114="",ISBLANK(B114)),"Missing","Valid")</f>
        <v>Valid</v>
      </c>
      <c r="AI114" s="16" t="str">
        <f t="shared" si="240"/>
        <v>Valid</v>
      </c>
      <c r="AJ114" s="16" t="b">
        <v>1</v>
      </c>
      <c r="AK114" s="16" t="b">
        <v>0</v>
      </c>
      <c r="AL114" s="16" t="b">
        <v>0</v>
      </c>
      <c r="AM114" s="16" t="b">
        <v>0</v>
      </c>
      <c r="AN114" s="16" t="b">
        <v>0</v>
      </c>
      <c r="AO114" s="16" t="b">
        <v>0</v>
      </c>
      <c r="AP114" s="16" t="b">
        <v>1</v>
      </c>
      <c r="AQ114" s="17">
        <f t="shared" si="9"/>
        <v>0.05</v>
      </c>
      <c r="AR114" s="12">
        <f t="shared" si="10"/>
        <v>10914.018</v>
      </c>
      <c r="AS114" s="18">
        <f t="shared" si="11"/>
        <v>2.0000000004074536E-3</v>
      </c>
      <c r="AT114" s="12">
        <f t="shared" si="12"/>
        <v>4365.2780000000002</v>
      </c>
      <c r="AU114" s="18">
        <f t="shared" si="13"/>
        <v>1.9999999994979589E-3</v>
      </c>
      <c r="AV114" s="19">
        <f t="shared" si="14"/>
        <v>0.39996983695647198</v>
      </c>
      <c r="AW114" s="20" t="str">
        <f t="shared" si="15"/>
        <v>January</v>
      </c>
      <c r="AX114" s="21">
        <f t="shared" si="16"/>
        <v>2024</v>
      </c>
    </row>
    <row r="115" spans="1:50" ht="15.75" customHeight="1">
      <c r="A115" s="10" t="s">
        <v>479</v>
      </c>
      <c r="B115" s="11">
        <v>45334</v>
      </c>
      <c r="C115" s="11">
        <v>45334</v>
      </c>
      <c r="D115" s="10" t="s">
        <v>390</v>
      </c>
      <c r="E115" s="10" t="s">
        <v>76</v>
      </c>
      <c r="F115" s="10" t="s">
        <v>124</v>
      </c>
      <c r="G115" s="10" t="s">
        <v>83</v>
      </c>
      <c r="H115" s="10" t="s">
        <v>277</v>
      </c>
      <c r="I115" s="10" t="s">
        <v>278</v>
      </c>
      <c r="J115" s="10" t="s">
        <v>70</v>
      </c>
      <c r="K115" s="10" t="s">
        <v>71</v>
      </c>
      <c r="L115" s="10" t="s">
        <v>480</v>
      </c>
      <c r="M115" s="10" t="s">
        <v>88</v>
      </c>
      <c r="N115" s="12">
        <v>3</v>
      </c>
      <c r="O115" s="12">
        <v>1089.1500000000001</v>
      </c>
      <c r="P115" s="12">
        <v>0.25</v>
      </c>
      <c r="Q115" s="12">
        <v>2450.59</v>
      </c>
      <c r="R115" s="12">
        <v>1639.89</v>
      </c>
      <c r="S115" s="12">
        <v>810.7</v>
      </c>
      <c r="T115" s="10" t="s">
        <v>61</v>
      </c>
      <c r="U115" s="13" t="s">
        <v>62</v>
      </c>
      <c r="V115" s="14" t="e">
        <f t="shared" ca="1" si="0"/>
        <v>#NAME?</v>
      </c>
      <c r="W115" s="10" t="str">
        <f ca="1">IFERROR(__xludf.DUMMYFUNCTION("IF(COUNTIF($A:$A,A109)=1,
""Unique"",
IF(COUNTUNIQUE(FILTER($V$2:$V$934,$A$2:$A$934=A109))&gt;1,
""Conflicting Duplicate"",
""Exact Duplicate""))"),"Unique")</f>
        <v>Unique</v>
      </c>
      <c r="X115" s="10" t="b">
        <f t="shared" ca="1" si="1"/>
        <v>1</v>
      </c>
      <c r="Y115" s="10" t="str">
        <f t="shared" si="2"/>
        <v>Unique</v>
      </c>
      <c r="Z115" s="10"/>
      <c r="AA115" s="10" t="str">
        <f t="shared" si="3"/>
        <v>Clean</v>
      </c>
      <c r="AB115" s="15" t="str">
        <f t="shared" si="4"/>
        <v>Valid</v>
      </c>
      <c r="AC115" s="15">
        <v>0</v>
      </c>
      <c r="AD115" s="16" t="str">
        <f t="shared" si="5"/>
        <v>Valid</v>
      </c>
      <c r="AE115" s="16" t="str">
        <f t="shared" si="6"/>
        <v>Valid</v>
      </c>
      <c r="AF115" s="16" t="str">
        <f t="shared" ref="AF115:AG115" si="241">IF(ISNUMBER(B115),"Valid","Invalid")</f>
        <v>Valid</v>
      </c>
      <c r="AG115" s="16" t="str">
        <f t="shared" si="241"/>
        <v>Valid</v>
      </c>
      <c r="AH115" s="16" t="str">
        <f t="shared" ref="AH115:AI115" si="242">IF(OR(B115="",ISBLANK(B115)),"Missing","Valid")</f>
        <v>Valid</v>
      </c>
      <c r="AI115" s="16" t="str">
        <f t="shared" si="242"/>
        <v>Valid</v>
      </c>
      <c r="AJ115" s="16" t="b">
        <v>0</v>
      </c>
      <c r="AK115" s="16" t="b">
        <v>0</v>
      </c>
      <c r="AL115" s="16" t="b">
        <v>0</v>
      </c>
      <c r="AM115" s="16" t="b">
        <v>0</v>
      </c>
      <c r="AN115" s="16" t="b">
        <v>0</v>
      </c>
      <c r="AO115" s="16" t="b">
        <v>0</v>
      </c>
      <c r="AP115" s="16" t="b">
        <v>0</v>
      </c>
      <c r="AQ115" s="17">
        <f t="shared" si="9"/>
        <v>0.25</v>
      </c>
      <c r="AR115" s="12">
        <f t="shared" si="10"/>
        <v>2450.5875000000001</v>
      </c>
      <c r="AS115" s="18">
        <f t="shared" si="11"/>
        <v>2.5000000000545697E-3</v>
      </c>
      <c r="AT115" s="12">
        <f t="shared" si="12"/>
        <v>810.69749999999999</v>
      </c>
      <c r="AU115" s="18">
        <f t="shared" si="13"/>
        <v>2.5000000000545697E-3</v>
      </c>
      <c r="AV115" s="19">
        <f t="shared" si="14"/>
        <v>0.33081761006289306</v>
      </c>
      <c r="AW115" s="20" t="str">
        <f t="shared" si="15"/>
        <v>February</v>
      </c>
      <c r="AX115" s="21">
        <f t="shared" si="16"/>
        <v>2024</v>
      </c>
    </row>
    <row r="116" spans="1:50" ht="15.75" customHeight="1">
      <c r="A116" s="10" t="s">
        <v>481</v>
      </c>
      <c r="B116" s="11">
        <v>45560</v>
      </c>
      <c r="C116" s="11">
        <v>45565</v>
      </c>
      <c r="D116" s="10" t="s">
        <v>482</v>
      </c>
      <c r="E116" s="10" t="s">
        <v>108</v>
      </c>
      <c r="F116" s="10" t="s">
        <v>66</v>
      </c>
      <c r="G116" s="10" t="s">
        <v>54</v>
      </c>
      <c r="H116" s="10" t="s">
        <v>55</v>
      </c>
      <c r="I116" s="10" t="s">
        <v>56</v>
      </c>
      <c r="J116" s="10" t="s">
        <v>103</v>
      </c>
      <c r="K116" s="10" t="s">
        <v>104</v>
      </c>
      <c r="L116" s="10" t="s">
        <v>483</v>
      </c>
      <c r="M116" s="10" t="s">
        <v>60</v>
      </c>
      <c r="N116" s="12">
        <v>1</v>
      </c>
      <c r="O116" s="12">
        <v>4388.3999999999996</v>
      </c>
      <c r="P116" s="12">
        <v>0.1</v>
      </c>
      <c r="Q116" s="12">
        <v>3949.56</v>
      </c>
      <c r="R116" s="12">
        <v>3186.73</v>
      </c>
      <c r="S116" s="12">
        <v>762.83</v>
      </c>
      <c r="T116" s="10" t="s">
        <v>140</v>
      </c>
      <c r="U116" s="13" t="s">
        <v>97</v>
      </c>
      <c r="V116" s="14" t="e">
        <f t="shared" ca="1" si="0"/>
        <v>#NAME?</v>
      </c>
      <c r="W116" s="10" t="str">
        <f ca="1">IFERROR(__xludf.DUMMYFUNCTION("IF(COUNTIF($A:$A,A110)=1,
""Unique"",
IF(COUNTUNIQUE(FILTER($V$2:$V$934,$A$2:$A$934=A110))&gt;1,
""Conflicting Duplicate"",
""Exact Duplicate""))"),"Unique")</f>
        <v>Unique</v>
      </c>
      <c r="X116" s="10" t="b">
        <f t="shared" ca="1" si="1"/>
        <v>1</v>
      </c>
      <c r="Y116" s="10" t="str">
        <f t="shared" si="2"/>
        <v>Unique</v>
      </c>
      <c r="Z116" s="10"/>
      <c r="AA116" s="10" t="str">
        <f t="shared" si="3"/>
        <v>Clean</v>
      </c>
      <c r="AB116" s="15" t="str">
        <f t="shared" si="4"/>
        <v>Valid</v>
      </c>
      <c r="AC116" s="15">
        <v>5</v>
      </c>
      <c r="AD116" s="16" t="str">
        <f t="shared" si="5"/>
        <v>Valid</v>
      </c>
      <c r="AE116" s="16" t="str">
        <f t="shared" si="6"/>
        <v>Valid</v>
      </c>
      <c r="AF116" s="16" t="str">
        <f t="shared" ref="AF116:AG116" si="243">IF(ISNUMBER(B116),"Valid","Invalid")</f>
        <v>Valid</v>
      </c>
      <c r="AG116" s="16" t="str">
        <f t="shared" si="243"/>
        <v>Valid</v>
      </c>
      <c r="AH116" s="16" t="str">
        <f t="shared" ref="AH116:AI116" si="244">IF(OR(B116="",ISBLANK(B116)),"Missing","Valid")</f>
        <v>Valid</v>
      </c>
      <c r="AI116" s="16" t="str">
        <f t="shared" si="244"/>
        <v>Valid</v>
      </c>
      <c r="AJ116" s="16" t="b">
        <v>0</v>
      </c>
      <c r="AK116" s="16" t="b">
        <v>0</v>
      </c>
      <c r="AL116" s="16" t="b">
        <v>0</v>
      </c>
      <c r="AM116" s="16" t="b">
        <v>0</v>
      </c>
      <c r="AN116" s="16" t="b">
        <v>0</v>
      </c>
      <c r="AO116" s="16" t="b">
        <v>0</v>
      </c>
      <c r="AP116" s="16" t="b">
        <v>0</v>
      </c>
      <c r="AQ116" s="17">
        <f t="shared" si="9"/>
        <v>0.1</v>
      </c>
      <c r="AR116" s="12">
        <f t="shared" si="10"/>
        <v>3949.56</v>
      </c>
      <c r="AS116" s="18">
        <f t="shared" si="11"/>
        <v>0</v>
      </c>
      <c r="AT116" s="12">
        <f t="shared" si="12"/>
        <v>762.82999999999993</v>
      </c>
      <c r="AU116" s="18">
        <f t="shared" si="13"/>
        <v>0</v>
      </c>
      <c r="AV116" s="19">
        <f t="shared" si="14"/>
        <v>0.19314303365438173</v>
      </c>
      <c r="AW116" s="20" t="str">
        <f t="shared" si="15"/>
        <v>September</v>
      </c>
      <c r="AX116" s="21">
        <f t="shared" si="16"/>
        <v>2024</v>
      </c>
    </row>
    <row r="117" spans="1:50" ht="15.75" customHeight="1">
      <c r="A117" s="10" t="s">
        <v>484</v>
      </c>
      <c r="B117" s="11">
        <v>45653</v>
      </c>
      <c r="C117" s="11">
        <v>45658</v>
      </c>
      <c r="D117" s="10" t="s">
        <v>485</v>
      </c>
      <c r="E117" s="10" t="s">
        <v>294</v>
      </c>
      <c r="F117" s="10" t="s">
        <v>119</v>
      </c>
      <c r="G117" s="10" t="s">
        <v>83</v>
      </c>
      <c r="H117" s="10" t="s">
        <v>277</v>
      </c>
      <c r="I117" s="10" t="s">
        <v>278</v>
      </c>
      <c r="J117" s="10" t="s">
        <v>57</v>
      </c>
      <c r="K117" s="10" t="s">
        <v>182</v>
      </c>
      <c r="L117" s="10" t="s">
        <v>486</v>
      </c>
      <c r="M117" s="10" t="s">
        <v>73</v>
      </c>
      <c r="N117" s="12">
        <v>2</v>
      </c>
      <c r="O117" s="12">
        <v>446.34</v>
      </c>
      <c r="P117" s="12">
        <v>0.15</v>
      </c>
      <c r="Q117" s="12">
        <v>758.78</v>
      </c>
      <c r="R117" s="12">
        <v>490.74</v>
      </c>
      <c r="S117" s="12">
        <v>268.04000000000002</v>
      </c>
      <c r="T117" s="10" t="s">
        <v>61</v>
      </c>
      <c r="U117" s="13" t="s">
        <v>97</v>
      </c>
      <c r="V117" s="14" t="e">
        <f t="shared" ca="1" si="0"/>
        <v>#NAME?</v>
      </c>
      <c r="W117" s="10" t="str">
        <f ca="1">IFERROR(__xludf.DUMMYFUNCTION("IF(COUNTIF($A:$A,A111)=1,
""Unique"",
IF(COUNTUNIQUE(FILTER($V$2:$V$934,$A$2:$A$934=A111))&gt;1,
""Conflicting Duplicate"",
""Exact Duplicate""))"),"Unique")</f>
        <v>Unique</v>
      </c>
      <c r="X117" s="10" t="b">
        <f t="shared" ca="1" si="1"/>
        <v>1</v>
      </c>
      <c r="Y117" s="10" t="str">
        <f t="shared" si="2"/>
        <v>Unique</v>
      </c>
      <c r="Z117" s="10"/>
      <c r="AA117" s="10" t="str">
        <f t="shared" si="3"/>
        <v>Clean</v>
      </c>
      <c r="AB117" s="15" t="str">
        <f t="shared" si="4"/>
        <v>Valid</v>
      </c>
      <c r="AC117" s="15">
        <v>5</v>
      </c>
      <c r="AD117" s="16" t="str">
        <f t="shared" si="5"/>
        <v>Valid</v>
      </c>
      <c r="AE117" s="16" t="str">
        <f t="shared" si="6"/>
        <v>Valid</v>
      </c>
      <c r="AF117" s="16" t="str">
        <f t="shared" ref="AF117:AG117" si="245">IF(ISNUMBER(B117),"Valid","Invalid")</f>
        <v>Valid</v>
      </c>
      <c r="AG117" s="16" t="str">
        <f t="shared" si="245"/>
        <v>Valid</v>
      </c>
      <c r="AH117" s="16" t="str">
        <f t="shared" ref="AH117:AI117" si="246">IF(OR(B117="",ISBLANK(B117)),"Missing","Valid")</f>
        <v>Valid</v>
      </c>
      <c r="AI117" s="16" t="str">
        <f t="shared" si="246"/>
        <v>Valid</v>
      </c>
      <c r="AJ117" s="16" t="b">
        <v>0</v>
      </c>
      <c r="AK117" s="16" t="b">
        <v>0</v>
      </c>
      <c r="AL117" s="16" t="b">
        <v>0</v>
      </c>
      <c r="AM117" s="16" t="b">
        <v>0</v>
      </c>
      <c r="AN117" s="16" t="b">
        <v>0</v>
      </c>
      <c r="AO117" s="16" t="b">
        <v>0</v>
      </c>
      <c r="AP117" s="16" t="b">
        <v>0</v>
      </c>
      <c r="AQ117" s="17">
        <f t="shared" si="9"/>
        <v>0.15</v>
      </c>
      <c r="AR117" s="12">
        <f t="shared" si="10"/>
        <v>758.77799999999991</v>
      </c>
      <c r="AS117" s="18">
        <f t="shared" si="11"/>
        <v>2.0000000000663931E-3</v>
      </c>
      <c r="AT117" s="12">
        <f t="shared" si="12"/>
        <v>268.0379999999999</v>
      </c>
      <c r="AU117" s="18">
        <f t="shared" si="13"/>
        <v>2.0000000001232365E-3</v>
      </c>
      <c r="AV117" s="19">
        <f t="shared" si="14"/>
        <v>0.35324956706704719</v>
      </c>
      <c r="AW117" s="20" t="str">
        <f t="shared" si="15"/>
        <v>December</v>
      </c>
      <c r="AX117" s="21">
        <f t="shared" si="16"/>
        <v>2024</v>
      </c>
    </row>
    <row r="118" spans="1:50" ht="15.75" customHeight="1">
      <c r="A118" s="10" t="s">
        <v>487</v>
      </c>
      <c r="B118" s="11">
        <v>45703</v>
      </c>
      <c r="C118" s="11">
        <v>45707</v>
      </c>
      <c r="D118" s="10" t="s">
        <v>488</v>
      </c>
      <c r="E118" s="10" t="s">
        <v>91</v>
      </c>
      <c r="F118" s="10" t="s">
        <v>66</v>
      </c>
      <c r="G118" s="10" t="s">
        <v>234</v>
      </c>
      <c r="H118" s="10" t="s">
        <v>101</v>
      </c>
      <c r="I118" s="10" t="s">
        <v>102</v>
      </c>
      <c r="J118" s="10" t="s">
        <v>57</v>
      </c>
      <c r="K118" s="10" t="s">
        <v>182</v>
      </c>
      <c r="L118" s="10" t="s">
        <v>489</v>
      </c>
      <c r="M118" s="10" t="s">
        <v>79</v>
      </c>
      <c r="N118" s="12">
        <v>9</v>
      </c>
      <c r="O118" s="12">
        <v>531.99</v>
      </c>
      <c r="P118" s="12">
        <v>0.25</v>
      </c>
      <c r="Q118" s="12">
        <v>3590.93</v>
      </c>
      <c r="R118" s="12">
        <v>3061.39</v>
      </c>
      <c r="S118" s="12">
        <v>529.54</v>
      </c>
      <c r="T118" s="10" t="s">
        <v>184</v>
      </c>
      <c r="U118" s="13" t="s">
        <v>97</v>
      </c>
      <c r="V118" s="14" t="e">
        <f t="shared" ca="1" si="0"/>
        <v>#NAME?</v>
      </c>
      <c r="W118" s="10" t="str">
        <f ca="1">IFERROR(__xludf.DUMMYFUNCTION("IF(COUNTIF($A:$A,A112)=1,
""Unique"",
IF(COUNTUNIQUE(FILTER($V$2:$V$934,$A$2:$A$934=A112))&gt;1,
""Conflicting Duplicate"",
""Exact Duplicate""))"),"Unique")</f>
        <v>Unique</v>
      </c>
      <c r="X118" s="10" t="b">
        <f t="shared" ca="1" si="1"/>
        <v>1</v>
      </c>
      <c r="Y118" s="10" t="str">
        <f t="shared" si="2"/>
        <v>Unique</v>
      </c>
      <c r="Z118" s="10"/>
      <c r="AA118" s="10" t="str">
        <f t="shared" si="3"/>
        <v>Warning</v>
      </c>
      <c r="AB118" s="15" t="str">
        <f t="shared" si="4"/>
        <v>Valid</v>
      </c>
      <c r="AC118" s="15">
        <v>4</v>
      </c>
      <c r="AD118" s="16" t="str">
        <f t="shared" si="5"/>
        <v>Valid</v>
      </c>
      <c r="AE118" s="16" t="str">
        <f t="shared" si="6"/>
        <v>Valid</v>
      </c>
      <c r="AF118" s="16" t="str">
        <f t="shared" ref="AF118:AG118" si="247">IF(ISNUMBER(B118),"Valid","Invalid")</f>
        <v>Valid</v>
      </c>
      <c r="AG118" s="16" t="str">
        <f t="shared" si="247"/>
        <v>Valid</v>
      </c>
      <c r="AH118" s="16" t="str">
        <f t="shared" ref="AH118:AI118" si="248">IF(OR(B118="",ISBLANK(B118)),"Missing","Valid")</f>
        <v>Valid</v>
      </c>
      <c r="AI118" s="16" t="str">
        <f t="shared" si="248"/>
        <v>Valid</v>
      </c>
      <c r="AJ118" s="16" t="b">
        <v>1</v>
      </c>
      <c r="AK118" s="16" t="b">
        <v>0</v>
      </c>
      <c r="AL118" s="16" t="b">
        <v>0</v>
      </c>
      <c r="AM118" s="16" t="b">
        <v>0</v>
      </c>
      <c r="AN118" s="16" t="b">
        <v>0</v>
      </c>
      <c r="AO118" s="16" t="b">
        <v>0</v>
      </c>
      <c r="AP118" s="16" t="b">
        <v>1</v>
      </c>
      <c r="AQ118" s="17">
        <f t="shared" si="9"/>
        <v>0.25</v>
      </c>
      <c r="AR118" s="12">
        <f t="shared" si="10"/>
        <v>3590.9324999999999</v>
      </c>
      <c r="AS118" s="18">
        <f t="shared" si="11"/>
        <v>-2.5000000000545697E-3</v>
      </c>
      <c r="AT118" s="12">
        <f t="shared" si="12"/>
        <v>529.54250000000002</v>
      </c>
      <c r="AU118" s="18">
        <f t="shared" si="13"/>
        <v>-2.5000000000545697E-3</v>
      </c>
      <c r="AV118" s="19">
        <f t="shared" si="14"/>
        <v>0.14746657031286442</v>
      </c>
      <c r="AW118" s="20" t="str">
        <f t="shared" si="15"/>
        <v>February</v>
      </c>
      <c r="AX118" s="21">
        <f t="shared" si="16"/>
        <v>2025</v>
      </c>
    </row>
    <row r="119" spans="1:50" ht="15.75" customHeight="1">
      <c r="A119" s="10" t="s">
        <v>490</v>
      </c>
      <c r="B119" s="11">
        <v>45337</v>
      </c>
      <c r="C119" s="11">
        <v>45339</v>
      </c>
      <c r="D119" s="10" t="s">
        <v>491</v>
      </c>
      <c r="E119" s="10" t="s">
        <v>65</v>
      </c>
      <c r="F119" s="10" t="s">
        <v>124</v>
      </c>
      <c r="G119" s="10" t="s">
        <v>83</v>
      </c>
      <c r="H119" s="10" t="s">
        <v>277</v>
      </c>
      <c r="I119" s="10" t="s">
        <v>278</v>
      </c>
      <c r="J119" s="10" t="s">
        <v>103</v>
      </c>
      <c r="K119" s="10" t="s">
        <v>304</v>
      </c>
      <c r="L119" s="10" t="s">
        <v>492</v>
      </c>
      <c r="M119" s="10" t="s">
        <v>88</v>
      </c>
      <c r="N119" s="12">
        <v>9</v>
      </c>
      <c r="O119" s="12">
        <v>3324.55</v>
      </c>
      <c r="P119" s="10" t="s">
        <v>493</v>
      </c>
      <c r="Q119" s="12">
        <v>25432.81</v>
      </c>
      <c r="R119" s="12">
        <v>20370.16</v>
      </c>
      <c r="S119" s="12">
        <v>5062.6499999999996</v>
      </c>
      <c r="T119" s="10" t="s">
        <v>61</v>
      </c>
      <c r="U119" s="13" t="s">
        <v>62</v>
      </c>
      <c r="V119" s="14" t="e">
        <f t="shared" ca="1" si="0"/>
        <v>#NAME?</v>
      </c>
      <c r="W119" s="10" t="str">
        <f ca="1">IFERROR(__xludf.DUMMYFUNCTION("IF(COUNTIF($A:$A,A113)=1,
""Unique"",
IF(COUNTUNIQUE(FILTER($V$2:$V$934,$A$2:$A$934=A113))&gt;1,
""Conflicting Duplicate"",
""Exact Duplicate""))"),"Unique")</f>
        <v>Unique</v>
      </c>
      <c r="X119" s="10" t="b">
        <f t="shared" ca="1" si="1"/>
        <v>1</v>
      </c>
      <c r="Y119" s="10" t="str">
        <f t="shared" si="2"/>
        <v>Unique</v>
      </c>
      <c r="Z119" s="10"/>
      <c r="AA119" s="10" t="str">
        <f t="shared" si="3"/>
        <v>Invalid</v>
      </c>
      <c r="AB119" s="15" t="str">
        <f t="shared" si="4"/>
        <v>Valid</v>
      </c>
      <c r="AC119" s="15">
        <v>2</v>
      </c>
      <c r="AD119" s="16" t="str">
        <f t="shared" si="5"/>
        <v>Valid</v>
      </c>
      <c r="AE119" s="16" t="str">
        <f t="shared" si="6"/>
        <v>Valid</v>
      </c>
      <c r="AF119" s="16" t="str">
        <f t="shared" ref="AF119:AG119" si="249">IF(ISNUMBER(B119),"Valid","Invalid")</f>
        <v>Valid</v>
      </c>
      <c r="AG119" s="16" t="str">
        <f t="shared" si="249"/>
        <v>Valid</v>
      </c>
      <c r="AH119" s="16" t="str">
        <f t="shared" ref="AH119:AI119" si="250">IF(OR(B119="",ISBLANK(B119)),"Missing","Valid")</f>
        <v>Valid</v>
      </c>
      <c r="AI119" s="16" t="str">
        <f t="shared" si="250"/>
        <v>Valid</v>
      </c>
      <c r="AJ119" s="16" t="b">
        <v>0</v>
      </c>
      <c r="AK119" s="16" t="b">
        <v>0</v>
      </c>
      <c r="AL119" s="16" t="b">
        <v>0</v>
      </c>
      <c r="AM119" s="16" t="b">
        <v>0</v>
      </c>
      <c r="AN119" s="16" t="b">
        <v>0</v>
      </c>
      <c r="AO119" s="16" t="b">
        <v>0</v>
      </c>
      <c r="AP119" s="16" t="b">
        <v>0</v>
      </c>
      <c r="AQ119" s="17" t="str">
        <f t="shared" si="9"/>
        <v>70%</v>
      </c>
      <c r="AR119" s="12">
        <f t="shared" si="10"/>
        <v>8976.2850000000017</v>
      </c>
      <c r="AS119" s="18">
        <f t="shared" si="11"/>
        <v>16456.525000000001</v>
      </c>
      <c r="AT119" s="12">
        <f t="shared" si="12"/>
        <v>-11393.874999999998</v>
      </c>
      <c r="AU119" s="18">
        <f t="shared" si="13"/>
        <v>16456.524999999998</v>
      </c>
      <c r="AV119" s="19">
        <f t="shared" si="14"/>
        <v>-1.2693307977632167</v>
      </c>
      <c r="AW119" s="20" t="str">
        <f t="shared" si="15"/>
        <v>February</v>
      </c>
      <c r="AX119" s="21">
        <f t="shared" si="16"/>
        <v>2024</v>
      </c>
    </row>
    <row r="120" spans="1:50" ht="15.75" customHeight="1">
      <c r="A120" s="10" t="s">
        <v>494</v>
      </c>
      <c r="B120" s="11">
        <v>45453</v>
      </c>
      <c r="C120" s="11">
        <v>45461</v>
      </c>
      <c r="D120" s="10" t="s">
        <v>495</v>
      </c>
      <c r="E120" s="10" t="s">
        <v>100</v>
      </c>
      <c r="F120" s="10" t="s">
        <v>124</v>
      </c>
      <c r="G120" s="10" t="s">
        <v>83</v>
      </c>
      <c r="H120" s="10" t="s">
        <v>113</v>
      </c>
      <c r="I120" s="10" t="s">
        <v>114</v>
      </c>
      <c r="J120" s="10" t="s">
        <v>103</v>
      </c>
      <c r="K120" s="10" t="s">
        <v>109</v>
      </c>
      <c r="L120" s="10" t="s">
        <v>496</v>
      </c>
      <c r="M120" s="10" t="s">
        <v>73</v>
      </c>
      <c r="N120" s="12">
        <v>5</v>
      </c>
      <c r="O120" s="12">
        <v>1580.27</v>
      </c>
      <c r="P120" s="12">
        <v>0.2</v>
      </c>
      <c r="Q120" s="12">
        <v>6321.08</v>
      </c>
      <c r="R120" s="12">
        <v>4407.22</v>
      </c>
      <c r="S120" s="12">
        <v>1913.86</v>
      </c>
      <c r="T120" s="10" t="s">
        <v>61</v>
      </c>
      <c r="U120" s="13" t="s">
        <v>62</v>
      </c>
      <c r="V120" s="14" t="e">
        <f t="shared" ca="1" si="0"/>
        <v>#NAME?</v>
      </c>
      <c r="W120" s="10" t="str">
        <f ca="1">IFERROR(__xludf.DUMMYFUNCTION("IF(COUNTIF($A:$A,A114)=1,
""Unique"",
IF(COUNTUNIQUE(FILTER($V$2:$V$934,$A$2:$A$934=A114))&gt;1,
""Conflicting Duplicate"",
""Exact Duplicate""))"),"Unique")</f>
        <v>Unique</v>
      </c>
      <c r="X120" s="10" t="b">
        <f t="shared" ca="1" si="1"/>
        <v>1</v>
      </c>
      <c r="Y120" s="10" t="str">
        <f t="shared" si="2"/>
        <v>Unique</v>
      </c>
      <c r="Z120" s="10"/>
      <c r="AA120" s="10" t="str">
        <f t="shared" si="3"/>
        <v>Clean</v>
      </c>
      <c r="AB120" s="15" t="str">
        <f t="shared" si="4"/>
        <v>Valid</v>
      </c>
      <c r="AC120" s="15">
        <v>8</v>
      </c>
      <c r="AD120" s="16" t="str">
        <f t="shared" si="5"/>
        <v>Valid</v>
      </c>
      <c r="AE120" s="16" t="str">
        <f t="shared" si="6"/>
        <v>Valid</v>
      </c>
      <c r="AF120" s="16" t="str">
        <f t="shared" ref="AF120:AG120" si="251">IF(ISNUMBER(B120),"Valid","Invalid")</f>
        <v>Valid</v>
      </c>
      <c r="AG120" s="16" t="str">
        <f t="shared" si="251"/>
        <v>Valid</v>
      </c>
      <c r="AH120" s="16" t="str">
        <f t="shared" ref="AH120:AI120" si="252">IF(OR(B120="",ISBLANK(B120)),"Missing","Valid")</f>
        <v>Valid</v>
      </c>
      <c r="AI120" s="16" t="str">
        <f t="shared" si="252"/>
        <v>Valid</v>
      </c>
      <c r="AJ120" s="16" t="b">
        <v>0</v>
      </c>
      <c r="AK120" s="16" t="b">
        <v>0</v>
      </c>
      <c r="AL120" s="16" t="b">
        <v>0</v>
      </c>
      <c r="AM120" s="16" t="b">
        <v>0</v>
      </c>
      <c r="AN120" s="16" t="b">
        <v>0</v>
      </c>
      <c r="AO120" s="16" t="b">
        <v>0</v>
      </c>
      <c r="AP120" s="16" t="b">
        <v>0</v>
      </c>
      <c r="AQ120" s="17">
        <f t="shared" si="9"/>
        <v>0.2</v>
      </c>
      <c r="AR120" s="12">
        <f t="shared" si="10"/>
        <v>6321.0800000000008</v>
      </c>
      <c r="AS120" s="18">
        <f t="shared" si="11"/>
        <v>0</v>
      </c>
      <c r="AT120" s="12">
        <f t="shared" si="12"/>
        <v>1913.8600000000006</v>
      </c>
      <c r="AU120" s="18">
        <f t="shared" si="13"/>
        <v>0</v>
      </c>
      <c r="AV120" s="19">
        <f t="shared" si="14"/>
        <v>0.30277420947053357</v>
      </c>
      <c r="AW120" s="20" t="str">
        <f t="shared" si="15"/>
        <v>June</v>
      </c>
      <c r="AX120" s="21">
        <f t="shared" si="16"/>
        <v>2024</v>
      </c>
    </row>
    <row r="121" spans="1:50" ht="15.75" customHeight="1">
      <c r="A121" s="10" t="s">
        <v>497</v>
      </c>
      <c r="B121" s="11">
        <v>45455</v>
      </c>
      <c r="C121" s="11">
        <v>45462</v>
      </c>
      <c r="D121" s="10" t="s">
        <v>498</v>
      </c>
      <c r="E121" s="10" t="s">
        <v>118</v>
      </c>
      <c r="F121" s="10" t="s">
        <v>66</v>
      </c>
      <c r="G121" s="10" t="s">
        <v>83</v>
      </c>
      <c r="H121" s="10" t="s">
        <v>214</v>
      </c>
      <c r="I121" s="10" t="s">
        <v>215</v>
      </c>
      <c r="J121" s="10" t="s">
        <v>70</v>
      </c>
      <c r="K121" s="10" t="s">
        <v>95</v>
      </c>
      <c r="L121" s="10" t="s">
        <v>499</v>
      </c>
      <c r="M121" s="10" t="s">
        <v>88</v>
      </c>
      <c r="N121" s="12">
        <v>8</v>
      </c>
      <c r="O121" s="12">
        <v>314.05</v>
      </c>
      <c r="P121" s="12">
        <v>0.25</v>
      </c>
      <c r="Q121" s="12">
        <v>1884.3</v>
      </c>
      <c r="R121" s="12">
        <v>1517.69</v>
      </c>
      <c r="S121" s="12">
        <v>366.61</v>
      </c>
      <c r="T121" s="10" t="s">
        <v>131</v>
      </c>
      <c r="U121" s="13" t="s">
        <v>132</v>
      </c>
      <c r="V121" s="14" t="e">
        <f t="shared" ca="1" si="0"/>
        <v>#NAME?</v>
      </c>
      <c r="W121" s="10" t="str">
        <f ca="1">IFERROR(__xludf.DUMMYFUNCTION("IF(COUNTIF($A:$A,A115)=1,
""Unique"",
IF(COUNTUNIQUE(FILTER($V$2:$V$934,$A$2:$A$934=A115))&gt;1,
""Conflicting Duplicate"",
""Exact Duplicate""))"),"Unique")</f>
        <v>Unique</v>
      </c>
      <c r="X121" s="10" t="b">
        <f t="shared" ca="1" si="1"/>
        <v>1</v>
      </c>
      <c r="Y121" s="10" t="str">
        <f t="shared" si="2"/>
        <v>Unique</v>
      </c>
      <c r="Z121" s="10"/>
      <c r="AA121" s="10" t="str">
        <f t="shared" si="3"/>
        <v>Clean</v>
      </c>
      <c r="AB121" s="15" t="str">
        <f t="shared" si="4"/>
        <v>Valid</v>
      </c>
      <c r="AC121" s="15">
        <v>7</v>
      </c>
      <c r="AD121" s="16" t="str">
        <f t="shared" si="5"/>
        <v>Valid</v>
      </c>
      <c r="AE121" s="16" t="str">
        <f t="shared" si="6"/>
        <v>Valid</v>
      </c>
      <c r="AF121" s="16" t="str">
        <f t="shared" ref="AF121:AG121" si="253">IF(ISNUMBER(B121),"Valid","Invalid")</f>
        <v>Valid</v>
      </c>
      <c r="AG121" s="16" t="str">
        <f t="shared" si="253"/>
        <v>Valid</v>
      </c>
      <c r="AH121" s="16" t="str">
        <f t="shared" ref="AH121:AI121" si="254">IF(OR(B121="",ISBLANK(B121)),"Missing","Valid")</f>
        <v>Valid</v>
      </c>
      <c r="AI121" s="16" t="str">
        <f t="shared" si="254"/>
        <v>Valid</v>
      </c>
      <c r="AJ121" s="16" t="b">
        <v>0</v>
      </c>
      <c r="AK121" s="16" t="b">
        <v>0</v>
      </c>
      <c r="AL121" s="16" t="b">
        <v>0</v>
      </c>
      <c r="AM121" s="16" t="b">
        <v>0</v>
      </c>
      <c r="AN121" s="16" t="b">
        <v>0</v>
      </c>
      <c r="AO121" s="16" t="b">
        <v>0</v>
      </c>
      <c r="AP121" s="16" t="b">
        <v>0</v>
      </c>
      <c r="AQ121" s="17">
        <f t="shared" si="9"/>
        <v>0.25</v>
      </c>
      <c r="AR121" s="12">
        <f t="shared" si="10"/>
        <v>1884.3000000000002</v>
      </c>
      <c r="AS121" s="18">
        <f t="shared" si="11"/>
        <v>0</v>
      </c>
      <c r="AT121" s="12">
        <f t="shared" si="12"/>
        <v>366.61000000000013</v>
      </c>
      <c r="AU121" s="18">
        <f t="shared" si="13"/>
        <v>0</v>
      </c>
      <c r="AV121" s="19">
        <f t="shared" si="14"/>
        <v>0.19456031417502526</v>
      </c>
      <c r="AW121" s="20" t="str">
        <f t="shared" si="15"/>
        <v>June</v>
      </c>
      <c r="AX121" s="21">
        <f t="shared" si="16"/>
        <v>2024</v>
      </c>
    </row>
    <row r="122" spans="1:50" ht="15.75" customHeight="1">
      <c r="A122" s="10" t="s">
        <v>500</v>
      </c>
      <c r="B122" s="11">
        <v>45514</v>
      </c>
      <c r="C122" s="11">
        <v>45522</v>
      </c>
      <c r="D122" s="10" t="s">
        <v>501</v>
      </c>
      <c r="E122" s="10" t="s">
        <v>161</v>
      </c>
      <c r="F122" s="10" t="s">
        <v>66</v>
      </c>
      <c r="G122" s="10" t="s">
        <v>67</v>
      </c>
      <c r="H122" s="10" t="s">
        <v>174</v>
      </c>
      <c r="I122" s="10" t="s">
        <v>175</v>
      </c>
      <c r="J122" s="10" t="s">
        <v>103</v>
      </c>
      <c r="K122" s="10" t="s">
        <v>200</v>
      </c>
      <c r="L122" s="10" t="s">
        <v>502</v>
      </c>
      <c r="M122" s="10" t="s">
        <v>88</v>
      </c>
      <c r="N122" s="12">
        <v>1</v>
      </c>
      <c r="O122" s="12">
        <v>1823.67</v>
      </c>
      <c r="P122" s="12">
        <v>0.2</v>
      </c>
      <c r="Q122" s="12">
        <v>1458.94</v>
      </c>
      <c r="R122" s="12">
        <v>893.2</v>
      </c>
      <c r="S122" s="12">
        <v>565.74</v>
      </c>
      <c r="T122" s="10" t="s">
        <v>61</v>
      </c>
      <c r="U122" s="13" t="s">
        <v>132</v>
      </c>
      <c r="V122" s="14" t="e">
        <f t="shared" ca="1" si="0"/>
        <v>#NAME?</v>
      </c>
      <c r="W122" s="10" t="str">
        <f ca="1">IFERROR(__xludf.DUMMYFUNCTION("IF(COUNTIF($A:$A,A116)=1,
""Unique"",
IF(COUNTUNIQUE(FILTER($V$2:$V$934,$A$2:$A$934=A116))&gt;1,
""Conflicting Duplicate"",
""Exact Duplicate""))"),"Unique")</f>
        <v>Unique</v>
      </c>
      <c r="X122" s="10" t="b">
        <f t="shared" ca="1" si="1"/>
        <v>1</v>
      </c>
      <c r="Y122" s="10" t="str">
        <f t="shared" si="2"/>
        <v>Unique</v>
      </c>
      <c r="Z122" s="10"/>
      <c r="AA122" s="10" t="str">
        <f t="shared" si="3"/>
        <v>Clean</v>
      </c>
      <c r="AB122" s="15" t="str">
        <f t="shared" si="4"/>
        <v>Valid</v>
      </c>
      <c r="AC122" s="15">
        <v>8</v>
      </c>
      <c r="AD122" s="16" t="str">
        <f t="shared" si="5"/>
        <v>Valid</v>
      </c>
      <c r="AE122" s="16" t="str">
        <f t="shared" si="6"/>
        <v>Valid</v>
      </c>
      <c r="AF122" s="16" t="str">
        <f t="shared" ref="AF122:AG122" si="255">IF(ISNUMBER(B122),"Valid","Invalid")</f>
        <v>Valid</v>
      </c>
      <c r="AG122" s="16" t="str">
        <f t="shared" si="255"/>
        <v>Valid</v>
      </c>
      <c r="AH122" s="16" t="str">
        <f t="shared" ref="AH122:AI122" si="256">IF(OR(B122="",ISBLANK(B122)),"Missing","Valid")</f>
        <v>Valid</v>
      </c>
      <c r="AI122" s="16" t="str">
        <f t="shared" si="256"/>
        <v>Valid</v>
      </c>
      <c r="AJ122" s="16" t="b">
        <v>0</v>
      </c>
      <c r="AK122" s="16" t="b">
        <v>0</v>
      </c>
      <c r="AL122" s="16" t="b">
        <v>0</v>
      </c>
      <c r="AM122" s="16" t="b">
        <v>0</v>
      </c>
      <c r="AN122" s="16" t="b">
        <v>0</v>
      </c>
      <c r="AO122" s="16" t="b">
        <v>0</v>
      </c>
      <c r="AP122" s="16" t="b">
        <v>0</v>
      </c>
      <c r="AQ122" s="17">
        <f t="shared" si="9"/>
        <v>0.2</v>
      </c>
      <c r="AR122" s="12">
        <f t="shared" si="10"/>
        <v>1458.9360000000001</v>
      </c>
      <c r="AS122" s="18">
        <f t="shared" si="11"/>
        <v>3.9999999999054126E-3</v>
      </c>
      <c r="AT122" s="12">
        <f t="shared" si="12"/>
        <v>565.7360000000001</v>
      </c>
      <c r="AU122" s="18">
        <f t="shared" si="13"/>
        <v>3.9999999999054126E-3</v>
      </c>
      <c r="AV122" s="19">
        <f t="shared" si="14"/>
        <v>0.38777300717783375</v>
      </c>
      <c r="AW122" s="20" t="str">
        <f t="shared" si="15"/>
        <v>August</v>
      </c>
      <c r="AX122" s="21">
        <f t="shared" si="16"/>
        <v>2024</v>
      </c>
    </row>
    <row r="123" spans="1:50" ht="15.75" customHeight="1">
      <c r="A123" s="10" t="s">
        <v>503</v>
      </c>
      <c r="B123" s="11">
        <v>45891</v>
      </c>
      <c r="C123" s="11">
        <v>45895</v>
      </c>
      <c r="D123" s="10" t="s">
        <v>504</v>
      </c>
      <c r="E123" s="10" t="s">
        <v>294</v>
      </c>
      <c r="F123" s="10" t="s">
        <v>66</v>
      </c>
      <c r="G123" s="10" t="s">
        <v>83</v>
      </c>
      <c r="H123" s="10" t="s">
        <v>113</v>
      </c>
      <c r="I123" s="10" t="s">
        <v>114</v>
      </c>
      <c r="J123" s="10" t="s">
        <v>103</v>
      </c>
      <c r="K123" s="10" t="s">
        <v>304</v>
      </c>
      <c r="L123" s="10" t="s">
        <v>505</v>
      </c>
      <c r="M123" s="10" t="s">
        <v>60</v>
      </c>
      <c r="N123" s="12">
        <v>5</v>
      </c>
      <c r="O123" s="12">
        <v>3482.92</v>
      </c>
      <c r="P123" s="12">
        <v>0</v>
      </c>
      <c r="Q123" s="12">
        <v>17414.599999999999</v>
      </c>
      <c r="R123" s="12">
        <v>11760.91</v>
      </c>
      <c r="S123" s="12">
        <v>5653.69</v>
      </c>
      <c r="T123" s="10" t="s">
        <v>131</v>
      </c>
      <c r="U123" s="13" t="s">
        <v>97</v>
      </c>
      <c r="V123" s="14" t="e">
        <f t="shared" ca="1" si="0"/>
        <v>#NAME?</v>
      </c>
      <c r="W123" s="10" t="str">
        <f ca="1">IFERROR(__xludf.DUMMYFUNCTION("IF(COUNTIF($A:$A,A117)=1,
""Unique"",
IF(COUNTUNIQUE(FILTER($V$2:$V$934,$A$2:$A$934=A117))&gt;1,
""Conflicting Duplicate"",
""Exact Duplicate""))"),"Unique")</f>
        <v>Unique</v>
      </c>
      <c r="X123" s="10" t="b">
        <f t="shared" ca="1" si="1"/>
        <v>1</v>
      </c>
      <c r="Y123" s="10" t="str">
        <f t="shared" si="2"/>
        <v>Unique</v>
      </c>
      <c r="Z123" s="10"/>
      <c r="AA123" s="10" t="str">
        <f t="shared" si="3"/>
        <v>Clean</v>
      </c>
      <c r="AB123" s="15" t="str">
        <f t="shared" si="4"/>
        <v>Valid</v>
      </c>
      <c r="AC123" s="15">
        <v>4</v>
      </c>
      <c r="AD123" s="16" t="str">
        <f t="shared" si="5"/>
        <v>Valid</v>
      </c>
      <c r="AE123" s="16" t="str">
        <f t="shared" si="6"/>
        <v>Valid</v>
      </c>
      <c r="AF123" s="16" t="str">
        <f t="shared" ref="AF123:AG123" si="257">IF(ISNUMBER(B123),"Valid","Invalid")</f>
        <v>Valid</v>
      </c>
      <c r="AG123" s="16" t="str">
        <f t="shared" si="257"/>
        <v>Valid</v>
      </c>
      <c r="AH123" s="16" t="str">
        <f t="shared" ref="AH123:AI123" si="258">IF(OR(B123="",ISBLANK(B123)),"Missing","Valid")</f>
        <v>Valid</v>
      </c>
      <c r="AI123" s="16" t="str">
        <f t="shared" si="258"/>
        <v>Valid</v>
      </c>
      <c r="AJ123" s="16" t="b">
        <v>0</v>
      </c>
      <c r="AK123" s="16" t="b">
        <v>0</v>
      </c>
      <c r="AL123" s="16" t="b">
        <v>0</v>
      </c>
      <c r="AM123" s="16" t="b">
        <v>0</v>
      </c>
      <c r="AN123" s="16" t="b">
        <v>0</v>
      </c>
      <c r="AO123" s="16" t="b">
        <v>0</v>
      </c>
      <c r="AP123" s="16" t="b">
        <v>0</v>
      </c>
      <c r="AQ123" s="17">
        <f t="shared" si="9"/>
        <v>0</v>
      </c>
      <c r="AR123" s="12">
        <f t="shared" si="10"/>
        <v>17414.599999999999</v>
      </c>
      <c r="AS123" s="18">
        <f t="shared" si="11"/>
        <v>0</v>
      </c>
      <c r="AT123" s="12">
        <f t="shared" si="12"/>
        <v>5653.6899999999987</v>
      </c>
      <c r="AU123" s="18">
        <f t="shared" si="13"/>
        <v>0</v>
      </c>
      <c r="AV123" s="19">
        <f t="shared" si="14"/>
        <v>0.3246523032398102</v>
      </c>
      <c r="AW123" s="20" t="str">
        <f t="shared" si="15"/>
        <v>August</v>
      </c>
      <c r="AX123" s="21">
        <f t="shared" si="16"/>
        <v>2025</v>
      </c>
    </row>
    <row r="124" spans="1:50" ht="15.75" customHeight="1">
      <c r="A124" s="10" t="s">
        <v>506</v>
      </c>
      <c r="B124" s="11">
        <v>45626</v>
      </c>
      <c r="C124" s="11">
        <v>45630</v>
      </c>
      <c r="D124" s="10" t="s">
        <v>507</v>
      </c>
      <c r="E124" s="10" t="s">
        <v>91</v>
      </c>
      <c r="F124" s="10" t="s">
        <v>66</v>
      </c>
      <c r="G124" s="10" t="s">
        <v>67</v>
      </c>
      <c r="H124" s="10" t="s">
        <v>195</v>
      </c>
      <c r="I124" s="10" t="s">
        <v>196</v>
      </c>
      <c r="J124" s="10" t="s">
        <v>70</v>
      </c>
      <c r="K124" s="10" t="s">
        <v>95</v>
      </c>
      <c r="L124" s="10" t="s">
        <v>508</v>
      </c>
      <c r="M124" s="10" t="s">
        <v>60</v>
      </c>
      <c r="N124" s="12">
        <v>3</v>
      </c>
      <c r="O124" s="12">
        <v>170.35</v>
      </c>
      <c r="P124" s="12">
        <v>0</v>
      </c>
      <c r="Q124" s="12">
        <v>511.05</v>
      </c>
      <c r="R124" s="12">
        <v>367.18</v>
      </c>
      <c r="S124" s="12">
        <v>143.87</v>
      </c>
      <c r="T124" s="10" t="s">
        <v>61</v>
      </c>
      <c r="U124" s="13" t="s">
        <v>62</v>
      </c>
      <c r="V124" s="14" t="e">
        <f t="shared" ca="1" si="0"/>
        <v>#NAME?</v>
      </c>
      <c r="W124" s="10" t="str">
        <f ca="1">IFERROR(__xludf.DUMMYFUNCTION("IF(COUNTIF($A:$A,A118)=1,
""Unique"",
IF(COUNTUNIQUE(FILTER($V$2:$V$934,$A$2:$A$934=A118))&gt;1,
""Conflicting Duplicate"",
""Exact Duplicate""))"),"Unique")</f>
        <v>Unique</v>
      </c>
      <c r="X124" s="10" t="b">
        <f t="shared" ca="1" si="1"/>
        <v>1</v>
      </c>
      <c r="Y124" s="10" t="str">
        <f t="shared" si="2"/>
        <v>Unique</v>
      </c>
      <c r="Z124" s="10"/>
      <c r="AA124" s="10" t="str">
        <f t="shared" si="3"/>
        <v>Clean</v>
      </c>
      <c r="AB124" s="15" t="str">
        <f t="shared" si="4"/>
        <v>Valid</v>
      </c>
      <c r="AC124" s="15">
        <v>4</v>
      </c>
      <c r="AD124" s="16" t="str">
        <f t="shared" si="5"/>
        <v>Valid</v>
      </c>
      <c r="AE124" s="16" t="str">
        <f t="shared" si="6"/>
        <v>Valid</v>
      </c>
      <c r="AF124" s="16" t="str">
        <f t="shared" ref="AF124:AG124" si="259">IF(ISNUMBER(B124),"Valid","Invalid")</f>
        <v>Valid</v>
      </c>
      <c r="AG124" s="16" t="str">
        <f t="shared" si="259"/>
        <v>Valid</v>
      </c>
      <c r="AH124" s="16" t="str">
        <f t="shared" ref="AH124:AI124" si="260">IF(OR(B124="",ISBLANK(B124)),"Missing","Valid")</f>
        <v>Valid</v>
      </c>
      <c r="AI124" s="16" t="str">
        <f t="shared" si="260"/>
        <v>Valid</v>
      </c>
      <c r="AJ124" s="16" t="b">
        <v>0</v>
      </c>
      <c r="AK124" s="16" t="b">
        <v>0</v>
      </c>
      <c r="AL124" s="16" t="b">
        <v>0</v>
      </c>
      <c r="AM124" s="16" t="b">
        <v>0</v>
      </c>
      <c r="AN124" s="16" t="b">
        <v>0</v>
      </c>
      <c r="AO124" s="16" t="b">
        <v>0</v>
      </c>
      <c r="AP124" s="16" t="b">
        <v>0</v>
      </c>
      <c r="AQ124" s="17">
        <f t="shared" si="9"/>
        <v>0</v>
      </c>
      <c r="AR124" s="12">
        <f t="shared" si="10"/>
        <v>511.04999999999995</v>
      </c>
      <c r="AS124" s="18">
        <f t="shared" si="11"/>
        <v>0</v>
      </c>
      <c r="AT124" s="12">
        <f t="shared" si="12"/>
        <v>143.86999999999995</v>
      </c>
      <c r="AU124" s="18">
        <f t="shared" si="13"/>
        <v>0</v>
      </c>
      <c r="AV124" s="19">
        <f t="shared" si="14"/>
        <v>0.28151844242246349</v>
      </c>
      <c r="AW124" s="20" t="str">
        <f t="shared" si="15"/>
        <v>November</v>
      </c>
      <c r="AX124" s="21">
        <f t="shared" si="16"/>
        <v>2024</v>
      </c>
    </row>
    <row r="125" spans="1:50" ht="15.75" customHeight="1">
      <c r="A125" s="10" t="s">
        <v>509</v>
      </c>
      <c r="B125" s="11">
        <v>45436</v>
      </c>
      <c r="C125" s="11">
        <v>45437</v>
      </c>
      <c r="D125" s="10" t="s">
        <v>510</v>
      </c>
      <c r="E125" s="10" t="s">
        <v>161</v>
      </c>
      <c r="F125" s="10" t="s">
        <v>66</v>
      </c>
      <c r="G125" s="10" t="s">
        <v>54</v>
      </c>
      <c r="H125" s="10" t="s">
        <v>151</v>
      </c>
      <c r="I125" s="10" t="s">
        <v>152</v>
      </c>
      <c r="J125" s="10" t="s">
        <v>103</v>
      </c>
      <c r="K125" s="10" t="s">
        <v>109</v>
      </c>
      <c r="L125" s="10" t="s">
        <v>511</v>
      </c>
      <c r="M125" s="10" t="s">
        <v>73</v>
      </c>
      <c r="N125" s="12">
        <v>1</v>
      </c>
      <c r="O125" s="12">
        <v>634.13</v>
      </c>
      <c r="P125" s="12">
        <v>0</v>
      </c>
      <c r="Q125" s="12">
        <v>634.13</v>
      </c>
      <c r="R125" s="12">
        <v>453.35</v>
      </c>
      <c r="S125" s="12">
        <v>180.78</v>
      </c>
      <c r="T125" s="10" t="s">
        <v>131</v>
      </c>
      <c r="U125" s="13" t="s">
        <v>97</v>
      </c>
      <c r="V125" s="14" t="e">
        <f t="shared" ca="1" si="0"/>
        <v>#NAME?</v>
      </c>
      <c r="W125" s="10" t="str">
        <f ca="1">IFERROR(__xludf.DUMMYFUNCTION("IF(COUNTIF($A:$A,A119)=1,
""Unique"",
IF(COUNTUNIQUE(FILTER($V$2:$V$934,$A$2:$A$934=A119))&gt;1,
""Conflicting Duplicate"",
""Exact Duplicate""))"),"Unique")</f>
        <v>Unique</v>
      </c>
      <c r="X125" s="10" t="b">
        <f t="shared" ca="1" si="1"/>
        <v>1</v>
      </c>
      <c r="Y125" s="10" t="str">
        <f t="shared" si="2"/>
        <v>Duplicate Order ID</v>
      </c>
      <c r="Z125" s="10"/>
      <c r="AA125" s="10" t="str">
        <f t="shared" si="3"/>
        <v>Clean</v>
      </c>
      <c r="AB125" s="15" t="str">
        <f t="shared" si="4"/>
        <v>Valid</v>
      </c>
      <c r="AC125" s="15">
        <v>1</v>
      </c>
      <c r="AD125" s="16" t="str">
        <f t="shared" si="5"/>
        <v>Valid</v>
      </c>
      <c r="AE125" s="16" t="str">
        <f t="shared" si="6"/>
        <v>Valid</v>
      </c>
      <c r="AF125" s="16" t="str">
        <f t="shared" ref="AF125:AG125" si="261">IF(ISNUMBER(B125),"Valid","Invalid")</f>
        <v>Valid</v>
      </c>
      <c r="AG125" s="16" t="str">
        <f t="shared" si="261"/>
        <v>Valid</v>
      </c>
      <c r="AH125" s="16" t="str">
        <f t="shared" ref="AH125:AI125" si="262">IF(OR(B125="",ISBLANK(B125)),"Missing","Valid")</f>
        <v>Valid</v>
      </c>
      <c r="AI125" s="16" t="str">
        <f t="shared" si="262"/>
        <v>Valid</v>
      </c>
      <c r="AJ125" s="16" t="b">
        <v>0</v>
      </c>
      <c r="AK125" s="16" t="b">
        <v>0</v>
      </c>
      <c r="AL125" s="16" t="b">
        <v>0</v>
      </c>
      <c r="AM125" s="16" t="b">
        <v>0</v>
      </c>
      <c r="AN125" s="16" t="b">
        <v>0</v>
      </c>
      <c r="AO125" s="16" t="b">
        <v>0</v>
      </c>
      <c r="AP125" s="16" t="b">
        <v>0</v>
      </c>
      <c r="AQ125" s="17">
        <f t="shared" si="9"/>
        <v>0</v>
      </c>
      <c r="AR125" s="12">
        <f t="shared" si="10"/>
        <v>634.13</v>
      </c>
      <c r="AS125" s="18">
        <f t="shared" si="11"/>
        <v>0</v>
      </c>
      <c r="AT125" s="12">
        <f t="shared" si="12"/>
        <v>180.77999999999997</v>
      </c>
      <c r="AU125" s="18">
        <f t="shared" si="13"/>
        <v>0</v>
      </c>
      <c r="AV125" s="19">
        <f t="shared" si="14"/>
        <v>0.28508350022865969</v>
      </c>
      <c r="AW125" s="20" t="str">
        <f t="shared" si="15"/>
        <v>May</v>
      </c>
      <c r="AX125" s="21">
        <f t="shared" si="16"/>
        <v>2024</v>
      </c>
    </row>
    <row r="126" spans="1:50" ht="15.75" customHeight="1">
      <c r="A126" s="10" t="s">
        <v>512</v>
      </c>
      <c r="B126" s="11">
        <v>45494</v>
      </c>
      <c r="C126" s="11">
        <v>45497</v>
      </c>
      <c r="D126" s="10" t="s">
        <v>513</v>
      </c>
      <c r="E126" s="10" t="s">
        <v>76</v>
      </c>
      <c r="F126" s="10" t="s">
        <v>119</v>
      </c>
      <c r="G126" s="10" t="s">
        <v>83</v>
      </c>
      <c r="H126" s="10" t="s">
        <v>204</v>
      </c>
      <c r="I126" s="10" t="s">
        <v>205</v>
      </c>
      <c r="J126" s="10" t="s">
        <v>103</v>
      </c>
      <c r="K126" s="10" t="s">
        <v>109</v>
      </c>
      <c r="L126" s="10" t="s">
        <v>514</v>
      </c>
      <c r="M126" s="10" t="s">
        <v>88</v>
      </c>
      <c r="N126" s="12">
        <v>9</v>
      </c>
      <c r="O126" s="12">
        <v>465.06</v>
      </c>
      <c r="P126" s="12">
        <v>-0.15</v>
      </c>
      <c r="Q126" s="12">
        <v>4185.54</v>
      </c>
      <c r="R126" s="12">
        <v>3443.74</v>
      </c>
      <c r="S126" s="12">
        <v>741.8</v>
      </c>
      <c r="T126" s="10" t="s">
        <v>61</v>
      </c>
      <c r="U126" s="13" t="s">
        <v>62</v>
      </c>
      <c r="V126" s="14" t="e">
        <f t="shared" ca="1" si="0"/>
        <v>#NAME?</v>
      </c>
      <c r="W126" s="10" t="str">
        <f ca="1">IFERROR(__xludf.DUMMYFUNCTION("IF(COUNTIF($A:$A,A120)=1,
""Unique"",
IF(COUNTUNIQUE(FILTER($V$2:$V$934,$A$2:$A$934=A120))&gt;1,
""Conflicting Duplicate"",
""Exact Duplicate""))"),"Unique")</f>
        <v>Unique</v>
      </c>
      <c r="X126" s="10" t="b">
        <f t="shared" ca="1" si="1"/>
        <v>1</v>
      </c>
      <c r="Y126" s="10" t="str">
        <f t="shared" si="2"/>
        <v>Unique</v>
      </c>
      <c r="Z126" s="10"/>
      <c r="AA126" s="10" t="str">
        <f t="shared" si="3"/>
        <v>Invalid</v>
      </c>
      <c r="AB126" s="15" t="str">
        <f t="shared" si="4"/>
        <v>Valid</v>
      </c>
      <c r="AC126" s="15">
        <v>3</v>
      </c>
      <c r="AD126" s="16" t="str">
        <f t="shared" si="5"/>
        <v>Valid</v>
      </c>
      <c r="AE126" s="16" t="str">
        <f t="shared" si="6"/>
        <v>Valid</v>
      </c>
      <c r="AF126" s="16" t="str">
        <f t="shared" ref="AF126:AG126" si="263">IF(ISNUMBER(B126),"Valid","Invalid")</f>
        <v>Valid</v>
      </c>
      <c r="AG126" s="16" t="str">
        <f t="shared" si="263"/>
        <v>Valid</v>
      </c>
      <c r="AH126" s="16" t="str">
        <f t="shared" ref="AH126:AI126" si="264">IF(OR(B126="",ISBLANK(B126)),"Missing","Valid")</f>
        <v>Valid</v>
      </c>
      <c r="AI126" s="16" t="str">
        <f t="shared" si="264"/>
        <v>Valid</v>
      </c>
      <c r="AJ126" s="16" t="b">
        <v>0</v>
      </c>
      <c r="AK126" s="16" t="b">
        <v>0</v>
      </c>
      <c r="AL126" s="16" t="b">
        <v>0</v>
      </c>
      <c r="AM126" s="16" t="b">
        <v>1</v>
      </c>
      <c r="AN126" s="16" t="b">
        <v>0</v>
      </c>
      <c r="AO126" s="16" t="b">
        <v>0</v>
      </c>
      <c r="AP126" s="16" t="b">
        <v>1</v>
      </c>
      <c r="AQ126" s="17">
        <f t="shared" si="9"/>
        <v>-0.15</v>
      </c>
      <c r="AR126" s="12">
        <f t="shared" si="10"/>
        <v>4813.3709999999992</v>
      </c>
      <c r="AS126" s="18">
        <f t="shared" si="11"/>
        <v>-627.83099999999922</v>
      </c>
      <c r="AT126" s="12">
        <f t="shared" si="12"/>
        <v>1369.6309999999994</v>
      </c>
      <c r="AU126" s="18">
        <f t="shared" si="13"/>
        <v>-627.83099999999945</v>
      </c>
      <c r="AV126" s="19">
        <f t="shared" si="14"/>
        <v>0.28454715001191466</v>
      </c>
      <c r="AW126" s="20" t="str">
        <f t="shared" si="15"/>
        <v>July</v>
      </c>
      <c r="AX126" s="21">
        <f t="shared" si="16"/>
        <v>2024</v>
      </c>
    </row>
    <row r="127" spans="1:50" ht="15.75" customHeight="1">
      <c r="A127" s="10" t="s">
        <v>515</v>
      </c>
      <c r="B127" s="11">
        <v>45855</v>
      </c>
      <c r="C127" s="11">
        <v>45856</v>
      </c>
      <c r="D127" s="10" t="s">
        <v>516</v>
      </c>
      <c r="E127" s="10" t="s">
        <v>108</v>
      </c>
      <c r="F127" s="10" t="s">
        <v>66</v>
      </c>
      <c r="G127" s="10" t="s">
        <v>92</v>
      </c>
      <c r="H127" s="10" t="s">
        <v>55</v>
      </c>
      <c r="I127" s="10" t="s">
        <v>138</v>
      </c>
      <c r="J127" s="10" t="s">
        <v>70</v>
      </c>
      <c r="K127" s="10" t="s">
        <v>71</v>
      </c>
      <c r="L127" s="10" t="s">
        <v>517</v>
      </c>
      <c r="M127" s="10" t="s">
        <v>73</v>
      </c>
      <c r="N127" s="12">
        <v>6</v>
      </c>
      <c r="O127" s="12">
        <v>3235.27</v>
      </c>
      <c r="P127" s="12">
        <v>0.25</v>
      </c>
      <c r="Q127" s="12">
        <v>14558.72</v>
      </c>
      <c r="R127" s="12">
        <v>9591.48</v>
      </c>
      <c r="S127" s="12">
        <v>4967.24</v>
      </c>
      <c r="T127" s="10" t="s">
        <v>131</v>
      </c>
      <c r="U127" s="13" t="s">
        <v>132</v>
      </c>
      <c r="V127" s="14" t="e">
        <f t="shared" ca="1" si="0"/>
        <v>#NAME?</v>
      </c>
      <c r="W127" s="10" t="str">
        <f ca="1">IFERROR(__xludf.DUMMYFUNCTION("IF(COUNTIF($A:$A,A121)=1,
""Unique"",
IF(COUNTUNIQUE(FILTER($V$2:$V$934,$A$2:$A$934=A121))&gt;1,
""Conflicting Duplicate"",
""Exact Duplicate""))"),"Unique")</f>
        <v>Unique</v>
      </c>
      <c r="X127" s="10" t="b">
        <f t="shared" ca="1" si="1"/>
        <v>1</v>
      </c>
      <c r="Y127" s="10" t="str">
        <f t="shared" si="2"/>
        <v>Unique</v>
      </c>
      <c r="Z127" s="10"/>
      <c r="AA127" s="10" t="str">
        <f t="shared" si="3"/>
        <v>Clean</v>
      </c>
      <c r="AB127" s="15" t="str">
        <f t="shared" si="4"/>
        <v>Valid</v>
      </c>
      <c r="AC127" s="15">
        <v>1</v>
      </c>
      <c r="AD127" s="16" t="str">
        <f t="shared" si="5"/>
        <v>Valid</v>
      </c>
      <c r="AE127" s="16" t="str">
        <f t="shared" si="6"/>
        <v>Valid</v>
      </c>
      <c r="AF127" s="16" t="str">
        <f t="shared" ref="AF127:AG127" si="265">IF(ISNUMBER(B127),"Valid","Invalid")</f>
        <v>Valid</v>
      </c>
      <c r="AG127" s="16" t="str">
        <f t="shared" si="265"/>
        <v>Valid</v>
      </c>
      <c r="AH127" s="16" t="str">
        <f t="shared" ref="AH127:AI127" si="266">IF(OR(B127="",ISBLANK(B127)),"Missing","Valid")</f>
        <v>Valid</v>
      </c>
      <c r="AI127" s="16" t="str">
        <f t="shared" si="266"/>
        <v>Valid</v>
      </c>
      <c r="AJ127" s="16" t="b">
        <v>0</v>
      </c>
      <c r="AK127" s="16" t="b">
        <v>0</v>
      </c>
      <c r="AL127" s="16" t="b">
        <v>0</v>
      </c>
      <c r="AM127" s="16" t="b">
        <v>0</v>
      </c>
      <c r="AN127" s="16" t="b">
        <v>0</v>
      </c>
      <c r="AO127" s="16" t="b">
        <v>0</v>
      </c>
      <c r="AP127" s="16" t="b">
        <v>0</v>
      </c>
      <c r="AQ127" s="17">
        <f t="shared" si="9"/>
        <v>0.25</v>
      </c>
      <c r="AR127" s="12">
        <f t="shared" si="10"/>
        <v>14558.715</v>
      </c>
      <c r="AS127" s="18">
        <f t="shared" si="11"/>
        <v>4.9999999991996447E-3</v>
      </c>
      <c r="AT127" s="12">
        <f t="shared" si="12"/>
        <v>4967.2350000000006</v>
      </c>
      <c r="AU127" s="18">
        <f t="shared" si="13"/>
        <v>4.9999999991996447E-3</v>
      </c>
      <c r="AV127" s="19">
        <f t="shared" si="14"/>
        <v>0.34118636157105903</v>
      </c>
      <c r="AW127" s="20" t="str">
        <f t="shared" si="15"/>
        <v>July</v>
      </c>
      <c r="AX127" s="21">
        <f t="shared" si="16"/>
        <v>2025</v>
      </c>
    </row>
    <row r="128" spans="1:50" ht="15.75" customHeight="1">
      <c r="A128" s="10" t="s">
        <v>518</v>
      </c>
      <c r="B128" s="11">
        <v>45924</v>
      </c>
      <c r="C128" s="11">
        <v>45926</v>
      </c>
      <c r="D128" s="10" t="s">
        <v>519</v>
      </c>
      <c r="E128" s="10" t="s">
        <v>143</v>
      </c>
      <c r="F128" s="10" t="s">
        <v>119</v>
      </c>
      <c r="G128" s="10" t="s">
        <v>54</v>
      </c>
      <c r="H128" s="10" t="s">
        <v>380</v>
      </c>
      <c r="I128" s="10" t="s">
        <v>381</v>
      </c>
      <c r="J128" s="10" t="s">
        <v>103</v>
      </c>
      <c r="K128" s="10" t="s">
        <v>109</v>
      </c>
      <c r="L128" s="10" t="s">
        <v>520</v>
      </c>
      <c r="M128" s="10" t="s">
        <v>88</v>
      </c>
      <c r="N128" s="12">
        <v>3</v>
      </c>
      <c r="O128" s="12">
        <v>1593.86</v>
      </c>
      <c r="P128" s="12">
        <v>0.1</v>
      </c>
      <c r="Q128" s="12">
        <v>4303.42</v>
      </c>
      <c r="R128" s="12">
        <v>2568.5700000000002</v>
      </c>
      <c r="S128" s="12">
        <v>1734.85</v>
      </c>
      <c r="T128" s="10" t="s">
        <v>61</v>
      </c>
      <c r="U128" s="13" t="s">
        <v>62</v>
      </c>
      <c r="V128" s="14" t="e">
        <f t="shared" ca="1" si="0"/>
        <v>#NAME?</v>
      </c>
      <c r="W128" s="10" t="str">
        <f ca="1">IFERROR(__xludf.DUMMYFUNCTION("IF(COUNTIF($A:$A,A122)=1,
""Unique"",
IF(COUNTUNIQUE(FILTER($V$2:$V$934,$A$2:$A$934=A122))&gt;1,
""Conflicting Duplicate"",
""Exact Duplicate""))"),"Unique")</f>
        <v>Unique</v>
      </c>
      <c r="X128" s="10" t="b">
        <f t="shared" ca="1" si="1"/>
        <v>1</v>
      </c>
      <c r="Y128" s="10" t="str">
        <f t="shared" si="2"/>
        <v>Unique</v>
      </c>
      <c r="Z128" s="10"/>
      <c r="AA128" s="10" t="str">
        <f t="shared" si="3"/>
        <v>Clean</v>
      </c>
      <c r="AB128" s="15" t="str">
        <f t="shared" si="4"/>
        <v>Valid</v>
      </c>
      <c r="AC128" s="15">
        <v>2</v>
      </c>
      <c r="AD128" s="16" t="str">
        <f t="shared" si="5"/>
        <v>Valid</v>
      </c>
      <c r="AE128" s="16" t="str">
        <f t="shared" si="6"/>
        <v>Valid</v>
      </c>
      <c r="AF128" s="16" t="str">
        <f t="shared" ref="AF128:AG128" si="267">IF(ISNUMBER(B128),"Valid","Invalid")</f>
        <v>Valid</v>
      </c>
      <c r="AG128" s="16" t="str">
        <f t="shared" si="267"/>
        <v>Valid</v>
      </c>
      <c r="AH128" s="16" t="str">
        <f t="shared" ref="AH128:AI128" si="268">IF(OR(B128="",ISBLANK(B128)),"Missing","Valid")</f>
        <v>Valid</v>
      </c>
      <c r="AI128" s="16" t="str">
        <f t="shared" si="268"/>
        <v>Valid</v>
      </c>
      <c r="AJ128" s="16" t="b">
        <v>0</v>
      </c>
      <c r="AK128" s="16" t="b">
        <v>0</v>
      </c>
      <c r="AL128" s="16" t="b">
        <v>0</v>
      </c>
      <c r="AM128" s="16" t="b">
        <v>0</v>
      </c>
      <c r="AN128" s="16" t="b">
        <v>0</v>
      </c>
      <c r="AO128" s="16" t="b">
        <v>0</v>
      </c>
      <c r="AP128" s="16" t="b">
        <v>0</v>
      </c>
      <c r="AQ128" s="17">
        <f t="shared" si="9"/>
        <v>0.1</v>
      </c>
      <c r="AR128" s="12">
        <f t="shared" si="10"/>
        <v>4303.4220000000005</v>
      </c>
      <c r="AS128" s="18">
        <f t="shared" si="11"/>
        <v>-2.0000000004074536E-3</v>
      </c>
      <c r="AT128" s="12">
        <f t="shared" si="12"/>
        <v>1734.8520000000003</v>
      </c>
      <c r="AU128" s="18">
        <f t="shared" si="13"/>
        <v>-2.0000000004074536E-3</v>
      </c>
      <c r="AV128" s="19">
        <f t="shared" si="14"/>
        <v>0.40313313451481175</v>
      </c>
      <c r="AW128" s="20" t="str">
        <f t="shared" si="15"/>
        <v>September</v>
      </c>
      <c r="AX128" s="21">
        <f t="shared" si="16"/>
        <v>2025</v>
      </c>
    </row>
    <row r="129" spans="1:50" ht="15.75" customHeight="1">
      <c r="A129" s="10" t="s">
        <v>521</v>
      </c>
      <c r="B129" s="11">
        <v>45687</v>
      </c>
      <c r="C129" s="11">
        <v>45683</v>
      </c>
      <c r="D129" s="10" t="s">
        <v>522</v>
      </c>
      <c r="E129" s="10" t="s">
        <v>143</v>
      </c>
      <c r="F129" s="10" t="s">
        <v>119</v>
      </c>
      <c r="G129" s="10" t="s">
        <v>92</v>
      </c>
      <c r="H129" s="10" t="s">
        <v>101</v>
      </c>
      <c r="I129" s="10" t="s">
        <v>102</v>
      </c>
      <c r="J129" s="10" t="s">
        <v>57</v>
      </c>
      <c r="K129" s="10" t="s">
        <v>153</v>
      </c>
      <c r="L129" s="10" t="s">
        <v>523</v>
      </c>
      <c r="M129" s="10" t="s">
        <v>60</v>
      </c>
      <c r="N129" s="12">
        <v>2</v>
      </c>
      <c r="O129" s="12">
        <v>3039.3</v>
      </c>
      <c r="P129" s="12">
        <v>0.05</v>
      </c>
      <c r="Q129" s="12">
        <v>5774.67</v>
      </c>
      <c r="R129" s="12">
        <v>3518.36</v>
      </c>
      <c r="S129" s="12">
        <v>2256.31</v>
      </c>
      <c r="T129" s="10" t="s">
        <v>61</v>
      </c>
      <c r="U129" s="13" t="s">
        <v>62</v>
      </c>
      <c r="V129" s="14" t="e">
        <f t="shared" ca="1" si="0"/>
        <v>#NAME?</v>
      </c>
      <c r="W129" s="10" t="str">
        <f ca="1">IFERROR(__xludf.DUMMYFUNCTION("IF(COUNTIF($A:$A,A123)=1,
""Unique"",
IF(COUNTUNIQUE(FILTER($V$2:$V$934,$A$2:$A$934=A123))&gt;1,
""Conflicting Duplicate"",
""Exact Duplicate""))"),"Unique")</f>
        <v>Unique</v>
      </c>
      <c r="X129" s="10" t="b">
        <f t="shared" ca="1" si="1"/>
        <v>1</v>
      </c>
      <c r="Y129" s="10" t="str">
        <f t="shared" si="2"/>
        <v>Duplicate Order ID</v>
      </c>
      <c r="Z129" s="10"/>
      <c r="AA129" s="10" t="str">
        <f t="shared" si="3"/>
        <v>Invalid</v>
      </c>
      <c r="AB129" s="15" t="str">
        <f t="shared" si="4"/>
        <v>Invalid</v>
      </c>
      <c r="AC129" s="15">
        <v>-4</v>
      </c>
      <c r="AD129" s="16" t="str">
        <f t="shared" si="5"/>
        <v>Invalid Shipping Date</v>
      </c>
      <c r="AE129" s="16" t="str">
        <f t="shared" si="6"/>
        <v>Valid</v>
      </c>
      <c r="AF129" s="16" t="str">
        <f t="shared" ref="AF129:AG129" si="269">IF(ISNUMBER(B129),"Valid","Invalid")</f>
        <v>Valid</v>
      </c>
      <c r="AG129" s="16" t="str">
        <f t="shared" si="269"/>
        <v>Valid</v>
      </c>
      <c r="AH129" s="16" t="str">
        <f t="shared" ref="AH129:AI129" si="270">IF(OR(B129="",ISBLANK(B129)),"Missing","Valid")</f>
        <v>Valid</v>
      </c>
      <c r="AI129" s="16" t="str">
        <f t="shared" si="270"/>
        <v>Valid</v>
      </c>
      <c r="AJ129" s="16" t="b">
        <v>0</v>
      </c>
      <c r="AK129" s="16" t="b">
        <v>0</v>
      </c>
      <c r="AL129" s="16" t="b">
        <v>0</v>
      </c>
      <c r="AM129" s="16" t="b">
        <v>0</v>
      </c>
      <c r="AN129" s="16" t="b">
        <v>0</v>
      </c>
      <c r="AO129" s="16" t="b">
        <v>1</v>
      </c>
      <c r="AP129" s="16" t="b">
        <v>1</v>
      </c>
      <c r="AQ129" s="17">
        <f t="shared" si="9"/>
        <v>0.05</v>
      </c>
      <c r="AR129" s="12">
        <f t="shared" si="10"/>
        <v>5774.67</v>
      </c>
      <c r="AS129" s="18">
        <f t="shared" si="11"/>
        <v>0</v>
      </c>
      <c r="AT129" s="12">
        <f t="shared" si="12"/>
        <v>2256.31</v>
      </c>
      <c r="AU129" s="18">
        <f t="shared" si="13"/>
        <v>0</v>
      </c>
      <c r="AV129" s="19">
        <f t="shared" si="14"/>
        <v>0.39072535746631409</v>
      </c>
      <c r="AW129" s="20" t="str">
        <f t="shared" si="15"/>
        <v>January</v>
      </c>
      <c r="AX129" s="21">
        <f t="shared" si="16"/>
        <v>2025</v>
      </c>
    </row>
    <row r="130" spans="1:50" ht="15.75" customHeight="1">
      <c r="A130" s="10" t="s">
        <v>524</v>
      </c>
      <c r="B130" s="11">
        <v>45639</v>
      </c>
      <c r="C130" s="11">
        <v>45642</v>
      </c>
      <c r="D130" s="10" t="s">
        <v>525</v>
      </c>
      <c r="E130" s="10" t="s">
        <v>108</v>
      </c>
      <c r="F130" s="10" t="s">
        <v>66</v>
      </c>
      <c r="G130" s="10" t="s">
        <v>67</v>
      </c>
      <c r="H130" s="10" t="s">
        <v>68</v>
      </c>
      <c r="I130" s="10" t="s">
        <v>69</v>
      </c>
      <c r="J130" s="10" t="s">
        <v>70</v>
      </c>
      <c r="K130" s="10" t="s">
        <v>86</v>
      </c>
      <c r="L130" s="10" t="s">
        <v>526</v>
      </c>
      <c r="M130" s="10" t="s">
        <v>88</v>
      </c>
      <c r="N130" s="12">
        <v>5</v>
      </c>
      <c r="O130" s="12">
        <v>923.45</v>
      </c>
      <c r="P130" s="12">
        <v>0.05</v>
      </c>
      <c r="Q130" s="12">
        <v>4386.3900000000003</v>
      </c>
      <c r="R130" s="12">
        <v>3366.88</v>
      </c>
      <c r="S130" s="12">
        <v>1019.51</v>
      </c>
      <c r="T130" s="10" t="s">
        <v>61</v>
      </c>
      <c r="U130" s="13" t="s">
        <v>132</v>
      </c>
      <c r="V130" s="14" t="e">
        <f t="shared" ca="1" si="0"/>
        <v>#NAME?</v>
      </c>
      <c r="W130" s="10" t="str">
        <f ca="1">IFERROR(__xludf.DUMMYFUNCTION("IF(COUNTIF($A:$A,A124)=1,
""Unique"",
IF(COUNTUNIQUE(FILTER($V$2:$V$934,$A$2:$A$934=A124))&gt;1,
""Conflicting Duplicate"",
""Exact Duplicate""))"),"Unique")</f>
        <v>Unique</v>
      </c>
      <c r="X130" s="10" t="b">
        <f t="shared" ca="1" si="1"/>
        <v>1</v>
      </c>
      <c r="Y130" s="10" t="str">
        <f t="shared" si="2"/>
        <v>Unique</v>
      </c>
      <c r="Z130" s="10"/>
      <c r="AA130" s="10" t="str">
        <f t="shared" si="3"/>
        <v>Clean</v>
      </c>
      <c r="AB130" s="15" t="str">
        <f t="shared" si="4"/>
        <v>Valid</v>
      </c>
      <c r="AC130" s="15">
        <v>3</v>
      </c>
      <c r="AD130" s="16" t="str">
        <f t="shared" si="5"/>
        <v>Valid</v>
      </c>
      <c r="AE130" s="16" t="str">
        <f t="shared" si="6"/>
        <v>Valid</v>
      </c>
      <c r="AF130" s="16" t="str">
        <f t="shared" ref="AF130:AG130" si="271">IF(ISNUMBER(B130),"Valid","Invalid")</f>
        <v>Valid</v>
      </c>
      <c r="AG130" s="16" t="str">
        <f t="shared" si="271"/>
        <v>Valid</v>
      </c>
      <c r="AH130" s="16" t="str">
        <f t="shared" ref="AH130:AI130" si="272">IF(OR(B130="",ISBLANK(B130)),"Missing","Valid")</f>
        <v>Valid</v>
      </c>
      <c r="AI130" s="16" t="str">
        <f t="shared" si="272"/>
        <v>Valid</v>
      </c>
      <c r="AJ130" s="16" t="b">
        <v>0</v>
      </c>
      <c r="AK130" s="16" t="b">
        <v>0</v>
      </c>
      <c r="AL130" s="16" t="b">
        <v>0</v>
      </c>
      <c r="AM130" s="16" t="b">
        <v>0</v>
      </c>
      <c r="AN130" s="16" t="b">
        <v>0</v>
      </c>
      <c r="AO130" s="16" t="b">
        <v>0</v>
      </c>
      <c r="AP130" s="16" t="b">
        <v>0</v>
      </c>
      <c r="AQ130" s="17">
        <f t="shared" si="9"/>
        <v>0.05</v>
      </c>
      <c r="AR130" s="12">
        <f t="shared" si="10"/>
        <v>4386.3874999999998</v>
      </c>
      <c r="AS130" s="18">
        <f t="shared" si="11"/>
        <v>2.500000000509317E-3</v>
      </c>
      <c r="AT130" s="12">
        <f t="shared" si="12"/>
        <v>1019.5074999999997</v>
      </c>
      <c r="AU130" s="18">
        <f t="shared" si="13"/>
        <v>2.5000000002819434E-3</v>
      </c>
      <c r="AV130" s="19">
        <f t="shared" si="14"/>
        <v>0.2324253158208206</v>
      </c>
      <c r="AW130" s="20" t="str">
        <f t="shared" si="15"/>
        <v>December</v>
      </c>
      <c r="AX130" s="21">
        <f t="shared" si="16"/>
        <v>2024</v>
      </c>
    </row>
    <row r="131" spans="1:50" ht="15.75" customHeight="1">
      <c r="A131" s="10" t="s">
        <v>527</v>
      </c>
      <c r="B131" s="11">
        <v>45492</v>
      </c>
      <c r="C131" s="11">
        <v>45498</v>
      </c>
      <c r="D131" s="10" t="s">
        <v>528</v>
      </c>
      <c r="E131" s="10" t="s">
        <v>76</v>
      </c>
      <c r="F131" s="10" t="s">
        <v>66</v>
      </c>
      <c r="G131" s="10" t="s">
        <v>92</v>
      </c>
      <c r="H131" s="10" t="s">
        <v>219</v>
      </c>
      <c r="I131" s="10" t="s">
        <v>220</v>
      </c>
      <c r="J131" s="10" t="s">
        <v>57</v>
      </c>
      <c r="K131" s="10" t="s">
        <v>182</v>
      </c>
      <c r="L131" s="10" t="s">
        <v>529</v>
      </c>
      <c r="M131" s="10" t="s">
        <v>88</v>
      </c>
      <c r="N131" s="12">
        <v>7</v>
      </c>
      <c r="O131" s="12">
        <v>2741.29</v>
      </c>
      <c r="P131" s="12">
        <v>0.05</v>
      </c>
      <c r="Q131" s="12">
        <v>18229.580000000002</v>
      </c>
      <c r="R131" s="12">
        <v>15139.15</v>
      </c>
      <c r="S131" s="12">
        <v>3090.43</v>
      </c>
      <c r="T131" s="10" t="s">
        <v>61</v>
      </c>
      <c r="U131" s="13" t="s">
        <v>62</v>
      </c>
      <c r="V131" s="14" t="e">
        <f t="shared" ca="1" si="0"/>
        <v>#NAME?</v>
      </c>
      <c r="W131" s="10" t="str">
        <f ca="1">IFERROR(__xludf.DUMMYFUNCTION("IF(COUNTIF($A:$A,A125)=1,
""Unique"",
IF(COUNTUNIQUE(FILTER($V$2:$V$934,$A$2:$A$934=A125))&gt;1,
""Conflicting Duplicate"",
""Exact Duplicate""))"),"Conflicting Duplicate")</f>
        <v>Conflicting Duplicate</v>
      </c>
      <c r="X131" s="10" t="b">
        <f t="shared" ca="1" si="1"/>
        <v>1</v>
      </c>
      <c r="Y131" s="10" t="str">
        <f t="shared" si="2"/>
        <v>Unique</v>
      </c>
      <c r="Z131" s="10"/>
      <c r="AA131" s="10" t="str">
        <f t="shared" si="3"/>
        <v>Clean</v>
      </c>
      <c r="AB131" s="15" t="str">
        <f t="shared" si="4"/>
        <v>Valid</v>
      </c>
      <c r="AC131" s="15">
        <v>6</v>
      </c>
      <c r="AD131" s="16" t="str">
        <f t="shared" si="5"/>
        <v>Valid</v>
      </c>
      <c r="AE131" s="16" t="str">
        <f t="shared" si="6"/>
        <v>Valid</v>
      </c>
      <c r="AF131" s="16" t="str">
        <f t="shared" ref="AF131:AG131" si="273">IF(ISNUMBER(B131),"Valid","Invalid")</f>
        <v>Valid</v>
      </c>
      <c r="AG131" s="16" t="str">
        <f t="shared" si="273"/>
        <v>Valid</v>
      </c>
      <c r="AH131" s="16" t="str">
        <f t="shared" ref="AH131:AI131" si="274">IF(OR(B131="",ISBLANK(B131)),"Missing","Valid")</f>
        <v>Valid</v>
      </c>
      <c r="AI131" s="16" t="str">
        <f t="shared" si="274"/>
        <v>Valid</v>
      </c>
      <c r="AJ131" s="16" t="b">
        <v>0</v>
      </c>
      <c r="AK131" s="16" t="b">
        <v>0</v>
      </c>
      <c r="AL131" s="16" t="b">
        <v>0</v>
      </c>
      <c r="AM131" s="16" t="b">
        <v>0</v>
      </c>
      <c r="AN131" s="16" t="b">
        <v>0</v>
      </c>
      <c r="AO131" s="16" t="b">
        <v>0</v>
      </c>
      <c r="AP131" s="16" t="b">
        <v>0</v>
      </c>
      <c r="AQ131" s="17">
        <f t="shared" si="9"/>
        <v>0.05</v>
      </c>
      <c r="AR131" s="12">
        <f t="shared" si="10"/>
        <v>18229.5785</v>
      </c>
      <c r="AS131" s="18">
        <f t="shared" si="11"/>
        <v>1.5000000021245796E-3</v>
      </c>
      <c r="AT131" s="12">
        <f t="shared" si="12"/>
        <v>3090.4285</v>
      </c>
      <c r="AU131" s="18">
        <f t="shared" si="13"/>
        <v>1.4999999998508429E-3</v>
      </c>
      <c r="AV131" s="19">
        <f t="shared" si="14"/>
        <v>0.16952824773211295</v>
      </c>
      <c r="AW131" s="20" t="str">
        <f t="shared" si="15"/>
        <v>July</v>
      </c>
      <c r="AX131" s="21">
        <f t="shared" si="16"/>
        <v>2024</v>
      </c>
    </row>
    <row r="132" spans="1:50" ht="15.75" customHeight="1">
      <c r="A132" s="10" t="s">
        <v>530</v>
      </c>
      <c r="B132" s="11">
        <v>45318</v>
      </c>
      <c r="C132" s="11">
        <v>45324</v>
      </c>
      <c r="D132" s="10" t="s">
        <v>531</v>
      </c>
      <c r="E132" s="10" t="s">
        <v>82</v>
      </c>
      <c r="F132" s="10" t="s">
        <v>53</v>
      </c>
      <c r="G132" s="10" t="s">
        <v>92</v>
      </c>
      <c r="H132" s="10" t="s">
        <v>209</v>
      </c>
      <c r="I132" s="10" t="s">
        <v>210</v>
      </c>
      <c r="J132" s="10" t="s">
        <v>57</v>
      </c>
      <c r="K132" s="10" t="s">
        <v>120</v>
      </c>
      <c r="L132" s="10" t="s">
        <v>532</v>
      </c>
      <c r="M132" s="10" t="s">
        <v>73</v>
      </c>
      <c r="N132" s="12">
        <v>5</v>
      </c>
      <c r="O132" s="12">
        <v>218.42</v>
      </c>
      <c r="P132" s="12">
        <v>0.2</v>
      </c>
      <c r="Q132" s="12">
        <v>873.68</v>
      </c>
      <c r="R132" s="12">
        <v>661.72</v>
      </c>
      <c r="S132" s="12">
        <v>211.96</v>
      </c>
      <c r="T132" s="10" t="s">
        <v>140</v>
      </c>
      <c r="U132" s="13" t="s">
        <v>97</v>
      </c>
      <c r="V132" s="14" t="e">
        <f t="shared" ca="1" si="0"/>
        <v>#NAME?</v>
      </c>
      <c r="W132" s="10" t="str">
        <f ca="1">IFERROR(__xludf.DUMMYFUNCTION("IF(COUNTIF($A:$A,A126)=1,
""Unique"",
IF(COUNTUNIQUE(FILTER($V$2:$V$934,$A$2:$A$934=A126))&gt;1,
""Conflicting Duplicate"",
""Exact Duplicate""))"),"Unique")</f>
        <v>Unique</v>
      </c>
      <c r="X132" s="10" t="b">
        <f t="shared" ca="1" si="1"/>
        <v>1</v>
      </c>
      <c r="Y132" s="10" t="str">
        <f t="shared" si="2"/>
        <v>Unique</v>
      </c>
      <c r="Z132" s="10"/>
      <c r="AA132" s="10" t="str">
        <f t="shared" si="3"/>
        <v>Clean</v>
      </c>
      <c r="AB132" s="15" t="str">
        <f t="shared" si="4"/>
        <v>Valid</v>
      </c>
      <c r="AC132" s="15">
        <v>6</v>
      </c>
      <c r="AD132" s="16" t="str">
        <f t="shared" si="5"/>
        <v>Valid</v>
      </c>
      <c r="AE132" s="16" t="str">
        <f t="shared" si="6"/>
        <v>Valid</v>
      </c>
      <c r="AF132" s="16" t="str">
        <f t="shared" ref="AF132:AG132" si="275">IF(ISNUMBER(B132),"Valid","Invalid")</f>
        <v>Valid</v>
      </c>
      <c r="AG132" s="16" t="str">
        <f t="shared" si="275"/>
        <v>Valid</v>
      </c>
      <c r="AH132" s="16" t="str">
        <f t="shared" ref="AH132:AI132" si="276">IF(OR(B132="",ISBLANK(B132)),"Missing","Valid")</f>
        <v>Valid</v>
      </c>
      <c r="AI132" s="16" t="str">
        <f t="shared" si="276"/>
        <v>Valid</v>
      </c>
      <c r="AJ132" s="16" t="b">
        <v>0</v>
      </c>
      <c r="AK132" s="16" t="b">
        <v>0</v>
      </c>
      <c r="AL132" s="16" t="b">
        <v>0</v>
      </c>
      <c r="AM132" s="16" t="b">
        <v>0</v>
      </c>
      <c r="AN132" s="16" t="b">
        <v>0</v>
      </c>
      <c r="AO132" s="16" t="b">
        <v>0</v>
      </c>
      <c r="AP132" s="16" t="b">
        <v>0</v>
      </c>
      <c r="AQ132" s="17">
        <f t="shared" si="9"/>
        <v>0.2</v>
      </c>
      <c r="AR132" s="12">
        <f t="shared" si="10"/>
        <v>873.68</v>
      </c>
      <c r="AS132" s="18">
        <f t="shared" si="11"/>
        <v>0</v>
      </c>
      <c r="AT132" s="12">
        <f t="shared" si="12"/>
        <v>211.95999999999992</v>
      </c>
      <c r="AU132" s="18">
        <f t="shared" si="13"/>
        <v>0</v>
      </c>
      <c r="AV132" s="19">
        <f t="shared" si="14"/>
        <v>0.24260598846259493</v>
      </c>
      <c r="AW132" s="20" t="str">
        <f t="shared" si="15"/>
        <v>January</v>
      </c>
      <c r="AX132" s="21">
        <f t="shared" si="16"/>
        <v>2024</v>
      </c>
    </row>
    <row r="133" spans="1:50" ht="15.75" customHeight="1">
      <c r="A133" s="10" t="s">
        <v>533</v>
      </c>
      <c r="B133" s="11">
        <v>45929</v>
      </c>
      <c r="C133" s="11">
        <v>45934</v>
      </c>
      <c r="D133" s="10" t="s">
        <v>534</v>
      </c>
      <c r="E133" s="10" t="s">
        <v>91</v>
      </c>
      <c r="F133" s="10" t="s">
        <v>124</v>
      </c>
      <c r="G133" s="10" t="s">
        <v>67</v>
      </c>
      <c r="H133" s="10" t="s">
        <v>258</v>
      </c>
      <c r="I133" s="10" t="s">
        <v>259</v>
      </c>
      <c r="J133" s="10" t="s">
        <v>57</v>
      </c>
      <c r="K133" s="10" t="s">
        <v>58</v>
      </c>
      <c r="L133" s="10" t="s">
        <v>535</v>
      </c>
      <c r="M133" s="10" t="s">
        <v>73</v>
      </c>
      <c r="N133" s="12">
        <v>9</v>
      </c>
      <c r="O133" s="12">
        <v>373.91</v>
      </c>
      <c r="P133" s="12">
        <v>0.2</v>
      </c>
      <c r="Q133" s="12">
        <v>2692.15</v>
      </c>
      <c r="R133" s="12">
        <v>2044.49</v>
      </c>
      <c r="S133" s="12">
        <v>647.66</v>
      </c>
      <c r="T133" s="10" t="s">
        <v>61</v>
      </c>
      <c r="U133" s="13" t="s">
        <v>62</v>
      </c>
      <c r="V133" s="14" t="e">
        <f t="shared" ca="1" si="0"/>
        <v>#NAME?</v>
      </c>
      <c r="W133" s="10" t="str">
        <f ca="1">IFERROR(__xludf.DUMMYFUNCTION("IF(COUNTIF($A:$A,A127)=1,
""Unique"",
IF(COUNTUNIQUE(FILTER($V$2:$V$934,$A$2:$A$934=A127))&gt;1,
""Conflicting Duplicate"",
""Exact Duplicate""))"),"Unique")</f>
        <v>Unique</v>
      </c>
      <c r="X133" s="10" t="b">
        <f t="shared" ca="1" si="1"/>
        <v>1</v>
      </c>
      <c r="Y133" s="10" t="str">
        <f t="shared" si="2"/>
        <v>Unique</v>
      </c>
      <c r="Z133" s="10"/>
      <c r="AA133" s="10" t="str">
        <f t="shared" si="3"/>
        <v>Clean</v>
      </c>
      <c r="AB133" s="15" t="str">
        <f t="shared" si="4"/>
        <v>Valid</v>
      </c>
      <c r="AC133" s="15">
        <v>5</v>
      </c>
      <c r="AD133" s="16" t="str">
        <f t="shared" si="5"/>
        <v>Valid</v>
      </c>
      <c r="AE133" s="16" t="str">
        <f t="shared" si="6"/>
        <v>Valid</v>
      </c>
      <c r="AF133" s="16" t="str">
        <f t="shared" ref="AF133:AG133" si="277">IF(ISNUMBER(B133),"Valid","Invalid")</f>
        <v>Valid</v>
      </c>
      <c r="AG133" s="16" t="str">
        <f t="shared" si="277"/>
        <v>Valid</v>
      </c>
      <c r="AH133" s="16" t="str">
        <f t="shared" ref="AH133:AI133" si="278">IF(OR(B133="",ISBLANK(B133)),"Missing","Valid")</f>
        <v>Valid</v>
      </c>
      <c r="AI133" s="16" t="str">
        <f t="shared" si="278"/>
        <v>Valid</v>
      </c>
      <c r="AJ133" s="16" t="b">
        <v>0</v>
      </c>
      <c r="AK133" s="16" t="b">
        <v>0</v>
      </c>
      <c r="AL133" s="16" t="b">
        <v>0</v>
      </c>
      <c r="AM133" s="16" t="b">
        <v>0</v>
      </c>
      <c r="AN133" s="16" t="b">
        <v>0</v>
      </c>
      <c r="AO133" s="16" t="b">
        <v>0</v>
      </c>
      <c r="AP133" s="16" t="b">
        <v>0</v>
      </c>
      <c r="AQ133" s="17">
        <f t="shared" si="9"/>
        <v>0.2</v>
      </c>
      <c r="AR133" s="12">
        <f t="shared" si="10"/>
        <v>2692.152</v>
      </c>
      <c r="AS133" s="18">
        <f t="shared" si="11"/>
        <v>-1.9999999999527063E-3</v>
      </c>
      <c r="AT133" s="12">
        <f t="shared" si="12"/>
        <v>647.66200000000003</v>
      </c>
      <c r="AU133" s="18">
        <f t="shared" si="13"/>
        <v>-2.0000000000663931E-3</v>
      </c>
      <c r="AV133" s="19">
        <f t="shared" si="14"/>
        <v>0.24057408348414205</v>
      </c>
      <c r="AW133" s="20" t="str">
        <f t="shared" si="15"/>
        <v>September</v>
      </c>
      <c r="AX133" s="21">
        <f t="shared" si="16"/>
        <v>2025</v>
      </c>
    </row>
    <row r="134" spans="1:50" ht="15.75" customHeight="1">
      <c r="A134" s="10" t="s">
        <v>536</v>
      </c>
      <c r="B134" s="11">
        <v>45600</v>
      </c>
      <c r="C134" s="11">
        <v>45600</v>
      </c>
      <c r="D134" s="10" t="s">
        <v>537</v>
      </c>
      <c r="E134" s="10" t="s">
        <v>294</v>
      </c>
      <c r="F134" s="10" t="s">
        <v>119</v>
      </c>
      <c r="G134" s="10" t="s">
        <v>67</v>
      </c>
      <c r="H134" s="10" t="s">
        <v>195</v>
      </c>
      <c r="I134" s="10" t="s">
        <v>196</v>
      </c>
      <c r="J134" s="10" t="s">
        <v>103</v>
      </c>
      <c r="K134" s="10" t="s">
        <v>304</v>
      </c>
      <c r="L134" s="10" t="s">
        <v>538</v>
      </c>
      <c r="M134" s="10" t="s">
        <v>79</v>
      </c>
      <c r="N134" s="12">
        <v>2</v>
      </c>
      <c r="O134" s="12">
        <v>533.08000000000004</v>
      </c>
      <c r="P134" s="12">
        <v>0</v>
      </c>
      <c r="Q134" s="12">
        <v>1066.1600000000001</v>
      </c>
      <c r="R134" s="12">
        <v>656.3</v>
      </c>
      <c r="S134" s="12">
        <v>409.86</v>
      </c>
      <c r="T134" s="10" t="s">
        <v>184</v>
      </c>
      <c r="U134" s="13" t="s">
        <v>97</v>
      </c>
      <c r="V134" s="14" t="e">
        <f t="shared" ca="1" si="0"/>
        <v>#NAME?</v>
      </c>
      <c r="W134" s="10" t="str">
        <f ca="1">IFERROR(__xludf.DUMMYFUNCTION("IF(COUNTIF($A:$A,A128)=1,
""Unique"",
IF(COUNTUNIQUE(FILTER($V$2:$V$934,$A$2:$A$934=A128))&gt;1,
""Conflicting Duplicate"",
""Exact Duplicate""))"),"Unique")</f>
        <v>Unique</v>
      </c>
      <c r="X134" s="10" t="b">
        <f t="shared" ca="1" si="1"/>
        <v>1</v>
      </c>
      <c r="Y134" s="10" t="str">
        <f t="shared" si="2"/>
        <v>Unique</v>
      </c>
      <c r="Z134" s="10"/>
      <c r="AA134" s="10" t="str">
        <f t="shared" si="3"/>
        <v>Clean</v>
      </c>
      <c r="AB134" s="15" t="str">
        <f t="shared" si="4"/>
        <v>Valid</v>
      </c>
      <c r="AC134" s="15">
        <v>0</v>
      </c>
      <c r="AD134" s="16" t="str">
        <f t="shared" si="5"/>
        <v>Valid</v>
      </c>
      <c r="AE134" s="16" t="str">
        <f t="shared" si="6"/>
        <v>Valid</v>
      </c>
      <c r="AF134" s="16" t="str">
        <f t="shared" ref="AF134:AG134" si="279">IF(ISNUMBER(B134),"Valid","Invalid")</f>
        <v>Valid</v>
      </c>
      <c r="AG134" s="16" t="str">
        <f t="shared" si="279"/>
        <v>Valid</v>
      </c>
      <c r="AH134" s="16" t="str">
        <f t="shared" ref="AH134:AI134" si="280">IF(OR(B134="",ISBLANK(B134)),"Missing","Valid")</f>
        <v>Valid</v>
      </c>
      <c r="AI134" s="16" t="str">
        <f t="shared" si="280"/>
        <v>Valid</v>
      </c>
      <c r="AJ134" s="16" t="b">
        <v>0</v>
      </c>
      <c r="AK134" s="16" t="b">
        <v>0</v>
      </c>
      <c r="AL134" s="16" t="b">
        <v>0</v>
      </c>
      <c r="AM134" s="16" t="b">
        <v>0</v>
      </c>
      <c r="AN134" s="16" t="b">
        <v>0</v>
      </c>
      <c r="AO134" s="16" t="b">
        <v>0</v>
      </c>
      <c r="AP134" s="16" t="b">
        <v>0</v>
      </c>
      <c r="AQ134" s="17">
        <f t="shared" si="9"/>
        <v>0</v>
      </c>
      <c r="AR134" s="12">
        <f t="shared" si="10"/>
        <v>1066.1600000000001</v>
      </c>
      <c r="AS134" s="18">
        <f t="shared" si="11"/>
        <v>0</v>
      </c>
      <c r="AT134" s="12">
        <f t="shared" si="12"/>
        <v>409.86000000000013</v>
      </c>
      <c r="AU134" s="18">
        <f t="shared" si="13"/>
        <v>0</v>
      </c>
      <c r="AV134" s="19">
        <f t="shared" si="14"/>
        <v>0.38442635251744589</v>
      </c>
      <c r="AW134" s="20" t="str">
        <f t="shared" si="15"/>
        <v>November</v>
      </c>
      <c r="AX134" s="21">
        <f t="shared" si="16"/>
        <v>2024</v>
      </c>
    </row>
    <row r="135" spans="1:50" ht="15.75" customHeight="1">
      <c r="A135" s="10" t="s">
        <v>539</v>
      </c>
      <c r="B135" s="11">
        <v>45639</v>
      </c>
      <c r="C135" s="11">
        <v>45644</v>
      </c>
      <c r="D135" s="10" t="s">
        <v>540</v>
      </c>
      <c r="E135" s="10" t="s">
        <v>52</v>
      </c>
      <c r="F135" s="10" t="s">
        <v>53</v>
      </c>
      <c r="G135" s="10" t="s">
        <v>92</v>
      </c>
      <c r="H135" s="10" t="s">
        <v>219</v>
      </c>
      <c r="I135" s="10" t="s">
        <v>220</v>
      </c>
      <c r="J135" s="10" t="s">
        <v>103</v>
      </c>
      <c r="K135" s="10" t="s">
        <v>200</v>
      </c>
      <c r="L135" s="10" t="s">
        <v>541</v>
      </c>
      <c r="M135" s="10" t="s">
        <v>60</v>
      </c>
      <c r="N135" s="12">
        <v>8</v>
      </c>
      <c r="O135" s="12">
        <v>3372.15</v>
      </c>
      <c r="P135" s="12">
        <v>0.15</v>
      </c>
      <c r="Q135" s="12">
        <v>22930.62</v>
      </c>
      <c r="R135" s="12">
        <v>16875.55</v>
      </c>
      <c r="S135" s="12">
        <v>6055.07</v>
      </c>
      <c r="T135" s="10" t="s">
        <v>61</v>
      </c>
      <c r="U135" s="13" t="s">
        <v>62</v>
      </c>
      <c r="V135" s="14" t="e">
        <f t="shared" ca="1" si="0"/>
        <v>#NAME?</v>
      </c>
      <c r="W135" s="10" t="str">
        <f ca="1">IFERROR(__xludf.DUMMYFUNCTION("IF(COUNTIF($A:$A,A129)=1,
""Unique"",
IF(COUNTUNIQUE(FILTER($V$2:$V$934,$A$2:$A$934=A129))&gt;1,
""Conflicting Duplicate"",
""Exact Duplicate""))"),"Exact Duplicate")</f>
        <v>Exact Duplicate</v>
      </c>
      <c r="X135" s="10" t="b">
        <f t="shared" ca="1" si="1"/>
        <v>1</v>
      </c>
      <c r="Y135" s="10" t="str">
        <f t="shared" si="2"/>
        <v>Duplicate Order ID</v>
      </c>
      <c r="Z135" s="10"/>
      <c r="AA135" s="10" t="str">
        <f t="shared" si="3"/>
        <v>Clean</v>
      </c>
      <c r="AB135" s="15" t="str">
        <f t="shared" si="4"/>
        <v>Valid</v>
      </c>
      <c r="AC135" s="15">
        <v>5</v>
      </c>
      <c r="AD135" s="16" t="str">
        <f t="shared" si="5"/>
        <v>Valid</v>
      </c>
      <c r="AE135" s="16" t="str">
        <f t="shared" si="6"/>
        <v>Valid</v>
      </c>
      <c r="AF135" s="16" t="str">
        <f t="shared" ref="AF135:AG135" si="281">IF(ISNUMBER(B135),"Valid","Invalid")</f>
        <v>Valid</v>
      </c>
      <c r="AG135" s="16" t="str">
        <f t="shared" si="281"/>
        <v>Valid</v>
      </c>
      <c r="AH135" s="16" t="str">
        <f t="shared" ref="AH135:AI135" si="282">IF(OR(B135="",ISBLANK(B135)),"Missing","Valid")</f>
        <v>Valid</v>
      </c>
      <c r="AI135" s="16" t="str">
        <f t="shared" si="282"/>
        <v>Valid</v>
      </c>
      <c r="AJ135" s="16" t="b">
        <v>0</v>
      </c>
      <c r="AK135" s="16" t="b">
        <v>0</v>
      </c>
      <c r="AL135" s="16" t="b">
        <v>0</v>
      </c>
      <c r="AM135" s="16" t="b">
        <v>0</v>
      </c>
      <c r="AN135" s="16" t="b">
        <v>0</v>
      </c>
      <c r="AO135" s="16" t="b">
        <v>0</v>
      </c>
      <c r="AP135" s="16" t="b">
        <v>0</v>
      </c>
      <c r="AQ135" s="17">
        <f t="shared" si="9"/>
        <v>0.15</v>
      </c>
      <c r="AR135" s="12">
        <f t="shared" si="10"/>
        <v>22930.62</v>
      </c>
      <c r="AS135" s="18">
        <f t="shared" si="11"/>
        <v>0</v>
      </c>
      <c r="AT135" s="12">
        <f t="shared" si="12"/>
        <v>6055.07</v>
      </c>
      <c r="AU135" s="18">
        <f t="shared" si="13"/>
        <v>0</v>
      </c>
      <c r="AV135" s="19">
        <f t="shared" si="14"/>
        <v>0.26406045715292475</v>
      </c>
      <c r="AW135" s="20" t="str">
        <f t="shared" si="15"/>
        <v>December</v>
      </c>
      <c r="AX135" s="21">
        <f t="shared" si="16"/>
        <v>2024</v>
      </c>
    </row>
    <row r="136" spans="1:50" ht="15.75" customHeight="1">
      <c r="A136" s="10" t="s">
        <v>542</v>
      </c>
      <c r="B136" s="11">
        <v>45852</v>
      </c>
      <c r="C136" s="11">
        <v>45852</v>
      </c>
      <c r="D136" s="10" t="s">
        <v>543</v>
      </c>
      <c r="E136" s="10" t="s">
        <v>100</v>
      </c>
      <c r="F136" s="10" t="s">
        <v>124</v>
      </c>
      <c r="G136" s="10" t="s">
        <v>67</v>
      </c>
      <c r="H136" s="10" t="s">
        <v>128</v>
      </c>
      <c r="I136" s="10" t="s">
        <v>129</v>
      </c>
      <c r="J136" s="10" t="s">
        <v>70</v>
      </c>
      <c r="K136" s="10" t="s">
        <v>187</v>
      </c>
      <c r="L136" s="10" t="s">
        <v>544</v>
      </c>
      <c r="M136" s="10" t="s">
        <v>234</v>
      </c>
      <c r="N136" s="12">
        <v>5</v>
      </c>
      <c r="O136" s="12">
        <v>383.1</v>
      </c>
      <c r="P136" s="12">
        <v>0.25</v>
      </c>
      <c r="Q136" s="12">
        <v>1436.62</v>
      </c>
      <c r="R136" s="12">
        <v>912.52</v>
      </c>
      <c r="S136" s="12">
        <v>524.1</v>
      </c>
      <c r="T136" s="10" t="s">
        <v>140</v>
      </c>
      <c r="U136" s="13" t="s">
        <v>97</v>
      </c>
      <c r="V136" s="14" t="e">
        <f t="shared" ca="1" si="0"/>
        <v>#NAME?</v>
      </c>
      <c r="W136" s="10" t="str">
        <f ca="1">IFERROR(__xludf.DUMMYFUNCTION("IF(COUNTIF($A:$A,A130)=1,
""Unique"",
IF(COUNTUNIQUE(FILTER($V$2:$V$934,$A$2:$A$934=A130))&gt;1,
""Conflicting Duplicate"",
""Exact Duplicate""))"),"Unique")</f>
        <v>Unique</v>
      </c>
      <c r="X136" s="10" t="b">
        <f t="shared" ca="1" si="1"/>
        <v>1</v>
      </c>
      <c r="Y136" s="10" t="str">
        <f t="shared" si="2"/>
        <v>Unique</v>
      </c>
      <c r="Z136" s="10"/>
      <c r="AA136" s="10" t="str">
        <f t="shared" si="3"/>
        <v>Warning</v>
      </c>
      <c r="AB136" s="15" t="str">
        <f t="shared" si="4"/>
        <v>Valid</v>
      </c>
      <c r="AC136" s="15">
        <v>0</v>
      </c>
      <c r="AD136" s="16" t="str">
        <f t="shared" si="5"/>
        <v>Valid</v>
      </c>
      <c r="AE136" s="16" t="str">
        <f t="shared" si="6"/>
        <v>Valid</v>
      </c>
      <c r="AF136" s="16" t="str">
        <f t="shared" ref="AF136:AG136" si="283">IF(ISNUMBER(B136),"Valid","Invalid")</f>
        <v>Valid</v>
      </c>
      <c r="AG136" s="16" t="str">
        <f t="shared" si="283"/>
        <v>Valid</v>
      </c>
      <c r="AH136" s="16" t="str">
        <f t="shared" ref="AH136:AI136" si="284">IF(OR(B136="",ISBLANK(B136)),"Missing","Valid")</f>
        <v>Valid</v>
      </c>
      <c r="AI136" s="16" t="str">
        <f t="shared" si="284"/>
        <v>Valid</v>
      </c>
      <c r="AJ136" s="16" t="b">
        <v>0</v>
      </c>
      <c r="AK136" s="16" t="b">
        <v>1</v>
      </c>
      <c r="AL136" s="16" t="b">
        <v>0</v>
      </c>
      <c r="AM136" s="16" t="b">
        <v>0</v>
      </c>
      <c r="AN136" s="16" t="b">
        <v>0</v>
      </c>
      <c r="AO136" s="16" t="b">
        <v>0</v>
      </c>
      <c r="AP136" s="16" t="b">
        <v>1</v>
      </c>
      <c r="AQ136" s="17">
        <f t="shared" si="9"/>
        <v>0.25</v>
      </c>
      <c r="AR136" s="12">
        <f t="shared" si="10"/>
        <v>1436.625</v>
      </c>
      <c r="AS136" s="18">
        <f t="shared" si="11"/>
        <v>-5.0000000001091394E-3</v>
      </c>
      <c r="AT136" s="12">
        <f t="shared" si="12"/>
        <v>524.10500000000002</v>
      </c>
      <c r="AU136" s="18">
        <f t="shared" si="13"/>
        <v>-4.9999999999954525E-3</v>
      </c>
      <c r="AV136" s="19">
        <f t="shared" si="14"/>
        <v>0.36481684503610895</v>
      </c>
      <c r="AW136" s="20" t="str">
        <f t="shared" si="15"/>
        <v>July</v>
      </c>
      <c r="AX136" s="21">
        <f t="shared" si="16"/>
        <v>2025</v>
      </c>
    </row>
    <row r="137" spans="1:50" ht="15.75" customHeight="1">
      <c r="A137" s="10" t="s">
        <v>545</v>
      </c>
      <c r="B137" s="11">
        <v>45893</v>
      </c>
      <c r="C137" s="11">
        <v>45893</v>
      </c>
      <c r="D137" s="10" t="s">
        <v>546</v>
      </c>
      <c r="E137" s="10" t="s">
        <v>191</v>
      </c>
      <c r="F137" s="10" t="s">
        <v>66</v>
      </c>
      <c r="G137" s="10" t="s">
        <v>83</v>
      </c>
      <c r="H137" s="10" t="s">
        <v>214</v>
      </c>
      <c r="I137" s="10" t="s">
        <v>215</v>
      </c>
      <c r="J137" s="10" t="s">
        <v>70</v>
      </c>
      <c r="K137" s="10" t="s">
        <v>187</v>
      </c>
      <c r="L137" s="10" t="s">
        <v>547</v>
      </c>
      <c r="M137" s="10" t="s">
        <v>88</v>
      </c>
      <c r="N137" s="12">
        <v>1</v>
      </c>
      <c r="O137" s="12">
        <v>3424.78</v>
      </c>
      <c r="P137" s="12">
        <v>0</v>
      </c>
      <c r="Q137" s="12">
        <v>3424.78</v>
      </c>
      <c r="R137" s="12">
        <v>1951.45</v>
      </c>
      <c r="S137" s="12">
        <v>1473.33</v>
      </c>
      <c r="T137" s="10" t="s">
        <v>61</v>
      </c>
      <c r="U137" s="13" t="s">
        <v>62</v>
      </c>
      <c r="V137" s="14" t="e">
        <f t="shared" ca="1" si="0"/>
        <v>#NAME?</v>
      </c>
      <c r="W137" s="10" t="str">
        <f ca="1">IFERROR(__xludf.DUMMYFUNCTION("IF(COUNTIF($A:$A,A131)=1,
""Unique"",
IF(COUNTUNIQUE(FILTER($V$2:$V$934,$A$2:$A$934=A131))&gt;1,
""Conflicting Duplicate"",
""Exact Duplicate""))"),"Unique")</f>
        <v>Unique</v>
      </c>
      <c r="X137" s="10" t="b">
        <f t="shared" ca="1" si="1"/>
        <v>1</v>
      </c>
      <c r="Y137" s="10" t="str">
        <f t="shared" si="2"/>
        <v>Unique</v>
      </c>
      <c r="Z137" s="10"/>
      <c r="AA137" s="10" t="str">
        <f t="shared" si="3"/>
        <v>Clean</v>
      </c>
      <c r="AB137" s="15" t="str">
        <f t="shared" si="4"/>
        <v>Valid</v>
      </c>
      <c r="AC137" s="15">
        <v>0</v>
      </c>
      <c r="AD137" s="16" t="str">
        <f t="shared" si="5"/>
        <v>Valid</v>
      </c>
      <c r="AE137" s="16" t="str">
        <f t="shared" si="6"/>
        <v>Valid</v>
      </c>
      <c r="AF137" s="16" t="str">
        <f t="shared" ref="AF137:AG137" si="285">IF(ISNUMBER(B137),"Valid","Invalid")</f>
        <v>Valid</v>
      </c>
      <c r="AG137" s="16" t="str">
        <f t="shared" si="285"/>
        <v>Valid</v>
      </c>
      <c r="AH137" s="16" t="str">
        <f t="shared" ref="AH137:AI137" si="286">IF(OR(B137="",ISBLANK(B137)),"Missing","Valid")</f>
        <v>Valid</v>
      </c>
      <c r="AI137" s="16" t="str">
        <f t="shared" si="286"/>
        <v>Valid</v>
      </c>
      <c r="AJ137" s="16" t="b">
        <v>0</v>
      </c>
      <c r="AK137" s="16" t="b">
        <v>0</v>
      </c>
      <c r="AL137" s="16" t="b">
        <v>0</v>
      </c>
      <c r="AM137" s="16" t="b">
        <v>0</v>
      </c>
      <c r="AN137" s="16" t="b">
        <v>0</v>
      </c>
      <c r="AO137" s="16" t="b">
        <v>0</v>
      </c>
      <c r="AP137" s="16" t="b">
        <v>0</v>
      </c>
      <c r="AQ137" s="17">
        <f t="shared" si="9"/>
        <v>0</v>
      </c>
      <c r="AR137" s="12">
        <f t="shared" si="10"/>
        <v>3424.78</v>
      </c>
      <c r="AS137" s="18">
        <f t="shared" si="11"/>
        <v>0</v>
      </c>
      <c r="AT137" s="12">
        <f t="shared" si="12"/>
        <v>1473.3300000000002</v>
      </c>
      <c r="AU137" s="18">
        <f t="shared" si="13"/>
        <v>0</v>
      </c>
      <c r="AV137" s="19">
        <f t="shared" si="14"/>
        <v>0.43019697615613267</v>
      </c>
      <c r="AW137" s="20" t="str">
        <f t="shared" si="15"/>
        <v>August</v>
      </c>
      <c r="AX137" s="21">
        <f t="shared" si="16"/>
        <v>2025</v>
      </c>
    </row>
    <row r="138" spans="1:50" ht="15.75" customHeight="1">
      <c r="A138" s="10" t="s">
        <v>548</v>
      </c>
      <c r="B138" s="11">
        <v>45697</v>
      </c>
      <c r="C138" s="11">
        <v>45703</v>
      </c>
      <c r="D138" s="10" t="s">
        <v>549</v>
      </c>
      <c r="E138" s="10" t="s">
        <v>65</v>
      </c>
      <c r="F138" s="10" t="s">
        <v>124</v>
      </c>
      <c r="G138" s="10" t="s">
        <v>67</v>
      </c>
      <c r="H138" s="10" t="s">
        <v>258</v>
      </c>
      <c r="I138" s="10" t="s">
        <v>259</v>
      </c>
      <c r="J138" s="10" t="s">
        <v>57</v>
      </c>
      <c r="K138" s="10" t="s">
        <v>182</v>
      </c>
      <c r="L138" s="10" t="s">
        <v>550</v>
      </c>
      <c r="M138" s="10" t="s">
        <v>88</v>
      </c>
      <c r="N138" s="12">
        <v>9</v>
      </c>
      <c r="O138" s="12">
        <v>4330.33</v>
      </c>
      <c r="P138" s="12">
        <v>0.2</v>
      </c>
      <c r="Q138" s="12">
        <v>31178.38</v>
      </c>
      <c r="R138" s="12">
        <v>21421.09</v>
      </c>
      <c r="S138" s="12">
        <v>9757.2900000000009</v>
      </c>
      <c r="T138" s="10" t="s">
        <v>61</v>
      </c>
      <c r="U138" s="13" t="s">
        <v>62</v>
      </c>
      <c r="V138" s="14" t="e">
        <f t="shared" ca="1" si="0"/>
        <v>#NAME?</v>
      </c>
      <c r="W138" s="10" t="str">
        <f ca="1">IFERROR(__xludf.DUMMYFUNCTION("IF(COUNTIF($A:$A,A132)=1,
""Unique"",
IF(COUNTUNIQUE(FILTER($V$2:$V$934,$A$2:$A$934=A132))&gt;1,
""Conflicting Duplicate"",
""Exact Duplicate""))"),"Unique")</f>
        <v>Unique</v>
      </c>
      <c r="X138" s="10" t="b">
        <f t="shared" ca="1" si="1"/>
        <v>1</v>
      </c>
      <c r="Y138" s="10" t="str">
        <f t="shared" si="2"/>
        <v>Unique</v>
      </c>
      <c r="Z138" s="10"/>
      <c r="AA138" s="10" t="str">
        <f t="shared" si="3"/>
        <v>Clean</v>
      </c>
      <c r="AB138" s="15" t="str">
        <f t="shared" si="4"/>
        <v>Valid</v>
      </c>
      <c r="AC138" s="15">
        <v>6</v>
      </c>
      <c r="AD138" s="16" t="str">
        <f t="shared" si="5"/>
        <v>Valid</v>
      </c>
      <c r="AE138" s="16" t="str">
        <f t="shared" si="6"/>
        <v>Valid</v>
      </c>
      <c r="AF138" s="16" t="str">
        <f t="shared" ref="AF138:AG138" si="287">IF(ISNUMBER(B138),"Valid","Invalid")</f>
        <v>Valid</v>
      </c>
      <c r="AG138" s="16" t="str">
        <f t="shared" si="287"/>
        <v>Valid</v>
      </c>
      <c r="AH138" s="16" t="str">
        <f t="shared" ref="AH138:AI138" si="288">IF(OR(B138="",ISBLANK(B138)),"Missing","Valid")</f>
        <v>Valid</v>
      </c>
      <c r="AI138" s="16" t="str">
        <f t="shared" si="288"/>
        <v>Valid</v>
      </c>
      <c r="AJ138" s="16" t="b">
        <v>0</v>
      </c>
      <c r="AK138" s="16" t="b">
        <v>0</v>
      </c>
      <c r="AL138" s="16" t="b">
        <v>0</v>
      </c>
      <c r="AM138" s="16" t="b">
        <v>0</v>
      </c>
      <c r="AN138" s="16" t="b">
        <v>0</v>
      </c>
      <c r="AO138" s="16" t="b">
        <v>0</v>
      </c>
      <c r="AP138" s="16" t="b">
        <v>0</v>
      </c>
      <c r="AQ138" s="17">
        <f t="shared" si="9"/>
        <v>0.2</v>
      </c>
      <c r="AR138" s="12">
        <f t="shared" si="10"/>
        <v>31178.376000000004</v>
      </c>
      <c r="AS138" s="18">
        <f t="shared" si="11"/>
        <v>3.9999999971769284E-3</v>
      </c>
      <c r="AT138" s="12">
        <f t="shared" si="12"/>
        <v>9757.2860000000037</v>
      </c>
      <c r="AU138" s="18">
        <f t="shared" si="13"/>
        <v>3.9999999971769284E-3</v>
      </c>
      <c r="AV138" s="19">
        <f t="shared" si="14"/>
        <v>0.31295042435821552</v>
      </c>
      <c r="AW138" s="20" t="str">
        <f t="shared" si="15"/>
        <v>February</v>
      </c>
      <c r="AX138" s="21">
        <f t="shared" si="16"/>
        <v>2025</v>
      </c>
    </row>
    <row r="139" spans="1:50" ht="15.75" customHeight="1">
      <c r="A139" s="10" t="s">
        <v>551</v>
      </c>
      <c r="B139" s="11">
        <v>45666</v>
      </c>
      <c r="C139" s="11">
        <v>45666</v>
      </c>
      <c r="D139" s="10" t="s">
        <v>552</v>
      </c>
      <c r="E139" s="10" t="s">
        <v>161</v>
      </c>
      <c r="F139" s="10" t="s">
        <v>66</v>
      </c>
      <c r="G139" s="10" t="s">
        <v>54</v>
      </c>
      <c r="H139" s="10" t="s">
        <v>55</v>
      </c>
      <c r="I139" s="10" t="s">
        <v>56</v>
      </c>
      <c r="J139" s="10" t="s">
        <v>70</v>
      </c>
      <c r="K139" s="10" t="s">
        <v>95</v>
      </c>
      <c r="L139" s="10" t="s">
        <v>553</v>
      </c>
      <c r="M139" s="10" t="s">
        <v>73</v>
      </c>
      <c r="N139" s="12">
        <v>8</v>
      </c>
      <c r="O139" s="12">
        <v>2667.07</v>
      </c>
      <c r="P139" s="12">
        <v>0.1</v>
      </c>
      <c r="Q139" s="12">
        <v>19202.900000000001</v>
      </c>
      <c r="R139" s="12">
        <v>15526.62</v>
      </c>
      <c r="S139" s="12">
        <v>3676.28</v>
      </c>
      <c r="T139" s="10" t="s">
        <v>61</v>
      </c>
      <c r="U139" s="13" t="s">
        <v>62</v>
      </c>
      <c r="V139" s="14" t="e">
        <f t="shared" ca="1" si="0"/>
        <v>#NAME?</v>
      </c>
      <c r="W139" s="10" t="str">
        <f ca="1">IFERROR(__xludf.DUMMYFUNCTION("IF(COUNTIF($A:$A,A133)=1,
""Unique"",
IF(COUNTUNIQUE(FILTER($V$2:$V$934,$A$2:$A$934=A133))&gt;1,
""Conflicting Duplicate"",
""Exact Duplicate""))"),"Unique")</f>
        <v>Unique</v>
      </c>
      <c r="X139" s="10" t="b">
        <f t="shared" ca="1" si="1"/>
        <v>1</v>
      </c>
      <c r="Y139" s="10" t="str">
        <f t="shared" si="2"/>
        <v>Unique</v>
      </c>
      <c r="Z139" s="10"/>
      <c r="AA139" s="10" t="str">
        <f t="shared" si="3"/>
        <v>Clean</v>
      </c>
      <c r="AB139" s="15" t="str">
        <f t="shared" si="4"/>
        <v>Valid</v>
      </c>
      <c r="AC139" s="15">
        <v>0</v>
      </c>
      <c r="AD139" s="16" t="str">
        <f t="shared" si="5"/>
        <v>Valid</v>
      </c>
      <c r="AE139" s="16" t="str">
        <f t="shared" si="6"/>
        <v>Valid</v>
      </c>
      <c r="AF139" s="16" t="str">
        <f t="shared" ref="AF139:AG139" si="289">IF(ISNUMBER(B139),"Valid","Invalid")</f>
        <v>Valid</v>
      </c>
      <c r="AG139" s="16" t="str">
        <f t="shared" si="289"/>
        <v>Valid</v>
      </c>
      <c r="AH139" s="16" t="str">
        <f t="shared" ref="AH139:AI139" si="290">IF(OR(B139="",ISBLANK(B139)),"Missing","Valid")</f>
        <v>Valid</v>
      </c>
      <c r="AI139" s="16" t="str">
        <f t="shared" si="290"/>
        <v>Valid</v>
      </c>
      <c r="AJ139" s="16" t="b">
        <v>0</v>
      </c>
      <c r="AK139" s="16" t="b">
        <v>0</v>
      </c>
      <c r="AL139" s="16" t="b">
        <v>0</v>
      </c>
      <c r="AM139" s="16" t="b">
        <v>0</v>
      </c>
      <c r="AN139" s="16" t="b">
        <v>0</v>
      </c>
      <c r="AO139" s="16" t="b">
        <v>0</v>
      </c>
      <c r="AP139" s="16" t="b">
        <v>0</v>
      </c>
      <c r="AQ139" s="17">
        <f t="shared" si="9"/>
        <v>0.1</v>
      </c>
      <c r="AR139" s="12">
        <f t="shared" si="10"/>
        <v>19202.904000000002</v>
      </c>
      <c r="AS139" s="18">
        <f t="shared" si="11"/>
        <v>-4.0000000008149073E-3</v>
      </c>
      <c r="AT139" s="12">
        <f t="shared" si="12"/>
        <v>3676.2840000000015</v>
      </c>
      <c r="AU139" s="18">
        <f t="shared" si="13"/>
        <v>-4.0000000012696546E-3</v>
      </c>
      <c r="AV139" s="19">
        <f t="shared" si="14"/>
        <v>0.19144416906942829</v>
      </c>
      <c r="AW139" s="20" t="str">
        <f t="shared" si="15"/>
        <v>January</v>
      </c>
      <c r="AX139" s="21">
        <f t="shared" si="16"/>
        <v>2025</v>
      </c>
    </row>
    <row r="140" spans="1:50" ht="15.75" customHeight="1">
      <c r="A140" s="10" t="s">
        <v>554</v>
      </c>
      <c r="B140" s="11">
        <v>45311</v>
      </c>
      <c r="C140" s="11">
        <v>45317</v>
      </c>
      <c r="D140" s="10" t="s">
        <v>555</v>
      </c>
      <c r="E140" s="10" t="s">
        <v>191</v>
      </c>
      <c r="F140" s="10" t="s">
        <v>124</v>
      </c>
      <c r="G140" s="10" t="s">
        <v>67</v>
      </c>
      <c r="H140" s="10" t="s">
        <v>258</v>
      </c>
      <c r="I140" s="10" t="s">
        <v>259</v>
      </c>
      <c r="J140" s="10" t="s">
        <v>103</v>
      </c>
      <c r="K140" s="10" t="s">
        <v>304</v>
      </c>
      <c r="L140" s="10" t="s">
        <v>556</v>
      </c>
      <c r="M140" s="10" t="s">
        <v>88</v>
      </c>
      <c r="N140" s="12">
        <v>8</v>
      </c>
      <c r="O140" s="12">
        <v>4003.05</v>
      </c>
      <c r="P140" s="12">
        <v>0.25</v>
      </c>
      <c r="Q140" s="12">
        <v>24018.3</v>
      </c>
      <c r="R140" s="12">
        <v>14070.78</v>
      </c>
      <c r="S140" s="12">
        <v>9947.52</v>
      </c>
      <c r="T140" s="10" t="s">
        <v>61</v>
      </c>
      <c r="U140" s="13" t="s">
        <v>62</v>
      </c>
      <c r="V140" s="14" t="e">
        <f t="shared" ca="1" si="0"/>
        <v>#NAME?</v>
      </c>
      <c r="W140" s="10" t="str">
        <f ca="1">IFERROR(__xludf.DUMMYFUNCTION("IF(COUNTIF($A:$A,A134)=1,
""Unique"",
IF(COUNTUNIQUE(FILTER($V$2:$V$934,$A$2:$A$934=A134))&gt;1,
""Conflicting Duplicate"",
""Exact Duplicate""))"),"Unique")</f>
        <v>Unique</v>
      </c>
      <c r="X140" s="10" t="b">
        <f t="shared" ca="1" si="1"/>
        <v>1</v>
      </c>
      <c r="Y140" s="10" t="str">
        <f t="shared" si="2"/>
        <v>Unique</v>
      </c>
      <c r="Z140" s="10"/>
      <c r="AA140" s="10" t="str">
        <f t="shared" si="3"/>
        <v>Clean</v>
      </c>
      <c r="AB140" s="15" t="str">
        <f t="shared" si="4"/>
        <v>Valid</v>
      </c>
      <c r="AC140" s="15">
        <v>6</v>
      </c>
      <c r="AD140" s="16" t="str">
        <f t="shared" si="5"/>
        <v>Valid</v>
      </c>
      <c r="AE140" s="16" t="str">
        <f t="shared" si="6"/>
        <v>Valid</v>
      </c>
      <c r="AF140" s="16" t="str">
        <f t="shared" ref="AF140:AG140" si="291">IF(ISNUMBER(B140),"Valid","Invalid")</f>
        <v>Valid</v>
      </c>
      <c r="AG140" s="16" t="str">
        <f t="shared" si="291"/>
        <v>Valid</v>
      </c>
      <c r="AH140" s="16" t="str">
        <f t="shared" ref="AH140:AI140" si="292">IF(OR(B140="",ISBLANK(B140)),"Missing","Valid")</f>
        <v>Valid</v>
      </c>
      <c r="AI140" s="16" t="str">
        <f t="shared" si="292"/>
        <v>Valid</v>
      </c>
      <c r="AJ140" s="16" t="b">
        <v>0</v>
      </c>
      <c r="AK140" s="16" t="b">
        <v>0</v>
      </c>
      <c r="AL140" s="16" t="b">
        <v>0</v>
      </c>
      <c r="AM140" s="16" t="b">
        <v>0</v>
      </c>
      <c r="AN140" s="16" t="b">
        <v>0</v>
      </c>
      <c r="AO140" s="16" t="b">
        <v>0</v>
      </c>
      <c r="AP140" s="16" t="b">
        <v>0</v>
      </c>
      <c r="AQ140" s="17">
        <f t="shared" si="9"/>
        <v>0.25</v>
      </c>
      <c r="AR140" s="12">
        <f t="shared" si="10"/>
        <v>24018.300000000003</v>
      </c>
      <c r="AS140" s="18">
        <f t="shared" si="11"/>
        <v>0</v>
      </c>
      <c r="AT140" s="12">
        <f t="shared" si="12"/>
        <v>9947.5200000000023</v>
      </c>
      <c r="AU140" s="18">
        <f t="shared" si="13"/>
        <v>0</v>
      </c>
      <c r="AV140" s="19">
        <f t="shared" si="14"/>
        <v>0.41416419979765434</v>
      </c>
      <c r="AW140" s="20" t="str">
        <f t="shared" si="15"/>
        <v>January</v>
      </c>
      <c r="AX140" s="21">
        <f t="shared" si="16"/>
        <v>2024</v>
      </c>
    </row>
    <row r="141" spans="1:50" ht="15.75" customHeight="1">
      <c r="A141" s="10" t="s">
        <v>557</v>
      </c>
      <c r="B141" s="11">
        <v>45718</v>
      </c>
      <c r="C141" s="11">
        <v>45723</v>
      </c>
      <c r="D141" s="10" t="s">
        <v>558</v>
      </c>
      <c r="E141" s="10" t="s">
        <v>108</v>
      </c>
      <c r="F141" s="10" t="s">
        <v>124</v>
      </c>
      <c r="G141" s="10" t="s">
        <v>83</v>
      </c>
      <c r="H141" s="10" t="s">
        <v>204</v>
      </c>
      <c r="I141" s="10" t="s">
        <v>205</v>
      </c>
      <c r="J141" s="10" t="s">
        <v>57</v>
      </c>
      <c r="K141" s="10" t="s">
        <v>120</v>
      </c>
      <c r="L141" s="10" t="s">
        <v>559</v>
      </c>
      <c r="M141" s="10" t="s">
        <v>88</v>
      </c>
      <c r="N141" s="12">
        <v>8</v>
      </c>
      <c r="O141" s="12">
        <v>1287.6300000000001</v>
      </c>
      <c r="P141" s="12">
        <v>0</v>
      </c>
      <c r="Q141" s="12">
        <v>10301.040000000001</v>
      </c>
      <c r="R141" s="12">
        <v>6564.06</v>
      </c>
      <c r="S141" s="12">
        <v>3736.98</v>
      </c>
      <c r="T141" s="10" t="s">
        <v>61</v>
      </c>
      <c r="U141" s="13" t="s">
        <v>62</v>
      </c>
      <c r="V141" s="14" t="e">
        <f t="shared" ca="1" si="0"/>
        <v>#NAME?</v>
      </c>
      <c r="W141" s="10" t="str">
        <f ca="1">IFERROR(__xludf.DUMMYFUNCTION("IF(COUNTIF($A:$A,A135)=1,
""Unique"",
IF(COUNTUNIQUE(FILTER($V$2:$V$934,$A$2:$A$934=A135))&gt;1,
""Conflicting Duplicate"",
""Exact Duplicate""))"),"Exact Duplicate")</f>
        <v>Exact Duplicate</v>
      </c>
      <c r="X141" s="10" t="b">
        <f t="shared" ca="1" si="1"/>
        <v>1</v>
      </c>
      <c r="Y141" s="10" t="str">
        <f t="shared" si="2"/>
        <v>Unique</v>
      </c>
      <c r="Z141" s="10"/>
      <c r="AA141" s="10" t="str">
        <f t="shared" si="3"/>
        <v>Clean</v>
      </c>
      <c r="AB141" s="15" t="str">
        <f t="shared" si="4"/>
        <v>Valid</v>
      </c>
      <c r="AC141" s="15">
        <v>5</v>
      </c>
      <c r="AD141" s="16" t="str">
        <f t="shared" si="5"/>
        <v>Valid</v>
      </c>
      <c r="AE141" s="16" t="str">
        <f t="shared" si="6"/>
        <v>Valid</v>
      </c>
      <c r="AF141" s="16" t="str">
        <f t="shared" ref="AF141:AG141" si="293">IF(ISNUMBER(B141),"Valid","Invalid")</f>
        <v>Valid</v>
      </c>
      <c r="AG141" s="16" t="str">
        <f t="shared" si="293"/>
        <v>Valid</v>
      </c>
      <c r="AH141" s="16" t="str">
        <f t="shared" ref="AH141:AI141" si="294">IF(OR(B141="",ISBLANK(B141)),"Missing","Valid")</f>
        <v>Valid</v>
      </c>
      <c r="AI141" s="16" t="str">
        <f t="shared" si="294"/>
        <v>Valid</v>
      </c>
      <c r="AJ141" s="16" t="b">
        <v>0</v>
      </c>
      <c r="AK141" s="16" t="b">
        <v>0</v>
      </c>
      <c r="AL141" s="16" t="b">
        <v>0</v>
      </c>
      <c r="AM141" s="16" t="b">
        <v>0</v>
      </c>
      <c r="AN141" s="16" t="b">
        <v>0</v>
      </c>
      <c r="AO141" s="16" t="b">
        <v>0</v>
      </c>
      <c r="AP141" s="16" t="b">
        <v>0</v>
      </c>
      <c r="AQ141" s="17">
        <f t="shared" si="9"/>
        <v>0</v>
      </c>
      <c r="AR141" s="12">
        <f t="shared" si="10"/>
        <v>10301.040000000001</v>
      </c>
      <c r="AS141" s="18">
        <f t="shared" si="11"/>
        <v>0</v>
      </c>
      <c r="AT141" s="12">
        <f t="shared" si="12"/>
        <v>3736.9800000000005</v>
      </c>
      <c r="AU141" s="18">
        <f t="shared" si="13"/>
        <v>0</v>
      </c>
      <c r="AV141" s="19">
        <f t="shared" si="14"/>
        <v>0.3627769623261341</v>
      </c>
      <c r="AW141" s="20" t="str">
        <f t="shared" si="15"/>
        <v>March</v>
      </c>
      <c r="AX141" s="21">
        <f t="shared" si="16"/>
        <v>2025</v>
      </c>
    </row>
    <row r="142" spans="1:50" ht="15.75" customHeight="1">
      <c r="A142" s="10" t="s">
        <v>560</v>
      </c>
      <c r="B142" s="11">
        <v>45443</v>
      </c>
      <c r="C142" s="11">
        <v>45444</v>
      </c>
      <c r="D142" s="10" t="s">
        <v>561</v>
      </c>
      <c r="E142" s="10" t="s">
        <v>65</v>
      </c>
      <c r="F142" s="10" t="s">
        <v>119</v>
      </c>
      <c r="G142" s="10" t="s">
        <v>83</v>
      </c>
      <c r="H142" s="10" t="s">
        <v>204</v>
      </c>
      <c r="I142" s="10" t="s">
        <v>205</v>
      </c>
      <c r="J142" s="10" t="s">
        <v>70</v>
      </c>
      <c r="K142" s="10" t="s">
        <v>187</v>
      </c>
      <c r="L142" s="10" t="s">
        <v>562</v>
      </c>
      <c r="M142" s="10" t="s">
        <v>73</v>
      </c>
      <c r="N142" s="12">
        <v>3</v>
      </c>
      <c r="O142" s="12">
        <v>2914.55</v>
      </c>
      <c r="P142" s="12">
        <v>0</v>
      </c>
      <c r="Q142" s="12">
        <v>8743.65</v>
      </c>
      <c r="R142" s="12">
        <v>6603.76</v>
      </c>
      <c r="S142" s="12">
        <v>2139.89</v>
      </c>
      <c r="T142" s="10" t="s">
        <v>61</v>
      </c>
      <c r="U142" s="13" t="s">
        <v>62</v>
      </c>
      <c r="V142" s="14" t="e">
        <f t="shared" ca="1" si="0"/>
        <v>#NAME?</v>
      </c>
      <c r="W142" s="10" t="str">
        <f ca="1">IFERROR(__xludf.DUMMYFUNCTION("IF(COUNTIF($A:$A,A136)=1,
""Unique"",
IF(COUNTUNIQUE(FILTER($V$2:$V$934,$A$2:$A$934=A136))&gt;1,
""Conflicting Duplicate"",
""Exact Duplicate""))"),"Unique")</f>
        <v>Unique</v>
      </c>
      <c r="X142" s="10" t="b">
        <f t="shared" ca="1" si="1"/>
        <v>1</v>
      </c>
      <c r="Y142" s="10" t="str">
        <f t="shared" si="2"/>
        <v>Unique</v>
      </c>
      <c r="Z142" s="10"/>
      <c r="AA142" s="10" t="str">
        <f t="shared" si="3"/>
        <v>Clean</v>
      </c>
      <c r="AB142" s="15" t="str">
        <f t="shared" si="4"/>
        <v>Valid</v>
      </c>
      <c r="AC142" s="15">
        <v>1</v>
      </c>
      <c r="AD142" s="16" t="str">
        <f t="shared" si="5"/>
        <v>Valid</v>
      </c>
      <c r="AE142" s="16" t="str">
        <f t="shared" si="6"/>
        <v>Valid</v>
      </c>
      <c r="AF142" s="16" t="str">
        <f t="shared" ref="AF142:AG142" si="295">IF(ISNUMBER(B142),"Valid","Invalid")</f>
        <v>Valid</v>
      </c>
      <c r="AG142" s="16" t="str">
        <f t="shared" si="295"/>
        <v>Valid</v>
      </c>
      <c r="AH142" s="16" t="str">
        <f t="shared" ref="AH142:AI142" si="296">IF(OR(B142="",ISBLANK(B142)),"Missing","Valid")</f>
        <v>Valid</v>
      </c>
      <c r="AI142" s="16" t="str">
        <f t="shared" si="296"/>
        <v>Valid</v>
      </c>
      <c r="AJ142" s="16" t="b">
        <v>0</v>
      </c>
      <c r="AK142" s="16" t="b">
        <v>0</v>
      </c>
      <c r="AL142" s="16" t="b">
        <v>0</v>
      </c>
      <c r="AM142" s="16" t="b">
        <v>0</v>
      </c>
      <c r="AN142" s="16" t="b">
        <v>0</v>
      </c>
      <c r="AO142" s="16" t="b">
        <v>0</v>
      </c>
      <c r="AP142" s="16" t="b">
        <v>0</v>
      </c>
      <c r="AQ142" s="17">
        <f t="shared" si="9"/>
        <v>0</v>
      </c>
      <c r="AR142" s="12">
        <f t="shared" si="10"/>
        <v>8743.6500000000015</v>
      </c>
      <c r="AS142" s="18">
        <f t="shared" si="11"/>
        <v>0</v>
      </c>
      <c r="AT142" s="12">
        <f t="shared" si="12"/>
        <v>2139.8900000000012</v>
      </c>
      <c r="AU142" s="18">
        <f t="shared" si="13"/>
        <v>0</v>
      </c>
      <c r="AV142" s="19">
        <f t="shared" si="14"/>
        <v>0.24473646589239059</v>
      </c>
      <c r="AW142" s="20" t="str">
        <f t="shared" si="15"/>
        <v>May</v>
      </c>
      <c r="AX142" s="21">
        <f t="shared" si="16"/>
        <v>2024</v>
      </c>
    </row>
    <row r="143" spans="1:50" ht="15.75" customHeight="1">
      <c r="A143" s="10" t="s">
        <v>563</v>
      </c>
      <c r="B143" s="11">
        <v>45374</v>
      </c>
      <c r="C143" s="11">
        <v>45380</v>
      </c>
      <c r="D143" s="10" t="s">
        <v>564</v>
      </c>
      <c r="E143" s="10" t="s">
        <v>143</v>
      </c>
      <c r="F143" s="10" t="s">
        <v>119</v>
      </c>
      <c r="G143" s="10" t="s">
        <v>54</v>
      </c>
      <c r="H143" s="10" t="s">
        <v>380</v>
      </c>
      <c r="I143" s="10" t="s">
        <v>381</v>
      </c>
      <c r="J143" s="10" t="s">
        <v>70</v>
      </c>
      <c r="K143" s="10" t="s">
        <v>187</v>
      </c>
      <c r="L143" s="10" t="s">
        <v>565</v>
      </c>
      <c r="M143" s="10" t="s">
        <v>73</v>
      </c>
      <c r="N143" s="12">
        <v>7</v>
      </c>
      <c r="O143" s="12">
        <v>634.29</v>
      </c>
      <c r="P143" s="12">
        <v>0.1</v>
      </c>
      <c r="Q143" s="12">
        <v>3996.03</v>
      </c>
      <c r="R143" s="12">
        <v>2859.51</v>
      </c>
      <c r="S143" s="12">
        <v>1136.52</v>
      </c>
      <c r="T143" s="10" t="s">
        <v>61</v>
      </c>
      <c r="U143" s="13" t="s">
        <v>132</v>
      </c>
      <c r="V143" s="14" t="e">
        <f t="shared" ca="1" si="0"/>
        <v>#NAME?</v>
      </c>
      <c r="W143" s="10" t="str">
        <f ca="1">IFERROR(__xludf.DUMMYFUNCTION("IF(COUNTIF($A:$A,A137)=1,
""Unique"",
IF(COUNTUNIQUE(FILTER($V$2:$V$934,$A$2:$A$934=A137))&gt;1,
""Conflicting Duplicate"",
""Exact Duplicate""))"),"Unique")</f>
        <v>Unique</v>
      </c>
      <c r="X143" s="10" t="b">
        <f t="shared" ca="1" si="1"/>
        <v>1</v>
      </c>
      <c r="Y143" s="10" t="str">
        <f t="shared" si="2"/>
        <v>Unique</v>
      </c>
      <c r="Z143" s="10"/>
      <c r="AA143" s="10" t="str">
        <f t="shared" si="3"/>
        <v>Clean</v>
      </c>
      <c r="AB143" s="15" t="str">
        <f t="shared" si="4"/>
        <v>Valid</v>
      </c>
      <c r="AC143" s="15">
        <v>6</v>
      </c>
      <c r="AD143" s="16" t="str">
        <f t="shared" si="5"/>
        <v>Valid</v>
      </c>
      <c r="AE143" s="16" t="str">
        <f t="shared" si="6"/>
        <v>Valid</v>
      </c>
      <c r="AF143" s="16" t="str">
        <f t="shared" ref="AF143:AG143" si="297">IF(ISNUMBER(B143),"Valid","Invalid")</f>
        <v>Valid</v>
      </c>
      <c r="AG143" s="16" t="str">
        <f t="shared" si="297"/>
        <v>Valid</v>
      </c>
      <c r="AH143" s="16" t="str">
        <f t="shared" ref="AH143:AI143" si="298">IF(OR(B143="",ISBLANK(B143)),"Missing","Valid")</f>
        <v>Valid</v>
      </c>
      <c r="AI143" s="16" t="str">
        <f t="shared" si="298"/>
        <v>Valid</v>
      </c>
      <c r="AJ143" s="16" t="b">
        <v>0</v>
      </c>
      <c r="AK143" s="16" t="b">
        <v>0</v>
      </c>
      <c r="AL143" s="16" t="b">
        <v>0</v>
      </c>
      <c r="AM143" s="16" t="b">
        <v>0</v>
      </c>
      <c r="AN143" s="16" t="b">
        <v>0</v>
      </c>
      <c r="AO143" s="16" t="b">
        <v>0</v>
      </c>
      <c r="AP143" s="16" t="b">
        <v>0</v>
      </c>
      <c r="AQ143" s="17">
        <f t="shared" si="9"/>
        <v>0.1</v>
      </c>
      <c r="AR143" s="12">
        <f t="shared" si="10"/>
        <v>3996.027</v>
      </c>
      <c r="AS143" s="18">
        <f t="shared" si="11"/>
        <v>3.0000000001564331E-3</v>
      </c>
      <c r="AT143" s="12">
        <f t="shared" si="12"/>
        <v>1136.5169999999998</v>
      </c>
      <c r="AU143" s="18">
        <f t="shared" si="13"/>
        <v>3.0000000001564331E-3</v>
      </c>
      <c r="AV143" s="19">
        <f t="shared" si="14"/>
        <v>0.28441174196270441</v>
      </c>
      <c r="AW143" s="20" t="str">
        <f t="shared" si="15"/>
        <v>March</v>
      </c>
      <c r="AX143" s="21">
        <f t="shared" si="16"/>
        <v>2024</v>
      </c>
    </row>
    <row r="144" spans="1:50" ht="15.75" customHeight="1">
      <c r="A144" s="10" t="s">
        <v>566</v>
      </c>
      <c r="B144" s="11">
        <v>45381</v>
      </c>
      <c r="C144" s="11">
        <v>45377</v>
      </c>
      <c r="D144" s="10" t="s">
        <v>567</v>
      </c>
      <c r="E144" s="10" t="s">
        <v>118</v>
      </c>
      <c r="F144" s="10" t="s">
        <v>124</v>
      </c>
      <c r="G144" s="10" t="s">
        <v>54</v>
      </c>
      <c r="H144" s="10" t="s">
        <v>55</v>
      </c>
      <c r="I144" s="10" t="s">
        <v>56</v>
      </c>
      <c r="J144" s="10" t="s">
        <v>103</v>
      </c>
      <c r="K144" s="10" t="s">
        <v>200</v>
      </c>
      <c r="L144" s="10" t="s">
        <v>568</v>
      </c>
      <c r="M144" s="10" t="s">
        <v>60</v>
      </c>
      <c r="N144" s="12">
        <v>5</v>
      </c>
      <c r="O144" s="12">
        <v>907.54</v>
      </c>
      <c r="P144" s="12">
        <v>0.15</v>
      </c>
      <c r="Q144" s="12">
        <v>3857.04</v>
      </c>
      <c r="R144" s="12">
        <v>2769.26</v>
      </c>
      <c r="S144" s="12">
        <v>1087.78</v>
      </c>
      <c r="T144" s="10" t="s">
        <v>61</v>
      </c>
      <c r="U144" s="13" t="s">
        <v>62</v>
      </c>
      <c r="V144" s="14" t="e">
        <f t="shared" ca="1" si="0"/>
        <v>#NAME?</v>
      </c>
      <c r="W144" s="10" t="str">
        <f ca="1">IFERROR(__xludf.DUMMYFUNCTION("IF(COUNTIF($A:$A,A138)=1,
""Unique"",
IF(COUNTUNIQUE(FILTER($V$2:$V$934,$A$2:$A$934=A138))&gt;1,
""Conflicting Duplicate"",
""Exact Duplicate""))"),"Unique")</f>
        <v>Unique</v>
      </c>
      <c r="X144" s="10" t="b">
        <f t="shared" ca="1" si="1"/>
        <v>1</v>
      </c>
      <c r="Y144" s="10" t="str">
        <f t="shared" si="2"/>
        <v>Duplicate Order ID</v>
      </c>
      <c r="Z144" s="10"/>
      <c r="AA144" s="10" t="str">
        <f t="shared" si="3"/>
        <v>Invalid</v>
      </c>
      <c r="AB144" s="15" t="str">
        <f t="shared" si="4"/>
        <v>Invalid</v>
      </c>
      <c r="AC144" s="15">
        <v>-4</v>
      </c>
      <c r="AD144" s="16" t="str">
        <f t="shared" si="5"/>
        <v>Invalid Shipping Date</v>
      </c>
      <c r="AE144" s="16" t="str">
        <f t="shared" si="6"/>
        <v>Valid</v>
      </c>
      <c r="AF144" s="16" t="str">
        <f t="shared" ref="AF144:AG144" si="299">IF(ISNUMBER(B144),"Valid","Invalid")</f>
        <v>Valid</v>
      </c>
      <c r="AG144" s="16" t="str">
        <f t="shared" si="299"/>
        <v>Valid</v>
      </c>
      <c r="AH144" s="16" t="str">
        <f t="shared" ref="AH144:AI144" si="300">IF(OR(B144="",ISBLANK(B144)),"Missing","Valid")</f>
        <v>Valid</v>
      </c>
      <c r="AI144" s="16" t="str">
        <f t="shared" si="300"/>
        <v>Valid</v>
      </c>
      <c r="AJ144" s="16" t="b">
        <v>0</v>
      </c>
      <c r="AK144" s="16" t="b">
        <v>0</v>
      </c>
      <c r="AL144" s="16" t="b">
        <v>0</v>
      </c>
      <c r="AM144" s="16" t="b">
        <v>0</v>
      </c>
      <c r="AN144" s="16" t="b">
        <v>0</v>
      </c>
      <c r="AO144" s="16" t="b">
        <v>1</v>
      </c>
      <c r="AP144" s="16" t="b">
        <v>1</v>
      </c>
      <c r="AQ144" s="17">
        <f t="shared" si="9"/>
        <v>0.15</v>
      </c>
      <c r="AR144" s="12">
        <f t="shared" si="10"/>
        <v>3857.0449999999996</v>
      </c>
      <c r="AS144" s="18">
        <f t="shared" si="11"/>
        <v>-4.999999999654392E-3</v>
      </c>
      <c r="AT144" s="12">
        <f t="shared" si="12"/>
        <v>1087.7849999999994</v>
      </c>
      <c r="AU144" s="18">
        <f t="shared" si="13"/>
        <v>-4.9999999994270183E-3</v>
      </c>
      <c r="AV144" s="19">
        <f t="shared" si="14"/>
        <v>0.28202548842442843</v>
      </c>
      <c r="AW144" s="20" t="str">
        <f t="shared" si="15"/>
        <v>March</v>
      </c>
      <c r="AX144" s="21">
        <f t="shared" si="16"/>
        <v>2024</v>
      </c>
    </row>
    <row r="145" spans="1:50" ht="15.75" customHeight="1">
      <c r="A145" s="10" t="s">
        <v>569</v>
      </c>
      <c r="B145" s="11">
        <v>45375</v>
      </c>
      <c r="C145" s="11">
        <v>45377</v>
      </c>
      <c r="D145" s="10" t="s">
        <v>570</v>
      </c>
      <c r="E145" s="10" t="s">
        <v>143</v>
      </c>
      <c r="F145" s="10" t="s">
        <v>53</v>
      </c>
      <c r="G145" s="10" t="s">
        <v>92</v>
      </c>
      <c r="H145" s="10" t="s">
        <v>209</v>
      </c>
      <c r="I145" s="10" t="s">
        <v>210</v>
      </c>
      <c r="J145" s="10" t="s">
        <v>57</v>
      </c>
      <c r="K145" s="10" t="s">
        <v>58</v>
      </c>
      <c r="L145" s="10" t="s">
        <v>571</v>
      </c>
      <c r="M145" s="10" t="s">
        <v>60</v>
      </c>
      <c r="N145" s="12">
        <v>1</v>
      </c>
      <c r="O145" s="12">
        <v>3409.5</v>
      </c>
      <c r="P145" s="12">
        <v>0.1</v>
      </c>
      <c r="Q145" s="12">
        <v>3068.55</v>
      </c>
      <c r="R145" s="12">
        <v>1916.16</v>
      </c>
      <c r="S145" s="12">
        <v>1152.3900000000001</v>
      </c>
      <c r="T145" s="10" t="s">
        <v>61</v>
      </c>
      <c r="U145" s="13" t="s">
        <v>132</v>
      </c>
      <c r="V145" s="14" t="e">
        <f t="shared" ca="1" si="0"/>
        <v>#NAME?</v>
      </c>
      <c r="W145" s="10" t="str">
        <f ca="1">IFERROR(__xludf.DUMMYFUNCTION("IF(COUNTIF($A:$A,A139)=1,
""Unique"",
IF(COUNTUNIQUE(FILTER($V$2:$V$934,$A$2:$A$934=A139))&gt;1,
""Conflicting Duplicate"",
""Exact Duplicate""))"),"Unique")</f>
        <v>Unique</v>
      </c>
      <c r="X145" s="10" t="b">
        <f t="shared" ca="1" si="1"/>
        <v>1</v>
      </c>
      <c r="Y145" s="10" t="str">
        <f t="shared" si="2"/>
        <v>Unique</v>
      </c>
      <c r="Z145" s="10"/>
      <c r="AA145" s="10" t="str">
        <f t="shared" si="3"/>
        <v>Clean</v>
      </c>
      <c r="AB145" s="15" t="str">
        <f t="shared" si="4"/>
        <v>Valid</v>
      </c>
      <c r="AC145" s="15">
        <v>2</v>
      </c>
      <c r="AD145" s="16" t="str">
        <f t="shared" si="5"/>
        <v>Valid</v>
      </c>
      <c r="AE145" s="16" t="str">
        <f t="shared" si="6"/>
        <v>Valid</v>
      </c>
      <c r="AF145" s="16" t="str">
        <f t="shared" ref="AF145:AG145" si="301">IF(ISNUMBER(B145),"Valid","Invalid")</f>
        <v>Valid</v>
      </c>
      <c r="AG145" s="16" t="str">
        <f t="shared" si="301"/>
        <v>Valid</v>
      </c>
      <c r="AH145" s="16" t="str">
        <f t="shared" ref="AH145:AI145" si="302">IF(OR(B145="",ISBLANK(B145)),"Missing","Valid")</f>
        <v>Valid</v>
      </c>
      <c r="AI145" s="16" t="str">
        <f t="shared" si="302"/>
        <v>Valid</v>
      </c>
      <c r="AJ145" s="16" t="b">
        <v>0</v>
      </c>
      <c r="AK145" s="16" t="b">
        <v>0</v>
      </c>
      <c r="AL145" s="16" t="b">
        <v>0</v>
      </c>
      <c r="AM145" s="16" t="b">
        <v>0</v>
      </c>
      <c r="AN145" s="16" t="b">
        <v>0</v>
      </c>
      <c r="AO145" s="16" t="b">
        <v>0</v>
      </c>
      <c r="AP145" s="16" t="b">
        <v>0</v>
      </c>
      <c r="AQ145" s="17">
        <f t="shared" si="9"/>
        <v>0.1</v>
      </c>
      <c r="AR145" s="12">
        <f t="shared" si="10"/>
        <v>3068.55</v>
      </c>
      <c r="AS145" s="18">
        <f t="shared" si="11"/>
        <v>0</v>
      </c>
      <c r="AT145" s="12">
        <f t="shared" si="12"/>
        <v>1152.3900000000001</v>
      </c>
      <c r="AU145" s="18">
        <f t="shared" si="13"/>
        <v>0</v>
      </c>
      <c r="AV145" s="19">
        <f t="shared" si="14"/>
        <v>0.3755487119323459</v>
      </c>
      <c r="AW145" s="20" t="str">
        <f t="shared" si="15"/>
        <v>March</v>
      </c>
      <c r="AX145" s="21">
        <f t="shared" si="16"/>
        <v>2024</v>
      </c>
    </row>
    <row r="146" spans="1:50" ht="15.75" customHeight="1">
      <c r="A146" s="10" t="s">
        <v>572</v>
      </c>
      <c r="B146" s="11">
        <v>45450</v>
      </c>
      <c r="C146" s="11">
        <v>45458</v>
      </c>
      <c r="D146" s="10" t="s">
        <v>573</v>
      </c>
      <c r="E146" s="10" t="s">
        <v>294</v>
      </c>
      <c r="F146" s="10" t="s">
        <v>66</v>
      </c>
      <c r="G146" s="10" t="s">
        <v>83</v>
      </c>
      <c r="H146" s="10" t="s">
        <v>84</v>
      </c>
      <c r="I146" s="10" t="s">
        <v>85</v>
      </c>
      <c r="J146" s="10" t="s">
        <v>103</v>
      </c>
      <c r="K146" s="10" t="s">
        <v>104</v>
      </c>
      <c r="L146" s="10" t="s">
        <v>574</v>
      </c>
      <c r="M146" s="10" t="s">
        <v>79</v>
      </c>
      <c r="N146" s="12">
        <v>7</v>
      </c>
      <c r="O146" s="12">
        <v>2147.9899999999998</v>
      </c>
      <c r="P146" s="12">
        <v>0.25</v>
      </c>
      <c r="Q146" s="12">
        <v>11276.95</v>
      </c>
      <c r="R146" s="12">
        <v>6908.76</v>
      </c>
      <c r="S146" s="12">
        <v>4368.1899999999996</v>
      </c>
      <c r="T146" s="10" t="s">
        <v>131</v>
      </c>
      <c r="U146" s="13" t="s">
        <v>132</v>
      </c>
      <c r="V146" s="14" t="e">
        <f t="shared" ca="1" si="0"/>
        <v>#NAME?</v>
      </c>
      <c r="W146" s="10" t="str">
        <f ca="1">IFERROR(__xludf.DUMMYFUNCTION("IF(COUNTIF($A:$A,A140)=1,
""Unique"",
IF(COUNTUNIQUE(FILTER($V$2:$V$934,$A$2:$A$934=A140))&gt;1,
""Conflicting Duplicate"",
""Exact Duplicate""))"),"Unique")</f>
        <v>Unique</v>
      </c>
      <c r="X146" s="10" t="b">
        <f t="shared" ca="1" si="1"/>
        <v>1</v>
      </c>
      <c r="Y146" s="10" t="str">
        <f t="shared" si="2"/>
        <v>Unique</v>
      </c>
      <c r="Z146" s="10"/>
      <c r="AA146" s="10" t="str">
        <f t="shared" si="3"/>
        <v>Clean</v>
      </c>
      <c r="AB146" s="15" t="str">
        <f t="shared" si="4"/>
        <v>Valid</v>
      </c>
      <c r="AC146" s="15">
        <v>8</v>
      </c>
      <c r="AD146" s="16" t="str">
        <f t="shared" si="5"/>
        <v>Valid</v>
      </c>
      <c r="AE146" s="16" t="str">
        <f t="shared" si="6"/>
        <v>Valid</v>
      </c>
      <c r="AF146" s="16" t="str">
        <f t="shared" ref="AF146:AG146" si="303">IF(ISNUMBER(B146),"Valid","Invalid")</f>
        <v>Valid</v>
      </c>
      <c r="AG146" s="16" t="str">
        <f t="shared" si="303"/>
        <v>Valid</v>
      </c>
      <c r="AH146" s="16" t="str">
        <f t="shared" ref="AH146:AI146" si="304">IF(OR(B146="",ISBLANK(B146)),"Missing","Valid")</f>
        <v>Valid</v>
      </c>
      <c r="AI146" s="16" t="str">
        <f t="shared" si="304"/>
        <v>Valid</v>
      </c>
      <c r="AJ146" s="16" t="b">
        <v>0</v>
      </c>
      <c r="AK146" s="16" t="b">
        <v>0</v>
      </c>
      <c r="AL146" s="16" t="b">
        <v>0</v>
      </c>
      <c r="AM146" s="16" t="b">
        <v>0</v>
      </c>
      <c r="AN146" s="16" t="b">
        <v>0</v>
      </c>
      <c r="AO146" s="16" t="b">
        <v>0</v>
      </c>
      <c r="AP146" s="16" t="b">
        <v>0</v>
      </c>
      <c r="AQ146" s="17">
        <f t="shared" si="9"/>
        <v>0.25</v>
      </c>
      <c r="AR146" s="12">
        <f t="shared" si="10"/>
        <v>11276.947499999998</v>
      </c>
      <c r="AS146" s="18">
        <f t="shared" si="11"/>
        <v>2.5000000023283064E-3</v>
      </c>
      <c r="AT146" s="12">
        <f t="shared" si="12"/>
        <v>4368.1874999999982</v>
      </c>
      <c r="AU146" s="18">
        <f t="shared" si="13"/>
        <v>2.5000000014188117E-3</v>
      </c>
      <c r="AV146" s="19">
        <f t="shared" si="14"/>
        <v>0.38735548782150481</v>
      </c>
      <c r="AW146" s="20" t="str">
        <f t="shared" si="15"/>
        <v>June</v>
      </c>
      <c r="AX146" s="21">
        <f t="shared" si="16"/>
        <v>2024</v>
      </c>
    </row>
    <row r="147" spans="1:50" ht="15.75" customHeight="1">
      <c r="A147" s="10" t="s">
        <v>575</v>
      </c>
      <c r="B147" s="11">
        <v>45758</v>
      </c>
      <c r="C147" s="11">
        <v>45760</v>
      </c>
      <c r="D147" s="10" t="s">
        <v>576</v>
      </c>
      <c r="E147" s="10" t="s">
        <v>65</v>
      </c>
      <c r="F147" s="10" t="s">
        <v>66</v>
      </c>
      <c r="G147" s="10" t="s">
        <v>92</v>
      </c>
      <c r="H147" s="10" t="s">
        <v>219</v>
      </c>
      <c r="I147" s="10" t="s">
        <v>220</v>
      </c>
      <c r="J147" s="10" t="s">
        <v>57</v>
      </c>
      <c r="K147" s="10" t="s">
        <v>58</v>
      </c>
      <c r="L147" s="10" t="s">
        <v>577</v>
      </c>
      <c r="M147" s="10" t="s">
        <v>88</v>
      </c>
      <c r="N147" s="12">
        <v>4</v>
      </c>
      <c r="O147" s="12">
        <v>4182.1499999999996</v>
      </c>
      <c r="P147" s="12">
        <v>0.1</v>
      </c>
      <c r="Q147" s="12">
        <v>15055.74</v>
      </c>
      <c r="R147" s="12">
        <v>9808.83</v>
      </c>
      <c r="S147" s="12">
        <v>5246.91</v>
      </c>
      <c r="T147" s="10" t="s">
        <v>61</v>
      </c>
      <c r="U147" s="13" t="s">
        <v>62</v>
      </c>
      <c r="V147" s="14" t="e">
        <f t="shared" ca="1" si="0"/>
        <v>#NAME?</v>
      </c>
      <c r="W147" s="10" t="str">
        <f ca="1">IFERROR(__xludf.DUMMYFUNCTION("IF(COUNTIF($A:$A,A141)=1,
""Unique"",
IF(COUNTUNIQUE(FILTER($V$2:$V$934,$A$2:$A$934=A141))&gt;1,
""Conflicting Duplicate"",
""Exact Duplicate""))"),"Unique")</f>
        <v>Unique</v>
      </c>
      <c r="X147" s="10" t="b">
        <f t="shared" ca="1" si="1"/>
        <v>1</v>
      </c>
      <c r="Y147" s="10" t="str">
        <f t="shared" si="2"/>
        <v>Unique</v>
      </c>
      <c r="Z147" s="10"/>
      <c r="AA147" s="10" t="str">
        <f t="shared" si="3"/>
        <v>Clean</v>
      </c>
      <c r="AB147" s="15" t="str">
        <f t="shared" si="4"/>
        <v>Valid</v>
      </c>
      <c r="AC147" s="15">
        <v>2</v>
      </c>
      <c r="AD147" s="16" t="str">
        <f t="shared" si="5"/>
        <v>Valid</v>
      </c>
      <c r="AE147" s="16" t="str">
        <f t="shared" si="6"/>
        <v>Valid</v>
      </c>
      <c r="AF147" s="16" t="str">
        <f t="shared" ref="AF147:AG147" si="305">IF(ISNUMBER(B147),"Valid","Invalid")</f>
        <v>Valid</v>
      </c>
      <c r="AG147" s="16" t="str">
        <f t="shared" si="305"/>
        <v>Valid</v>
      </c>
      <c r="AH147" s="16" t="str">
        <f t="shared" ref="AH147:AI147" si="306">IF(OR(B147="",ISBLANK(B147)),"Missing","Valid")</f>
        <v>Valid</v>
      </c>
      <c r="AI147" s="16" t="str">
        <f t="shared" si="306"/>
        <v>Valid</v>
      </c>
      <c r="AJ147" s="16" t="b">
        <v>0</v>
      </c>
      <c r="AK147" s="16" t="b">
        <v>0</v>
      </c>
      <c r="AL147" s="16" t="b">
        <v>0</v>
      </c>
      <c r="AM147" s="16" t="b">
        <v>0</v>
      </c>
      <c r="AN147" s="16" t="b">
        <v>0</v>
      </c>
      <c r="AO147" s="16" t="b">
        <v>0</v>
      </c>
      <c r="AP147" s="16" t="b">
        <v>0</v>
      </c>
      <c r="AQ147" s="17">
        <f t="shared" si="9"/>
        <v>0.1</v>
      </c>
      <c r="AR147" s="12">
        <f t="shared" si="10"/>
        <v>15055.74</v>
      </c>
      <c r="AS147" s="18">
        <f t="shared" si="11"/>
        <v>0</v>
      </c>
      <c r="AT147" s="12">
        <f t="shared" si="12"/>
        <v>5246.91</v>
      </c>
      <c r="AU147" s="18">
        <f t="shared" si="13"/>
        <v>0</v>
      </c>
      <c r="AV147" s="19">
        <f t="shared" si="14"/>
        <v>0.34849897779850075</v>
      </c>
      <c r="AW147" s="20" t="str">
        <f t="shared" si="15"/>
        <v>April</v>
      </c>
      <c r="AX147" s="21">
        <f t="shared" si="16"/>
        <v>2025</v>
      </c>
    </row>
    <row r="148" spans="1:50" ht="15.75" customHeight="1">
      <c r="A148" s="10" t="s">
        <v>578</v>
      </c>
      <c r="B148" s="11">
        <v>45868</v>
      </c>
      <c r="C148" s="11">
        <v>45870</v>
      </c>
      <c r="D148" s="10" t="s">
        <v>579</v>
      </c>
      <c r="E148" s="10" t="s">
        <v>161</v>
      </c>
      <c r="F148" s="10" t="s">
        <v>66</v>
      </c>
      <c r="G148" s="10" t="s">
        <v>83</v>
      </c>
      <c r="H148" s="10" t="s">
        <v>277</v>
      </c>
      <c r="I148" s="10" t="s">
        <v>278</v>
      </c>
      <c r="J148" s="10" t="s">
        <v>57</v>
      </c>
      <c r="K148" s="10" t="s">
        <v>153</v>
      </c>
      <c r="L148" s="10" t="s">
        <v>580</v>
      </c>
      <c r="M148" s="10" t="s">
        <v>73</v>
      </c>
      <c r="N148" s="12">
        <v>9</v>
      </c>
      <c r="O148" s="12">
        <v>3165.43</v>
      </c>
      <c r="P148" s="12">
        <v>0.1</v>
      </c>
      <c r="Q148" s="12">
        <v>25639.98</v>
      </c>
      <c r="R148" s="12">
        <v>21635.08</v>
      </c>
      <c r="S148" s="12">
        <v>4004.9</v>
      </c>
      <c r="T148" s="10" t="s">
        <v>61</v>
      </c>
      <c r="U148" s="13" t="s">
        <v>62</v>
      </c>
      <c r="V148" s="14" t="e">
        <f t="shared" ca="1" si="0"/>
        <v>#NAME?</v>
      </c>
      <c r="W148" s="10" t="str">
        <f ca="1">IFERROR(__xludf.DUMMYFUNCTION("IF(COUNTIF($A:$A,A142)=1,
""Unique"",
IF(COUNTUNIQUE(FILTER($V$2:$V$934,$A$2:$A$934=A142))&gt;1,
""Conflicting Duplicate"",
""Exact Duplicate""))"),"Unique")</f>
        <v>Unique</v>
      </c>
      <c r="X148" s="10" t="b">
        <f t="shared" ca="1" si="1"/>
        <v>1</v>
      </c>
      <c r="Y148" s="10" t="str">
        <f t="shared" si="2"/>
        <v>Unique</v>
      </c>
      <c r="Z148" s="10"/>
      <c r="AA148" s="10" t="str">
        <f t="shared" si="3"/>
        <v>Clean</v>
      </c>
      <c r="AB148" s="15" t="str">
        <f t="shared" si="4"/>
        <v>Valid</v>
      </c>
      <c r="AC148" s="15">
        <v>2</v>
      </c>
      <c r="AD148" s="16" t="str">
        <f t="shared" si="5"/>
        <v>Valid</v>
      </c>
      <c r="AE148" s="16" t="str">
        <f t="shared" si="6"/>
        <v>Valid</v>
      </c>
      <c r="AF148" s="16" t="str">
        <f t="shared" ref="AF148:AG148" si="307">IF(ISNUMBER(B148),"Valid","Invalid")</f>
        <v>Valid</v>
      </c>
      <c r="AG148" s="16" t="str">
        <f t="shared" si="307"/>
        <v>Valid</v>
      </c>
      <c r="AH148" s="16" t="str">
        <f t="shared" ref="AH148:AI148" si="308">IF(OR(B148="",ISBLANK(B148)),"Missing","Valid")</f>
        <v>Valid</v>
      </c>
      <c r="AI148" s="16" t="str">
        <f t="shared" si="308"/>
        <v>Valid</v>
      </c>
      <c r="AJ148" s="16" t="b">
        <v>0</v>
      </c>
      <c r="AK148" s="16" t="b">
        <v>0</v>
      </c>
      <c r="AL148" s="16" t="b">
        <v>0</v>
      </c>
      <c r="AM148" s="16" t="b">
        <v>0</v>
      </c>
      <c r="AN148" s="16" t="b">
        <v>0</v>
      </c>
      <c r="AO148" s="16" t="b">
        <v>0</v>
      </c>
      <c r="AP148" s="16" t="b">
        <v>0</v>
      </c>
      <c r="AQ148" s="17">
        <f t="shared" si="9"/>
        <v>0.1</v>
      </c>
      <c r="AR148" s="12">
        <f t="shared" si="10"/>
        <v>25639.983</v>
      </c>
      <c r="AS148" s="18">
        <f t="shared" si="11"/>
        <v>-3.0000000006111804E-3</v>
      </c>
      <c r="AT148" s="12">
        <f t="shared" si="12"/>
        <v>4004.9029999999984</v>
      </c>
      <c r="AU148" s="18">
        <f t="shared" si="13"/>
        <v>-2.9999999983374437E-3</v>
      </c>
      <c r="AV148" s="19">
        <f t="shared" si="14"/>
        <v>0.1561975684617263</v>
      </c>
      <c r="AW148" s="20" t="str">
        <f t="shared" si="15"/>
        <v>July</v>
      </c>
      <c r="AX148" s="21">
        <f t="shared" si="16"/>
        <v>2025</v>
      </c>
    </row>
    <row r="149" spans="1:50" ht="15.75" customHeight="1">
      <c r="A149" s="10" t="s">
        <v>581</v>
      </c>
      <c r="B149" s="11">
        <v>45649</v>
      </c>
      <c r="C149" s="11">
        <v>45656</v>
      </c>
      <c r="D149" s="10" t="s">
        <v>582</v>
      </c>
      <c r="E149" s="10" t="s">
        <v>143</v>
      </c>
      <c r="F149" s="10" t="s">
        <v>124</v>
      </c>
      <c r="G149" s="10" t="s">
        <v>92</v>
      </c>
      <c r="H149" s="10" t="s">
        <v>219</v>
      </c>
      <c r="I149" s="10" t="s">
        <v>220</v>
      </c>
      <c r="J149" s="10" t="s">
        <v>70</v>
      </c>
      <c r="K149" s="10" t="s">
        <v>86</v>
      </c>
      <c r="L149" s="10" t="s">
        <v>583</v>
      </c>
      <c r="M149" s="10" t="s">
        <v>79</v>
      </c>
      <c r="N149" s="12">
        <v>8</v>
      </c>
      <c r="O149" s="12">
        <v>386.1</v>
      </c>
      <c r="P149" s="12">
        <v>0.1</v>
      </c>
      <c r="Q149" s="12">
        <v>2779.92</v>
      </c>
      <c r="R149" s="12">
        <v>1744.05</v>
      </c>
      <c r="S149" s="12">
        <v>1035.8699999999999</v>
      </c>
      <c r="T149" s="10" t="s">
        <v>61</v>
      </c>
      <c r="U149" s="13" t="s">
        <v>62</v>
      </c>
      <c r="V149" s="14" t="e">
        <f t="shared" ca="1" si="0"/>
        <v>#NAME?</v>
      </c>
      <c r="W149" s="10" t="str">
        <f ca="1">IFERROR(__xludf.DUMMYFUNCTION("IF(COUNTIF($A:$A,A143)=1,
""Unique"",
IF(COUNTUNIQUE(FILTER($V$2:$V$934,$A$2:$A$934=A143))&gt;1,
""Conflicting Duplicate"",
""Exact Duplicate""))"),"Unique")</f>
        <v>Unique</v>
      </c>
      <c r="X149" s="10" t="b">
        <f t="shared" ca="1" si="1"/>
        <v>1</v>
      </c>
      <c r="Y149" s="10" t="str">
        <f t="shared" si="2"/>
        <v>Unique</v>
      </c>
      <c r="Z149" s="10"/>
      <c r="AA149" s="10" t="str">
        <f t="shared" si="3"/>
        <v>Clean</v>
      </c>
      <c r="AB149" s="15" t="str">
        <f t="shared" si="4"/>
        <v>Valid</v>
      </c>
      <c r="AC149" s="15">
        <v>7</v>
      </c>
      <c r="AD149" s="16" t="str">
        <f t="shared" si="5"/>
        <v>Valid</v>
      </c>
      <c r="AE149" s="16" t="str">
        <f t="shared" si="6"/>
        <v>Valid</v>
      </c>
      <c r="AF149" s="16" t="str">
        <f t="shared" ref="AF149:AG149" si="309">IF(ISNUMBER(B149),"Valid","Invalid")</f>
        <v>Valid</v>
      </c>
      <c r="AG149" s="16" t="str">
        <f t="shared" si="309"/>
        <v>Valid</v>
      </c>
      <c r="AH149" s="16" t="str">
        <f t="shared" ref="AH149:AI149" si="310">IF(OR(B149="",ISBLANK(B149)),"Missing","Valid")</f>
        <v>Valid</v>
      </c>
      <c r="AI149" s="16" t="str">
        <f t="shared" si="310"/>
        <v>Valid</v>
      </c>
      <c r="AJ149" s="16" t="b">
        <v>0</v>
      </c>
      <c r="AK149" s="16" t="b">
        <v>0</v>
      </c>
      <c r="AL149" s="16" t="b">
        <v>0</v>
      </c>
      <c r="AM149" s="16" t="b">
        <v>0</v>
      </c>
      <c r="AN149" s="16" t="b">
        <v>0</v>
      </c>
      <c r="AO149" s="16" t="b">
        <v>0</v>
      </c>
      <c r="AP149" s="16" t="b">
        <v>0</v>
      </c>
      <c r="AQ149" s="17">
        <f t="shared" si="9"/>
        <v>0.1</v>
      </c>
      <c r="AR149" s="12">
        <f t="shared" si="10"/>
        <v>2779.92</v>
      </c>
      <c r="AS149" s="18">
        <f t="shared" si="11"/>
        <v>0</v>
      </c>
      <c r="AT149" s="12">
        <f t="shared" si="12"/>
        <v>1035.8700000000001</v>
      </c>
      <c r="AU149" s="18">
        <f t="shared" si="13"/>
        <v>0</v>
      </c>
      <c r="AV149" s="19">
        <f t="shared" si="14"/>
        <v>0.37262583095916435</v>
      </c>
      <c r="AW149" s="20" t="str">
        <f t="shared" si="15"/>
        <v>December</v>
      </c>
      <c r="AX149" s="21">
        <f t="shared" si="16"/>
        <v>2024</v>
      </c>
    </row>
    <row r="150" spans="1:50" ht="15.75" customHeight="1">
      <c r="A150" s="10" t="s">
        <v>584</v>
      </c>
      <c r="B150" s="11">
        <v>45697</v>
      </c>
      <c r="C150" s="11">
        <v>45701</v>
      </c>
      <c r="D150" s="10" t="s">
        <v>585</v>
      </c>
      <c r="E150" s="10" t="s">
        <v>65</v>
      </c>
      <c r="F150" s="10" t="s">
        <v>124</v>
      </c>
      <c r="G150" s="10" t="s">
        <v>92</v>
      </c>
      <c r="H150" s="10" t="s">
        <v>101</v>
      </c>
      <c r="I150" s="10" t="s">
        <v>102</v>
      </c>
      <c r="J150" s="10" t="s">
        <v>103</v>
      </c>
      <c r="K150" s="10" t="s">
        <v>200</v>
      </c>
      <c r="L150" s="10" t="s">
        <v>586</v>
      </c>
      <c r="M150" s="10" t="s">
        <v>234</v>
      </c>
      <c r="N150" s="12">
        <v>8</v>
      </c>
      <c r="O150" s="12">
        <v>1696.07</v>
      </c>
      <c r="P150" s="12">
        <v>0.25</v>
      </c>
      <c r="Q150" s="12">
        <v>10176.42</v>
      </c>
      <c r="R150" s="12">
        <v>7604.47</v>
      </c>
      <c r="S150" s="12">
        <v>2571.9499999999998</v>
      </c>
      <c r="T150" s="10" t="s">
        <v>61</v>
      </c>
      <c r="U150" s="13" t="s">
        <v>62</v>
      </c>
      <c r="V150" s="14" t="e">
        <f t="shared" ca="1" si="0"/>
        <v>#NAME?</v>
      </c>
      <c r="W150" s="10" t="str">
        <f ca="1">IFERROR(__xludf.DUMMYFUNCTION("IF(COUNTIF($A:$A,A144)=1,
""Unique"",
IF(COUNTUNIQUE(FILTER($V$2:$V$934,$A$2:$A$934=A144))&gt;1,
""Conflicting Duplicate"",
""Exact Duplicate""))"),"Conflicting Duplicate")</f>
        <v>Conflicting Duplicate</v>
      </c>
      <c r="X150" s="10" t="b">
        <f t="shared" ca="1" si="1"/>
        <v>1</v>
      </c>
      <c r="Y150" s="10" t="str">
        <f t="shared" si="2"/>
        <v>Unique</v>
      </c>
      <c r="Z150" s="10"/>
      <c r="AA150" s="10" t="str">
        <f t="shared" si="3"/>
        <v>Warning</v>
      </c>
      <c r="AB150" s="15" t="str">
        <f t="shared" si="4"/>
        <v>Valid</v>
      </c>
      <c r="AC150" s="15">
        <v>4</v>
      </c>
      <c r="AD150" s="16" t="str">
        <f t="shared" si="5"/>
        <v>Valid</v>
      </c>
      <c r="AE150" s="16" t="str">
        <f t="shared" si="6"/>
        <v>Valid</v>
      </c>
      <c r="AF150" s="16" t="str">
        <f t="shared" ref="AF150:AG150" si="311">IF(ISNUMBER(B150),"Valid","Invalid")</f>
        <v>Valid</v>
      </c>
      <c r="AG150" s="16" t="str">
        <f t="shared" si="311"/>
        <v>Valid</v>
      </c>
      <c r="AH150" s="16" t="str">
        <f t="shared" ref="AH150:AI150" si="312">IF(OR(B150="",ISBLANK(B150)),"Missing","Valid")</f>
        <v>Valid</v>
      </c>
      <c r="AI150" s="16" t="str">
        <f t="shared" si="312"/>
        <v>Valid</v>
      </c>
      <c r="AJ150" s="16" t="b">
        <v>0</v>
      </c>
      <c r="AK150" s="16" t="b">
        <v>1</v>
      </c>
      <c r="AL150" s="16" t="b">
        <v>0</v>
      </c>
      <c r="AM150" s="16" t="b">
        <v>0</v>
      </c>
      <c r="AN150" s="16" t="b">
        <v>0</v>
      </c>
      <c r="AO150" s="16" t="b">
        <v>0</v>
      </c>
      <c r="AP150" s="16" t="b">
        <v>1</v>
      </c>
      <c r="AQ150" s="17">
        <f t="shared" si="9"/>
        <v>0.25</v>
      </c>
      <c r="AR150" s="12">
        <f t="shared" si="10"/>
        <v>10176.42</v>
      </c>
      <c r="AS150" s="18">
        <f t="shared" si="11"/>
        <v>0</v>
      </c>
      <c r="AT150" s="12">
        <f t="shared" si="12"/>
        <v>2571.9499999999998</v>
      </c>
      <c r="AU150" s="18">
        <f t="shared" si="13"/>
        <v>0</v>
      </c>
      <c r="AV150" s="19">
        <f t="shared" si="14"/>
        <v>0.252736227474888</v>
      </c>
      <c r="AW150" s="20" t="str">
        <f t="shared" si="15"/>
        <v>February</v>
      </c>
      <c r="AX150" s="21">
        <f t="shared" si="16"/>
        <v>2025</v>
      </c>
    </row>
    <row r="151" spans="1:50" ht="15.75" customHeight="1">
      <c r="A151" s="10" t="s">
        <v>587</v>
      </c>
      <c r="B151" s="11">
        <v>45321</v>
      </c>
      <c r="C151" s="11">
        <v>45321</v>
      </c>
      <c r="D151" s="10" t="s">
        <v>588</v>
      </c>
      <c r="E151" s="10" t="s">
        <v>157</v>
      </c>
      <c r="F151" s="10" t="s">
        <v>66</v>
      </c>
      <c r="G151" s="10" t="s">
        <v>92</v>
      </c>
      <c r="H151" s="10" t="s">
        <v>55</v>
      </c>
      <c r="I151" s="10" t="s">
        <v>138</v>
      </c>
      <c r="J151" s="10" t="s">
        <v>103</v>
      </c>
      <c r="K151" s="10" t="s">
        <v>109</v>
      </c>
      <c r="L151" s="10" t="s">
        <v>589</v>
      </c>
      <c r="M151" s="10" t="s">
        <v>73</v>
      </c>
      <c r="N151" s="12">
        <v>7</v>
      </c>
      <c r="O151" s="12">
        <v>2527.61</v>
      </c>
      <c r="P151" s="12">
        <v>0.25</v>
      </c>
      <c r="Q151" s="12">
        <v>13269.95</v>
      </c>
      <c r="R151" s="12">
        <v>8977.1</v>
      </c>
      <c r="S151" s="12">
        <v>4292.8500000000004</v>
      </c>
      <c r="T151" s="10" t="s">
        <v>61</v>
      </c>
      <c r="U151" s="13" t="s">
        <v>62</v>
      </c>
      <c r="V151" s="14" t="e">
        <f t="shared" ca="1" si="0"/>
        <v>#NAME?</v>
      </c>
      <c r="W151" s="10" t="str">
        <f ca="1">IFERROR(__xludf.DUMMYFUNCTION("IF(COUNTIF($A:$A,A145)=1,
""Unique"",
IF(COUNTUNIQUE(FILTER($V$2:$V$934,$A$2:$A$934=A145))&gt;1,
""Conflicting Duplicate"",
""Exact Duplicate""))"),"Unique")</f>
        <v>Unique</v>
      </c>
      <c r="X151" s="10" t="b">
        <f t="shared" ca="1" si="1"/>
        <v>1</v>
      </c>
      <c r="Y151" s="10" t="str">
        <f t="shared" si="2"/>
        <v>Unique</v>
      </c>
      <c r="Z151" s="10"/>
      <c r="AA151" s="10" t="str">
        <f t="shared" si="3"/>
        <v>Clean</v>
      </c>
      <c r="AB151" s="15" t="str">
        <f t="shared" si="4"/>
        <v>Valid</v>
      </c>
      <c r="AC151" s="15">
        <v>0</v>
      </c>
      <c r="AD151" s="16" t="str">
        <f t="shared" si="5"/>
        <v>Valid</v>
      </c>
      <c r="AE151" s="16" t="str">
        <f t="shared" si="6"/>
        <v>Valid</v>
      </c>
      <c r="AF151" s="16" t="str">
        <f t="shared" ref="AF151:AG151" si="313">IF(ISNUMBER(B151),"Valid","Invalid")</f>
        <v>Valid</v>
      </c>
      <c r="AG151" s="16" t="str">
        <f t="shared" si="313"/>
        <v>Valid</v>
      </c>
      <c r="AH151" s="16" t="str">
        <f t="shared" ref="AH151:AI151" si="314">IF(OR(B151="",ISBLANK(B151)),"Missing","Valid")</f>
        <v>Valid</v>
      </c>
      <c r="AI151" s="16" t="str">
        <f t="shared" si="314"/>
        <v>Valid</v>
      </c>
      <c r="AJ151" s="16" t="b">
        <v>0</v>
      </c>
      <c r="AK151" s="16" t="b">
        <v>0</v>
      </c>
      <c r="AL151" s="16" t="b">
        <v>0</v>
      </c>
      <c r="AM151" s="16" t="b">
        <v>0</v>
      </c>
      <c r="AN151" s="16" t="b">
        <v>0</v>
      </c>
      <c r="AO151" s="16" t="b">
        <v>0</v>
      </c>
      <c r="AP151" s="16" t="b">
        <v>0</v>
      </c>
      <c r="AQ151" s="17">
        <f t="shared" si="9"/>
        <v>0.25</v>
      </c>
      <c r="AR151" s="12">
        <f t="shared" si="10"/>
        <v>13269.952499999999</v>
      </c>
      <c r="AS151" s="18">
        <f t="shared" si="11"/>
        <v>-2.4999999986903276E-3</v>
      </c>
      <c r="AT151" s="12">
        <f t="shared" si="12"/>
        <v>4292.8524999999991</v>
      </c>
      <c r="AU151" s="18">
        <f t="shared" si="13"/>
        <v>-2.4999999986903276E-3</v>
      </c>
      <c r="AV151" s="19">
        <f t="shared" si="14"/>
        <v>0.32350172315989822</v>
      </c>
      <c r="AW151" s="20" t="str">
        <f t="shared" si="15"/>
        <v>January</v>
      </c>
      <c r="AX151" s="21">
        <f t="shared" si="16"/>
        <v>2024</v>
      </c>
    </row>
    <row r="152" spans="1:50" ht="15.75" customHeight="1">
      <c r="A152" s="10" t="s">
        <v>590</v>
      </c>
      <c r="B152" s="11">
        <v>45355</v>
      </c>
      <c r="C152" s="11">
        <v>45363</v>
      </c>
      <c r="D152" s="10" t="s">
        <v>591</v>
      </c>
      <c r="E152" s="10" t="s">
        <v>82</v>
      </c>
      <c r="F152" s="10" t="s">
        <v>53</v>
      </c>
      <c r="G152" s="10" t="s">
        <v>234</v>
      </c>
      <c r="H152" s="10" t="s">
        <v>209</v>
      </c>
      <c r="I152" s="10" t="s">
        <v>210</v>
      </c>
      <c r="J152" s="10" t="s">
        <v>70</v>
      </c>
      <c r="K152" s="10" t="s">
        <v>187</v>
      </c>
      <c r="L152" s="10" t="s">
        <v>592</v>
      </c>
      <c r="M152" s="10" t="s">
        <v>79</v>
      </c>
      <c r="N152" s="12">
        <v>1</v>
      </c>
      <c r="O152" s="12">
        <v>1554.12</v>
      </c>
      <c r="P152" s="12">
        <v>0.1</v>
      </c>
      <c r="Q152" s="12">
        <v>1398.71</v>
      </c>
      <c r="R152" s="12">
        <v>1056.92</v>
      </c>
      <c r="S152" s="12">
        <v>341.79</v>
      </c>
      <c r="T152" s="10" t="s">
        <v>61</v>
      </c>
      <c r="U152" s="13" t="s">
        <v>62</v>
      </c>
      <c r="V152" s="14" t="e">
        <f t="shared" ca="1" si="0"/>
        <v>#NAME?</v>
      </c>
      <c r="W152" s="10" t="str">
        <f ca="1">IFERROR(__xludf.DUMMYFUNCTION("IF(COUNTIF($A:$A,A146)=1,
""Unique"",
IF(COUNTUNIQUE(FILTER($V$2:$V$934,$A$2:$A$934=A146))&gt;1,
""Conflicting Duplicate"",
""Exact Duplicate""))"),"Unique")</f>
        <v>Unique</v>
      </c>
      <c r="X152" s="10" t="b">
        <f t="shared" ca="1" si="1"/>
        <v>1</v>
      </c>
      <c r="Y152" s="10" t="str">
        <f t="shared" si="2"/>
        <v>Unique</v>
      </c>
      <c r="Z152" s="10"/>
      <c r="AA152" s="10" t="str">
        <f t="shared" si="3"/>
        <v>Warning</v>
      </c>
      <c r="AB152" s="15" t="str">
        <f t="shared" si="4"/>
        <v>Valid</v>
      </c>
      <c r="AC152" s="15">
        <v>8</v>
      </c>
      <c r="AD152" s="16" t="str">
        <f t="shared" si="5"/>
        <v>Valid</v>
      </c>
      <c r="AE152" s="16" t="str">
        <f t="shared" si="6"/>
        <v>Valid</v>
      </c>
      <c r="AF152" s="16" t="str">
        <f t="shared" ref="AF152:AG152" si="315">IF(ISNUMBER(B152),"Valid","Invalid")</f>
        <v>Valid</v>
      </c>
      <c r="AG152" s="16" t="str">
        <f t="shared" si="315"/>
        <v>Valid</v>
      </c>
      <c r="AH152" s="16" t="str">
        <f t="shared" ref="AH152:AI152" si="316">IF(OR(B152="",ISBLANK(B152)),"Missing","Valid")</f>
        <v>Valid</v>
      </c>
      <c r="AI152" s="16" t="str">
        <f t="shared" si="316"/>
        <v>Valid</v>
      </c>
      <c r="AJ152" s="16" t="b">
        <v>1</v>
      </c>
      <c r="AK152" s="16" t="b">
        <v>0</v>
      </c>
      <c r="AL152" s="16" t="b">
        <v>0</v>
      </c>
      <c r="AM152" s="16" t="b">
        <v>0</v>
      </c>
      <c r="AN152" s="16" t="b">
        <v>0</v>
      </c>
      <c r="AO152" s="16" t="b">
        <v>0</v>
      </c>
      <c r="AP152" s="16" t="b">
        <v>1</v>
      </c>
      <c r="AQ152" s="17">
        <f t="shared" si="9"/>
        <v>0.1</v>
      </c>
      <c r="AR152" s="12">
        <f t="shared" si="10"/>
        <v>1398.7079999999999</v>
      </c>
      <c r="AS152" s="18">
        <f t="shared" si="11"/>
        <v>2.00000000018008E-3</v>
      </c>
      <c r="AT152" s="12">
        <f t="shared" si="12"/>
        <v>341.78799999999978</v>
      </c>
      <c r="AU152" s="18">
        <f t="shared" si="13"/>
        <v>2.0000000002369234E-3</v>
      </c>
      <c r="AV152" s="19">
        <f t="shared" si="14"/>
        <v>0.24435979489643286</v>
      </c>
      <c r="AW152" s="20" t="str">
        <f t="shared" si="15"/>
        <v>March</v>
      </c>
      <c r="AX152" s="21">
        <f t="shared" si="16"/>
        <v>2024</v>
      </c>
    </row>
    <row r="153" spans="1:50" ht="15.75" customHeight="1">
      <c r="A153" s="10" t="s">
        <v>593</v>
      </c>
      <c r="B153" s="11">
        <v>45470</v>
      </c>
      <c r="C153" s="11">
        <v>45470</v>
      </c>
      <c r="D153" s="10" t="s">
        <v>594</v>
      </c>
      <c r="E153" s="10" t="s">
        <v>108</v>
      </c>
      <c r="F153" s="10" t="s">
        <v>124</v>
      </c>
      <c r="G153" s="10" t="s">
        <v>234</v>
      </c>
      <c r="H153" s="10" t="s">
        <v>101</v>
      </c>
      <c r="I153" s="10" t="s">
        <v>102</v>
      </c>
      <c r="J153" s="10" t="s">
        <v>103</v>
      </c>
      <c r="K153" s="10" t="s">
        <v>109</v>
      </c>
      <c r="L153" s="10" t="s">
        <v>595</v>
      </c>
      <c r="M153" s="10" t="s">
        <v>88</v>
      </c>
      <c r="N153" s="12">
        <v>2</v>
      </c>
      <c r="O153" s="12">
        <v>3859.11</v>
      </c>
      <c r="P153" s="12">
        <v>0</v>
      </c>
      <c r="Q153" s="12">
        <v>7718.22</v>
      </c>
      <c r="R153" s="12">
        <v>5355.93</v>
      </c>
      <c r="S153" s="12">
        <v>2362.29</v>
      </c>
      <c r="T153" s="10" t="s">
        <v>140</v>
      </c>
      <c r="U153" s="13" t="s">
        <v>132</v>
      </c>
      <c r="V153" s="14" t="e">
        <f t="shared" ca="1" si="0"/>
        <v>#NAME?</v>
      </c>
      <c r="W153" s="10" t="str">
        <f ca="1">IFERROR(__xludf.DUMMYFUNCTION("IF(COUNTIF($A:$A,A147)=1,
""Unique"",
IF(COUNTUNIQUE(FILTER($V$2:$V$934,$A$2:$A$934=A147))&gt;1,
""Conflicting Duplicate"",
""Exact Duplicate""))"),"Unique")</f>
        <v>Unique</v>
      </c>
      <c r="X153" s="10" t="b">
        <f t="shared" ca="1" si="1"/>
        <v>1</v>
      </c>
      <c r="Y153" s="10" t="str">
        <f t="shared" si="2"/>
        <v>Unique</v>
      </c>
      <c r="Z153" s="10"/>
      <c r="AA153" s="10" t="str">
        <f t="shared" si="3"/>
        <v>Warning</v>
      </c>
      <c r="AB153" s="15" t="str">
        <f t="shared" si="4"/>
        <v>Valid</v>
      </c>
      <c r="AC153" s="15">
        <v>0</v>
      </c>
      <c r="AD153" s="16" t="str">
        <f t="shared" si="5"/>
        <v>Valid</v>
      </c>
      <c r="AE153" s="16" t="str">
        <f t="shared" si="6"/>
        <v>Valid</v>
      </c>
      <c r="AF153" s="16" t="str">
        <f t="shared" ref="AF153:AG153" si="317">IF(ISNUMBER(B153),"Valid","Invalid")</f>
        <v>Valid</v>
      </c>
      <c r="AG153" s="16" t="str">
        <f t="shared" si="317"/>
        <v>Valid</v>
      </c>
      <c r="AH153" s="16" t="str">
        <f t="shared" ref="AH153:AI153" si="318">IF(OR(B153="",ISBLANK(B153)),"Missing","Valid")</f>
        <v>Valid</v>
      </c>
      <c r="AI153" s="16" t="str">
        <f t="shared" si="318"/>
        <v>Valid</v>
      </c>
      <c r="AJ153" s="16" t="b">
        <v>1</v>
      </c>
      <c r="AK153" s="16" t="b">
        <v>0</v>
      </c>
      <c r="AL153" s="16" t="b">
        <v>0</v>
      </c>
      <c r="AM153" s="16" t="b">
        <v>0</v>
      </c>
      <c r="AN153" s="16" t="b">
        <v>0</v>
      </c>
      <c r="AO153" s="16" t="b">
        <v>0</v>
      </c>
      <c r="AP153" s="16" t="b">
        <v>1</v>
      </c>
      <c r="AQ153" s="17">
        <f t="shared" si="9"/>
        <v>0</v>
      </c>
      <c r="AR153" s="12">
        <f t="shared" si="10"/>
        <v>7718.22</v>
      </c>
      <c r="AS153" s="18">
        <f t="shared" si="11"/>
        <v>0</v>
      </c>
      <c r="AT153" s="12">
        <f t="shared" si="12"/>
        <v>2362.29</v>
      </c>
      <c r="AU153" s="18">
        <f t="shared" si="13"/>
        <v>0</v>
      </c>
      <c r="AV153" s="19">
        <f t="shared" si="14"/>
        <v>0.30606668376905555</v>
      </c>
      <c r="AW153" s="20" t="str">
        <f t="shared" si="15"/>
        <v>June</v>
      </c>
      <c r="AX153" s="21">
        <f t="shared" si="16"/>
        <v>2024</v>
      </c>
    </row>
    <row r="154" spans="1:50" ht="15.75" customHeight="1">
      <c r="A154" s="10" t="s">
        <v>596</v>
      </c>
      <c r="B154" s="11">
        <v>45457</v>
      </c>
      <c r="C154" s="11">
        <v>45460</v>
      </c>
      <c r="D154" s="10" t="s">
        <v>597</v>
      </c>
      <c r="E154" s="10" t="s">
        <v>294</v>
      </c>
      <c r="F154" s="10" t="s">
        <v>66</v>
      </c>
      <c r="G154" s="10" t="s">
        <v>83</v>
      </c>
      <c r="H154" s="10" t="s">
        <v>214</v>
      </c>
      <c r="I154" s="10" t="s">
        <v>215</v>
      </c>
      <c r="J154" s="10" t="s">
        <v>70</v>
      </c>
      <c r="K154" s="10" t="s">
        <v>71</v>
      </c>
      <c r="L154" s="10" t="s">
        <v>598</v>
      </c>
      <c r="M154" s="10" t="s">
        <v>60</v>
      </c>
      <c r="N154" s="12">
        <v>6</v>
      </c>
      <c r="O154" s="12">
        <v>1088.04</v>
      </c>
      <c r="P154" s="12">
        <v>0.1</v>
      </c>
      <c r="Q154" s="12">
        <v>5875.42</v>
      </c>
      <c r="R154" s="12">
        <v>4380.55</v>
      </c>
      <c r="S154" s="12">
        <v>1494.87</v>
      </c>
      <c r="T154" s="10" t="s">
        <v>140</v>
      </c>
      <c r="U154" s="13" t="s">
        <v>132</v>
      </c>
      <c r="V154" s="14" t="e">
        <f t="shared" ca="1" si="0"/>
        <v>#NAME?</v>
      </c>
      <c r="W154" s="10" t="str">
        <f ca="1">IFERROR(__xludf.DUMMYFUNCTION("IF(COUNTIF($A:$A,A148)=1,
""Unique"",
IF(COUNTUNIQUE(FILTER($V$2:$V$934,$A$2:$A$934=A148))&gt;1,
""Conflicting Duplicate"",
""Exact Duplicate""))"),"Unique")</f>
        <v>Unique</v>
      </c>
      <c r="X154" s="10" t="b">
        <f t="shared" ca="1" si="1"/>
        <v>1</v>
      </c>
      <c r="Y154" s="10" t="str">
        <f t="shared" si="2"/>
        <v>Unique</v>
      </c>
      <c r="Z154" s="10"/>
      <c r="AA154" s="10" t="str">
        <f t="shared" si="3"/>
        <v>Clean</v>
      </c>
      <c r="AB154" s="15" t="str">
        <f t="shared" si="4"/>
        <v>Valid</v>
      </c>
      <c r="AC154" s="15">
        <v>3</v>
      </c>
      <c r="AD154" s="16" t="str">
        <f t="shared" si="5"/>
        <v>Valid</v>
      </c>
      <c r="AE154" s="16" t="str">
        <f t="shared" si="6"/>
        <v>Valid</v>
      </c>
      <c r="AF154" s="16" t="str">
        <f t="shared" ref="AF154:AG154" si="319">IF(ISNUMBER(B154),"Valid","Invalid")</f>
        <v>Valid</v>
      </c>
      <c r="AG154" s="16" t="str">
        <f t="shared" si="319"/>
        <v>Valid</v>
      </c>
      <c r="AH154" s="16" t="str">
        <f t="shared" ref="AH154:AI154" si="320">IF(OR(B154="",ISBLANK(B154)),"Missing","Valid")</f>
        <v>Valid</v>
      </c>
      <c r="AI154" s="16" t="str">
        <f t="shared" si="320"/>
        <v>Valid</v>
      </c>
      <c r="AJ154" s="16" t="b">
        <v>0</v>
      </c>
      <c r="AK154" s="16" t="b">
        <v>0</v>
      </c>
      <c r="AL154" s="16" t="b">
        <v>0</v>
      </c>
      <c r="AM154" s="16" t="b">
        <v>0</v>
      </c>
      <c r="AN154" s="16" t="b">
        <v>0</v>
      </c>
      <c r="AO154" s="16" t="b">
        <v>0</v>
      </c>
      <c r="AP154" s="16" t="b">
        <v>0</v>
      </c>
      <c r="AQ154" s="17">
        <f t="shared" si="9"/>
        <v>0.1</v>
      </c>
      <c r="AR154" s="12">
        <f t="shared" si="10"/>
        <v>5875.4160000000002</v>
      </c>
      <c r="AS154" s="18">
        <f t="shared" si="11"/>
        <v>3.9999999999054126E-3</v>
      </c>
      <c r="AT154" s="12">
        <f t="shared" si="12"/>
        <v>1494.866</v>
      </c>
      <c r="AU154" s="18">
        <f t="shared" si="13"/>
        <v>3.9999999999054126E-3</v>
      </c>
      <c r="AV154" s="19">
        <f t="shared" si="14"/>
        <v>0.25442726098032886</v>
      </c>
      <c r="AW154" s="20" t="str">
        <f t="shared" si="15"/>
        <v>June</v>
      </c>
      <c r="AX154" s="21">
        <f t="shared" si="16"/>
        <v>2024</v>
      </c>
    </row>
    <row r="155" spans="1:50" ht="15.75" customHeight="1">
      <c r="A155" s="10" t="s">
        <v>599</v>
      </c>
      <c r="B155" s="11">
        <v>45923</v>
      </c>
      <c r="C155" s="11">
        <v>45925</v>
      </c>
      <c r="D155" s="10" t="s">
        <v>600</v>
      </c>
      <c r="E155" s="10" t="s">
        <v>118</v>
      </c>
      <c r="F155" s="10" t="s">
        <v>53</v>
      </c>
      <c r="G155" s="10" t="s">
        <v>67</v>
      </c>
      <c r="H155" s="10" t="s">
        <v>68</v>
      </c>
      <c r="I155" s="10" t="s">
        <v>69</v>
      </c>
      <c r="J155" s="10" t="s">
        <v>57</v>
      </c>
      <c r="K155" s="10" t="s">
        <v>120</v>
      </c>
      <c r="L155" s="10" t="s">
        <v>601</v>
      </c>
      <c r="M155" s="10" t="s">
        <v>88</v>
      </c>
      <c r="N155" s="12">
        <v>7</v>
      </c>
      <c r="O155" s="12">
        <v>3280.31</v>
      </c>
      <c r="P155" s="12">
        <v>0</v>
      </c>
      <c r="Q155" s="12">
        <v>22962.17</v>
      </c>
      <c r="R155" s="12">
        <v>15716.5</v>
      </c>
      <c r="S155" s="12">
        <v>7245.67</v>
      </c>
      <c r="T155" s="10" t="s">
        <v>131</v>
      </c>
      <c r="U155" s="13" t="s">
        <v>132</v>
      </c>
      <c r="V155" s="14" t="e">
        <f t="shared" ca="1" si="0"/>
        <v>#NAME?</v>
      </c>
      <c r="W155" s="10" t="str">
        <f ca="1">IFERROR(__xludf.DUMMYFUNCTION("IF(COUNTIF($A:$A,A149)=1,
""Unique"",
IF(COUNTUNIQUE(FILTER($V$2:$V$934,$A$2:$A$934=A149))&gt;1,
""Conflicting Duplicate"",
""Exact Duplicate""))"),"Unique")</f>
        <v>Unique</v>
      </c>
      <c r="X155" s="10" t="b">
        <f t="shared" ca="1" si="1"/>
        <v>1</v>
      </c>
      <c r="Y155" s="10" t="str">
        <f t="shared" si="2"/>
        <v>Unique</v>
      </c>
      <c r="Z155" s="10"/>
      <c r="AA155" s="10" t="str">
        <f t="shared" si="3"/>
        <v>Clean</v>
      </c>
      <c r="AB155" s="15" t="str">
        <f t="shared" si="4"/>
        <v>Valid</v>
      </c>
      <c r="AC155" s="15">
        <v>2</v>
      </c>
      <c r="AD155" s="16" t="str">
        <f t="shared" si="5"/>
        <v>Valid</v>
      </c>
      <c r="AE155" s="16" t="str">
        <f t="shared" si="6"/>
        <v>Valid</v>
      </c>
      <c r="AF155" s="16" t="str">
        <f t="shared" ref="AF155:AG155" si="321">IF(ISNUMBER(B155),"Valid","Invalid")</f>
        <v>Valid</v>
      </c>
      <c r="AG155" s="16" t="str">
        <f t="shared" si="321"/>
        <v>Valid</v>
      </c>
      <c r="AH155" s="16" t="str">
        <f t="shared" ref="AH155:AI155" si="322">IF(OR(B155="",ISBLANK(B155)),"Missing","Valid")</f>
        <v>Valid</v>
      </c>
      <c r="AI155" s="16" t="str">
        <f t="shared" si="322"/>
        <v>Valid</v>
      </c>
      <c r="AJ155" s="16" t="b">
        <v>0</v>
      </c>
      <c r="AK155" s="16" t="b">
        <v>0</v>
      </c>
      <c r="AL155" s="16" t="b">
        <v>0</v>
      </c>
      <c r="AM155" s="16" t="b">
        <v>0</v>
      </c>
      <c r="AN155" s="16" t="b">
        <v>0</v>
      </c>
      <c r="AO155" s="16" t="b">
        <v>0</v>
      </c>
      <c r="AP155" s="16" t="b">
        <v>0</v>
      </c>
      <c r="AQ155" s="17">
        <f t="shared" si="9"/>
        <v>0</v>
      </c>
      <c r="AR155" s="12">
        <f t="shared" si="10"/>
        <v>22962.17</v>
      </c>
      <c r="AS155" s="18">
        <f t="shared" si="11"/>
        <v>0</v>
      </c>
      <c r="AT155" s="12">
        <f t="shared" si="12"/>
        <v>7245.6699999999983</v>
      </c>
      <c r="AU155" s="18">
        <f t="shared" si="13"/>
        <v>0</v>
      </c>
      <c r="AV155" s="19">
        <f t="shared" si="14"/>
        <v>0.31554813852523517</v>
      </c>
      <c r="AW155" s="20" t="str">
        <f t="shared" si="15"/>
        <v>September</v>
      </c>
      <c r="AX155" s="21">
        <f t="shared" si="16"/>
        <v>2025</v>
      </c>
    </row>
    <row r="156" spans="1:50" ht="15.75" customHeight="1">
      <c r="A156" s="10" t="s">
        <v>602</v>
      </c>
      <c r="B156" s="11">
        <v>45334</v>
      </c>
      <c r="C156" s="11">
        <v>45333</v>
      </c>
      <c r="D156" s="10" t="s">
        <v>485</v>
      </c>
      <c r="E156" s="10" t="s">
        <v>143</v>
      </c>
      <c r="F156" s="10" t="s">
        <v>53</v>
      </c>
      <c r="G156" s="10" t="s">
        <v>83</v>
      </c>
      <c r="H156" s="10" t="s">
        <v>277</v>
      </c>
      <c r="I156" s="10" t="s">
        <v>278</v>
      </c>
      <c r="J156" s="10" t="s">
        <v>70</v>
      </c>
      <c r="K156" s="10" t="s">
        <v>187</v>
      </c>
      <c r="L156" s="10" t="s">
        <v>603</v>
      </c>
      <c r="M156" s="10" t="s">
        <v>73</v>
      </c>
      <c r="N156" s="12">
        <v>1</v>
      </c>
      <c r="O156" s="12">
        <v>2599.12</v>
      </c>
      <c r="P156" s="12">
        <v>0.15</v>
      </c>
      <c r="Q156" s="12">
        <v>2209.25</v>
      </c>
      <c r="R156" s="12">
        <v>1523.78</v>
      </c>
      <c r="S156" s="12">
        <v>685.47</v>
      </c>
      <c r="T156" s="10" t="s">
        <v>61</v>
      </c>
      <c r="U156" s="13" t="s">
        <v>62</v>
      </c>
      <c r="V156" s="14" t="e">
        <f t="shared" ca="1" si="0"/>
        <v>#NAME?</v>
      </c>
      <c r="W156" s="10" t="str">
        <f ca="1">IFERROR(__xludf.DUMMYFUNCTION("IF(COUNTIF($A:$A,A150)=1,
""Unique"",
IF(COUNTUNIQUE(FILTER($V$2:$V$934,$A$2:$A$934=A150))&gt;1,
""Conflicting Duplicate"",
""Exact Duplicate""))"),"Unique")</f>
        <v>Unique</v>
      </c>
      <c r="X156" s="10" t="b">
        <f t="shared" ca="1" si="1"/>
        <v>1</v>
      </c>
      <c r="Y156" s="10" t="str">
        <f t="shared" si="2"/>
        <v>Unique</v>
      </c>
      <c r="Z156" s="10"/>
      <c r="AA156" s="10" t="str">
        <f t="shared" si="3"/>
        <v>Invalid</v>
      </c>
      <c r="AB156" s="15" t="str">
        <f t="shared" si="4"/>
        <v>Invalid</v>
      </c>
      <c r="AC156" s="15">
        <v>-1</v>
      </c>
      <c r="AD156" s="16" t="str">
        <f t="shared" si="5"/>
        <v>Invalid Shipping Date</v>
      </c>
      <c r="AE156" s="16" t="str">
        <f t="shared" si="6"/>
        <v>Valid</v>
      </c>
      <c r="AF156" s="16" t="str">
        <f t="shared" ref="AF156:AG156" si="323">IF(ISNUMBER(B156),"Valid","Invalid")</f>
        <v>Valid</v>
      </c>
      <c r="AG156" s="16" t="str">
        <f t="shared" si="323"/>
        <v>Valid</v>
      </c>
      <c r="AH156" s="16" t="str">
        <f t="shared" ref="AH156:AI156" si="324">IF(OR(B156="",ISBLANK(B156)),"Missing","Valid")</f>
        <v>Valid</v>
      </c>
      <c r="AI156" s="16" t="str">
        <f t="shared" si="324"/>
        <v>Valid</v>
      </c>
      <c r="AJ156" s="16" t="b">
        <v>0</v>
      </c>
      <c r="AK156" s="16" t="b">
        <v>0</v>
      </c>
      <c r="AL156" s="16" t="b">
        <v>0</v>
      </c>
      <c r="AM156" s="16" t="b">
        <v>0</v>
      </c>
      <c r="AN156" s="16" t="b">
        <v>0</v>
      </c>
      <c r="AO156" s="16" t="b">
        <v>1</v>
      </c>
      <c r="AP156" s="16" t="b">
        <v>1</v>
      </c>
      <c r="AQ156" s="17">
        <f t="shared" si="9"/>
        <v>0.15</v>
      </c>
      <c r="AR156" s="12">
        <f t="shared" si="10"/>
        <v>2209.252</v>
      </c>
      <c r="AS156" s="18">
        <f t="shared" si="11"/>
        <v>-1.9999999999527063E-3</v>
      </c>
      <c r="AT156" s="12">
        <f t="shared" si="12"/>
        <v>685.47199999999998</v>
      </c>
      <c r="AU156" s="18">
        <f t="shared" si="13"/>
        <v>-1.9999999999527063E-3</v>
      </c>
      <c r="AV156" s="19">
        <f t="shared" si="14"/>
        <v>0.31027334138432372</v>
      </c>
      <c r="AW156" s="20" t="str">
        <f t="shared" si="15"/>
        <v>February</v>
      </c>
      <c r="AX156" s="21">
        <f t="shared" si="16"/>
        <v>2024</v>
      </c>
    </row>
    <row r="157" spans="1:50" ht="15.75" customHeight="1">
      <c r="A157" s="10" t="s">
        <v>604</v>
      </c>
      <c r="B157" s="11">
        <v>45683</v>
      </c>
      <c r="C157" s="11">
        <v>45691</v>
      </c>
      <c r="D157" s="10" t="s">
        <v>605</v>
      </c>
      <c r="E157" s="10" t="s">
        <v>52</v>
      </c>
      <c r="F157" s="10" t="s">
        <v>119</v>
      </c>
      <c r="G157" s="10" t="s">
        <v>92</v>
      </c>
      <c r="H157" s="10" t="s">
        <v>55</v>
      </c>
      <c r="I157" s="10" t="s">
        <v>138</v>
      </c>
      <c r="J157" s="10" t="s">
        <v>70</v>
      </c>
      <c r="K157" s="10" t="s">
        <v>86</v>
      </c>
      <c r="L157" s="10" t="s">
        <v>606</v>
      </c>
      <c r="M157" s="10" t="s">
        <v>73</v>
      </c>
      <c r="N157" s="12">
        <v>3</v>
      </c>
      <c r="O157" s="12">
        <v>2859.32</v>
      </c>
      <c r="P157" s="12">
        <v>0.1</v>
      </c>
      <c r="Q157" s="12">
        <v>7720.16</v>
      </c>
      <c r="R157" s="12">
        <v>5881</v>
      </c>
      <c r="S157" s="12">
        <v>1839.16</v>
      </c>
      <c r="T157" s="10" t="s">
        <v>131</v>
      </c>
      <c r="U157" s="13" t="s">
        <v>132</v>
      </c>
      <c r="V157" s="14" t="e">
        <f t="shared" ca="1" si="0"/>
        <v>#NAME?</v>
      </c>
      <c r="W157" s="10" t="str">
        <f ca="1">IFERROR(__xludf.DUMMYFUNCTION("IF(COUNTIF($A:$A,A151)=1,
""Unique"",
IF(COUNTUNIQUE(FILTER($V$2:$V$934,$A$2:$A$934=A151))&gt;1,
""Conflicting Duplicate"",
""Exact Duplicate""))"),"Unique")</f>
        <v>Unique</v>
      </c>
      <c r="X157" s="10" t="b">
        <f t="shared" ca="1" si="1"/>
        <v>1</v>
      </c>
      <c r="Y157" s="10" t="str">
        <f t="shared" si="2"/>
        <v>Unique</v>
      </c>
      <c r="Z157" s="10"/>
      <c r="AA157" s="10" t="str">
        <f t="shared" si="3"/>
        <v>Clean</v>
      </c>
      <c r="AB157" s="15" t="str">
        <f t="shared" si="4"/>
        <v>Valid</v>
      </c>
      <c r="AC157" s="15">
        <v>8</v>
      </c>
      <c r="AD157" s="16" t="str">
        <f t="shared" si="5"/>
        <v>Valid</v>
      </c>
      <c r="AE157" s="16" t="str">
        <f t="shared" si="6"/>
        <v>Valid</v>
      </c>
      <c r="AF157" s="16" t="str">
        <f t="shared" ref="AF157:AG157" si="325">IF(ISNUMBER(B157),"Valid","Invalid")</f>
        <v>Valid</v>
      </c>
      <c r="AG157" s="16" t="str">
        <f t="shared" si="325"/>
        <v>Valid</v>
      </c>
      <c r="AH157" s="16" t="str">
        <f t="shared" ref="AH157:AI157" si="326">IF(OR(B157="",ISBLANK(B157)),"Missing","Valid")</f>
        <v>Valid</v>
      </c>
      <c r="AI157" s="16" t="str">
        <f t="shared" si="326"/>
        <v>Valid</v>
      </c>
      <c r="AJ157" s="16" t="b">
        <v>0</v>
      </c>
      <c r="AK157" s="16" t="b">
        <v>0</v>
      </c>
      <c r="AL157" s="16" t="b">
        <v>0</v>
      </c>
      <c r="AM157" s="16" t="b">
        <v>0</v>
      </c>
      <c r="AN157" s="16" t="b">
        <v>0</v>
      </c>
      <c r="AO157" s="16" t="b">
        <v>0</v>
      </c>
      <c r="AP157" s="16" t="b">
        <v>0</v>
      </c>
      <c r="AQ157" s="17">
        <f t="shared" si="9"/>
        <v>0.1</v>
      </c>
      <c r="AR157" s="12">
        <f t="shared" si="10"/>
        <v>7720.1640000000007</v>
      </c>
      <c r="AS157" s="18">
        <f t="shared" si="11"/>
        <v>-4.0000000008149073E-3</v>
      </c>
      <c r="AT157" s="12">
        <f t="shared" si="12"/>
        <v>1839.1640000000007</v>
      </c>
      <c r="AU157" s="18">
        <f t="shared" si="13"/>
        <v>-4.0000000005875336E-3</v>
      </c>
      <c r="AV157" s="19">
        <f t="shared" si="14"/>
        <v>0.23822861794127695</v>
      </c>
      <c r="AW157" s="20" t="str">
        <f t="shared" si="15"/>
        <v>January</v>
      </c>
      <c r="AX157" s="21">
        <f t="shared" si="16"/>
        <v>2025</v>
      </c>
    </row>
    <row r="158" spans="1:50" ht="15.75" customHeight="1">
      <c r="A158" s="10" t="s">
        <v>607</v>
      </c>
      <c r="B158" s="11">
        <v>45743</v>
      </c>
      <c r="C158" s="11">
        <v>45743</v>
      </c>
      <c r="D158" s="10" t="s">
        <v>608</v>
      </c>
      <c r="E158" s="10" t="s">
        <v>100</v>
      </c>
      <c r="F158" s="10" t="s">
        <v>66</v>
      </c>
      <c r="G158" s="10" t="s">
        <v>67</v>
      </c>
      <c r="H158" s="10" t="s">
        <v>174</v>
      </c>
      <c r="I158" s="10" t="s">
        <v>175</v>
      </c>
      <c r="J158" s="10" t="s">
        <v>103</v>
      </c>
      <c r="K158" s="10" t="s">
        <v>304</v>
      </c>
      <c r="L158" s="10" t="s">
        <v>609</v>
      </c>
      <c r="M158" s="10" t="s">
        <v>60</v>
      </c>
      <c r="N158" s="12">
        <v>7</v>
      </c>
      <c r="O158" s="12">
        <v>2305.37</v>
      </c>
      <c r="P158" s="12">
        <v>0.25</v>
      </c>
      <c r="Q158" s="12">
        <v>12103.19</v>
      </c>
      <c r="R158" s="12">
        <v>6717.87</v>
      </c>
      <c r="S158" s="12">
        <v>5385.32</v>
      </c>
      <c r="T158" s="10" t="s">
        <v>61</v>
      </c>
      <c r="U158" s="13" t="s">
        <v>62</v>
      </c>
      <c r="V158" s="14" t="e">
        <f t="shared" ca="1" si="0"/>
        <v>#NAME?</v>
      </c>
      <c r="W158" s="10" t="str">
        <f ca="1">IFERROR(__xludf.DUMMYFUNCTION("IF(COUNTIF($A:$A,A152)=1,
""Unique"",
IF(COUNTUNIQUE(FILTER($V$2:$V$934,$A$2:$A$934=A152))&gt;1,
""Conflicting Duplicate"",
""Exact Duplicate""))"),"Unique")</f>
        <v>Unique</v>
      </c>
      <c r="X158" s="10" t="b">
        <f t="shared" ca="1" si="1"/>
        <v>1</v>
      </c>
      <c r="Y158" s="10" t="str">
        <f t="shared" si="2"/>
        <v>Unique</v>
      </c>
      <c r="Z158" s="10"/>
      <c r="AA158" s="10" t="str">
        <f t="shared" si="3"/>
        <v>Clean</v>
      </c>
      <c r="AB158" s="15" t="str">
        <f t="shared" si="4"/>
        <v>Valid</v>
      </c>
      <c r="AC158" s="15">
        <v>0</v>
      </c>
      <c r="AD158" s="16" t="str">
        <f t="shared" si="5"/>
        <v>Valid</v>
      </c>
      <c r="AE158" s="16" t="str">
        <f t="shared" si="6"/>
        <v>Valid</v>
      </c>
      <c r="AF158" s="16" t="str">
        <f t="shared" ref="AF158:AG158" si="327">IF(ISNUMBER(B158),"Valid","Invalid")</f>
        <v>Valid</v>
      </c>
      <c r="AG158" s="16" t="str">
        <f t="shared" si="327"/>
        <v>Valid</v>
      </c>
      <c r="AH158" s="16" t="str">
        <f t="shared" ref="AH158:AI158" si="328">IF(OR(B158="",ISBLANK(B158)),"Missing","Valid")</f>
        <v>Valid</v>
      </c>
      <c r="AI158" s="16" t="str">
        <f t="shared" si="328"/>
        <v>Valid</v>
      </c>
      <c r="AJ158" s="16" t="b">
        <v>0</v>
      </c>
      <c r="AK158" s="16" t="b">
        <v>0</v>
      </c>
      <c r="AL158" s="16" t="b">
        <v>0</v>
      </c>
      <c r="AM158" s="16" t="b">
        <v>0</v>
      </c>
      <c r="AN158" s="16" t="b">
        <v>0</v>
      </c>
      <c r="AO158" s="16" t="b">
        <v>0</v>
      </c>
      <c r="AP158" s="16" t="b">
        <v>0</v>
      </c>
      <c r="AQ158" s="17">
        <f t="shared" si="9"/>
        <v>0.25</v>
      </c>
      <c r="AR158" s="12">
        <f t="shared" si="10"/>
        <v>12103.192500000001</v>
      </c>
      <c r="AS158" s="18">
        <f t="shared" si="11"/>
        <v>-2.500000000509317E-3</v>
      </c>
      <c r="AT158" s="12">
        <f t="shared" si="12"/>
        <v>5385.3225000000011</v>
      </c>
      <c r="AU158" s="18">
        <f t="shared" si="13"/>
        <v>-2.5000000014188117E-3</v>
      </c>
      <c r="AV158" s="19">
        <f t="shared" si="14"/>
        <v>0.44495057812225997</v>
      </c>
      <c r="AW158" s="20" t="str">
        <f t="shared" si="15"/>
        <v>March</v>
      </c>
      <c r="AX158" s="21">
        <f t="shared" si="16"/>
        <v>2025</v>
      </c>
    </row>
    <row r="159" spans="1:50" ht="15.75" customHeight="1">
      <c r="A159" s="10" t="s">
        <v>610</v>
      </c>
      <c r="B159" s="11">
        <v>45587</v>
      </c>
      <c r="C159" s="11">
        <v>45589</v>
      </c>
      <c r="D159" s="10" t="s">
        <v>611</v>
      </c>
      <c r="E159" s="10" t="s">
        <v>170</v>
      </c>
      <c r="F159" s="10" t="s">
        <v>66</v>
      </c>
      <c r="G159" s="10" t="s">
        <v>83</v>
      </c>
      <c r="H159" s="10" t="s">
        <v>113</v>
      </c>
      <c r="I159" s="10" t="s">
        <v>114</v>
      </c>
      <c r="J159" s="10" t="s">
        <v>70</v>
      </c>
      <c r="K159" s="10" t="s">
        <v>187</v>
      </c>
      <c r="L159" s="10" t="s">
        <v>612</v>
      </c>
      <c r="M159" s="10" t="s">
        <v>88</v>
      </c>
      <c r="N159" s="12">
        <v>3</v>
      </c>
      <c r="O159" s="12">
        <v>915.84</v>
      </c>
      <c r="P159" s="12">
        <v>0.15</v>
      </c>
      <c r="Q159" s="12">
        <v>2335.39</v>
      </c>
      <c r="R159" s="12">
        <v>1466.15</v>
      </c>
      <c r="S159" s="12">
        <v>869.24</v>
      </c>
      <c r="T159" s="10" t="s">
        <v>61</v>
      </c>
      <c r="U159" s="13" t="s">
        <v>62</v>
      </c>
      <c r="V159" s="14" t="e">
        <f t="shared" ca="1" si="0"/>
        <v>#NAME?</v>
      </c>
      <c r="W159" s="10" t="str">
        <f ca="1">IFERROR(__xludf.DUMMYFUNCTION("IF(COUNTIF($A:$A,A153)=1,
""Unique"",
IF(COUNTUNIQUE(FILTER($V$2:$V$934,$A$2:$A$934=A153))&gt;1,
""Conflicting Duplicate"",
""Exact Duplicate""))"),"Unique")</f>
        <v>Unique</v>
      </c>
      <c r="X159" s="10" t="b">
        <f t="shared" ca="1" si="1"/>
        <v>1</v>
      </c>
      <c r="Y159" s="10" t="str">
        <f t="shared" si="2"/>
        <v>Unique</v>
      </c>
      <c r="Z159" s="10"/>
      <c r="AA159" s="10" t="str">
        <f t="shared" si="3"/>
        <v>Clean</v>
      </c>
      <c r="AB159" s="15" t="str">
        <f t="shared" si="4"/>
        <v>Valid</v>
      </c>
      <c r="AC159" s="15">
        <v>2</v>
      </c>
      <c r="AD159" s="16" t="str">
        <f t="shared" si="5"/>
        <v>Valid</v>
      </c>
      <c r="AE159" s="16" t="str">
        <f t="shared" si="6"/>
        <v>Valid</v>
      </c>
      <c r="AF159" s="16" t="str">
        <f t="shared" ref="AF159:AG159" si="329">IF(ISNUMBER(B159),"Valid","Invalid")</f>
        <v>Valid</v>
      </c>
      <c r="AG159" s="16" t="str">
        <f t="shared" si="329"/>
        <v>Valid</v>
      </c>
      <c r="AH159" s="16" t="str">
        <f t="shared" ref="AH159:AI159" si="330">IF(OR(B159="",ISBLANK(B159)),"Missing","Valid")</f>
        <v>Valid</v>
      </c>
      <c r="AI159" s="16" t="str">
        <f t="shared" si="330"/>
        <v>Valid</v>
      </c>
      <c r="AJ159" s="16" t="b">
        <v>0</v>
      </c>
      <c r="AK159" s="16" t="b">
        <v>0</v>
      </c>
      <c r="AL159" s="16" t="b">
        <v>0</v>
      </c>
      <c r="AM159" s="16" t="b">
        <v>0</v>
      </c>
      <c r="AN159" s="16" t="b">
        <v>0</v>
      </c>
      <c r="AO159" s="16" t="b">
        <v>0</v>
      </c>
      <c r="AP159" s="16" t="b">
        <v>0</v>
      </c>
      <c r="AQ159" s="17">
        <f t="shared" si="9"/>
        <v>0.15</v>
      </c>
      <c r="AR159" s="12">
        <f t="shared" si="10"/>
        <v>2335.3919999999998</v>
      </c>
      <c r="AS159" s="18">
        <f t="shared" si="11"/>
        <v>-1.9999999999527063E-3</v>
      </c>
      <c r="AT159" s="12">
        <f t="shared" si="12"/>
        <v>869.24199999999973</v>
      </c>
      <c r="AU159" s="18">
        <f t="shared" si="13"/>
        <v>-1.9999999997253326E-3</v>
      </c>
      <c r="AV159" s="19">
        <f t="shared" si="14"/>
        <v>0.3722038955344541</v>
      </c>
      <c r="AW159" s="20" t="str">
        <f t="shared" si="15"/>
        <v>October</v>
      </c>
      <c r="AX159" s="21">
        <f t="shared" si="16"/>
        <v>2024</v>
      </c>
    </row>
    <row r="160" spans="1:50" ht="15.75" customHeight="1">
      <c r="A160" s="10" t="s">
        <v>613</v>
      </c>
      <c r="B160" s="11">
        <v>45544</v>
      </c>
      <c r="C160" s="11">
        <v>45546</v>
      </c>
      <c r="D160" s="10" t="s">
        <v>614</v>
      </c>
      <c r="E160" s="10" t="s">
        <v>108</v>
      </c>
      <c r="F160" s="10" t="s">
        <v>124</v>
      </c>
      <c r="G160" s="10" t="s">
        <v>83</v>
      </c>
      <c r="H160" s="10" t="s">
        <v>84</v>
      </c>
      <c r="I160" s="10" t="s">
        <v>85</v>
      </c>
      <c r="J160" s="10" t="s">
        <v>70</v>
      </c>
      <c r="K160" s="10" t="s">
        <v>187</v>
      </c>
      <c r="L160" s="10" t="s">
        <v>615</v>
      </c>
      <c r="M160" s="10" t="s">
        <v>79</v>
      </c>
      <c r="N160" s="12">
        <v>1</v>
      </c>
      <c r="O160" s="12">
        <v>4199.54</v>
      </c>
      <c r="P160" s="12">
        <v>0.05</v>
      </c>
      <c r="Q160" s="12">
        <v>3989.56</v>
      </c>
      <c r="R160" s="12">
        <v>2381.38</v>
      </c>
      <c r="S160" s="12">
        <v>1608.18</v>
      </c>
      <c r="T160" s="10" t="s">
        <v>61</v>
      </c>
      <c r="U160" s="13" t="s">
        <v>62</v>
      </c>
      <c r="V160" s="14" t="e">
        <f t="shared" ca="1" si="0"/>
        <v>#NAME?</v>
      </c>
      <c r="W160" s="10" t="str">
        <f ca="1">IFERROR(__xludf.DUMMYFUNCTION("IF(COUNTIF($A:$A,A154)=1,
""Unique"",
IF(COUNTUNIQUE(FILTER($V$2:$V$934,$A$2:$A$934=A154))&gt;1,
""Conflicting Duplicate"",
""Exact Duplicate""))"),"Unique")</f>
        <v>Unique</v>
      </c>
      <c r="X160" s="10" t="b">
        <f t="shared" ca="1" si="1"/>
        <v>1</v>
      </c>
      <c r="Y160" s="10" t="str">
        <f t="shared" si="2"/>
        <v>Unique</v>
      </c>
      <c r="Z160" s="10"/>
      <c r="AA160" s="10" t="str">
        <f t="shared" si="3"/>
        <v>Clean</v>
      </c>
      <c r="AB160" s="15" t="str">
        <f t="shared" si="4"/>
        <v>Valid</v>
      </c>
      <c r="AC160" s="15">
        <v>2</v>
      </c>
      <c r="AD160" s="16" t="str">
        <f t="shared" si="5"/>
        <v>Valid</v>
      </c>
      <c r="AE160" s="16" t="str">
        <f t="shared" si="6"/>
        <v>Valid</v>
      </c>
      <c r="AF160" s="16" t="str">
        <f t="shared" ref="AF160:AG160" si="331">IF(ISNUMBER(B160),"Valid","Invalid")</f>
        <v>Valid</v>
      </c>
      <c r="AG160" s="16" t="str">
        <f t="shared" si="331"/>
        <v>Valid</v>
      </c>
      <c r="AH160" s="16" t="str">
        <f t="shared" ref="AH160:AI160" si="332">IF(OR(B160="",ISBLANK(B160)),"Missing","Valid")</f>
        <v>Valid</v>
      </c>
      <c r="AI160" s="16" t="str">
        <f t="shared" si="332"/>
        <v>Valid</v>
      </c>
      <c r="AJ160" s="16" t="b">
        <v>0</v>
      </c>
      <c r="AK160" s="16" t="b">
        <v>0</v>
      </c>
      <c r="AL160" s="16" t="b">
        <v>0</v>
      </c>
      <c r="AM160" s="16" t="b">
        <v>0</v>
      </c>
      <c r="AN160" s="16" t="b">
        <v>0</v>
      </c>
      <c r="AO160" s="16" t="b">
        <v>0</v>
      </c>
      <c r="AP160" s="16" t="b">
        <v>0</v>
      </c>
      <c r="AQ160" s="17">
        <f t="shared" si="9"/>
        <v>0.05</v>
      </c>
      <c r="AR160" s="12">
        <f t="shared" si="10"/>
        <v>3989.5629999999996</v>
      </c>
      <c r="AS160" s="18">
        <f t="shared" si="11"/>
        <v>-2.9999999997016857E-3</v>
      </c>
      <c r="AT160" s="12">
        <f t="shared" si="12"/>
        <v>1608.1829999999995</v>
      </c>
      <c r="AU160" s="18">
        <f t="shared" si="13"/>
        <v>-2.9999999994743121E-3</v>
      </c>
      <c r="AV160" s="19">
        <f t="shared" si="14"/>
        <v>0.40309753223598666</v>
      </c>
      <c r="AW160" s="20" t="str">
        <f t="shared" si="15"/>
        <v>September</v>
      </c>
      <c r="AX160" s="21">
        <f t="shared" si="16"/>
        <v>2024</v>
      </c>
    </row>
    <row r="161" spans="1:50" ht="15.75" customHeight="1">
      <c r="A161" s="10" t="s">
        <v>616</v>
      </c>
      <c r="B161" s="11">
        <v>45687</v>
      </c>
      <c r="C161" s="11">
        <v>45692</v>
      </c>
      <c r="D161" s="10" t="s">
        <v>617</v>
      </c>
      <c r="E161" s="10" t="s">
        <v>143</v>
      </c>
      <c r="F161" s="10" t="s">
        <v>119</v>
      </c>
      <c r="G161" s="10" t="s">
        <v>54</v>
      </c>
      <c r="H161" s="10" t="s">
        <v>266</v>
      </c>
      <c r="I161" s="10" t="s">
        <v>267</v>
      </c>
      <c r="J161" s="10" t="s">
        <v>70</v>
      </c>
      <c r="K161" s="10" t="s">
        <v>95</v>
      </c>
      <c r="L161" s="10" t="s">
        <v>618</v>
      </c>
      <c r="M161" s="10" t="s">
        <v>73</v>
      </c>
      <c r="N161" s="12">
        <v>9</v>
      </c>
      <c r="O161" s="12">
        <v>4430.5</v>
      </c>
      <c r="P161" s="12">
        <v>0.15</v>
      </c>
      <c r="Q161" s="12">
        <v>33893.32</v>
      </c>
      <c r="R161" s="12">
        <v>25750.35</v>
      </c>
      <c r="S161" s="12">
        <v>8142.97</v>
      </c>
      <c r="T161" s="10" t="s">
        <v>140</v>
      </c>
      <c r="U161" s="13" t="s">
        <v>97</v>
      </c>
      <c r="V161" s="14" t="e">
        <f t="shared" ca="1" si="0"/>
        <v>#NAME?</v>
      </c>
      <c r="W161" s="10" t="str">
        <f ca="1">IFERROR(__xludf.DUMMYFUNCTION("IF(COUNTIF($A:$A,A155)=1,
""Unique"",
IF(COUNTUNIQUE(FILTER($V$2:$V$934,$A$2:$A$934=A155))&gt;1,
""Conflicting Duplicate"",
""Exact Duplicate""))"),"Unique")</f>
        <v>Unique</v>
      </c>
      <c r="X161" s="10" t="b">
        <f t="shared" ca="1" si="1"/>
        <v>1</v>
      </c>
      <c r="Y161" s="10" t="str">
        <f t="shared" si="2"/>
        <v>Unique</v>
      </c>
      <c r="Z161" s="10"/>
      <c r="AA161" s="10" t="str">
        <f t="shared" si="3"/>
        <v>Clean</v>
      </c>
      <c r="AB161" s="15" t="str">
        <f t="shared" si="4"/>
        <v>Valid</v>
      </c>
      <c r="AC161" s="15">
        <v>5</v>
      </c>
      <c r="AD161" s="16" t="str">
        <f t="shared" si="5"/>
        <v>Valid</v>
      </c>
      <c r="AE161" s="16" t="str">
        <f t="shared" si="6"/>
        <v>Valid</v>
      </c>
      <c r="AF161" s="16" t="str">
        <f t="shared" ref="AF161:AG161" si="333">IF(ISNUMBER(B161),"Valid","Invalid")</f>
        <v>Valid</v>
      </c>
      <c r="AG161" s="16" t="str">
        <f t="shared" si="333"/>
        <v>Valid</v>
      </c>
      <c r="AH161" s="16" t="str">
        <f t="shared" ref="AH161:AI161" si="334">IF(OR(B161="",ISBLANK(B161)),"Missing","Valid")</f>
        <v>Valid</v>
      </c>
      <c r="AI161" s="16" t="str">
        <f t="shared" si="334"/>
        <v>Valid</v>
      </c>
      <c r="AJ161" s="16" t="b">
        <v>0</v>
      </c>
      <c r="AK161" s="16" t="b">
        <v>0</v>
      </c>
      <c r="AL161" s="16" t="b">
        <v>0</v>
      </c>
      <c r="AM161" s="16" t="b">
        <v>0</v>
      </c>
      <c r="AN161" s="16" t="b">
        <v>0</v>
      </c>
      <c r="AO161" s="16" t="b">
        <v>0</v>
      </c>
      <c r="AP161" s="16" t="b">
        <v>0</v>
      </c>
      <c r="AQ161" s="17">
        <f t="shared" si="9"/>
        <v>0.15</v>
      </c>
      <c r="AR161" s="12">
        <f t="shared" si="10"/>
        <v>33893.324999999997</v>
      </c>
      <c r="AS161" s="18">
        <f t="shared" si="11"/>
        <v>-4.9999999973806553E-3</v>
      </c>
      <c r="AT161" s="12">
        <f t="shared" si="12"/>
        <v>8142.9749999999985</v>
      </c>
      <c r="AU161" s="18">
        <f t="shared" si="13"/>
        <v>-4.99999999829015E-3</v>
      </c>
      <c r="AV161" s="19">
        <f t="shared" si="14"/>
        <v>0.24025305867748292</v>
      </c>
      <c r="AW161" s="20" t="str">
        <f t="shared" si="15"/>
        <v>January</v>
      </c>
      <c r="AX161" s="21">
        <f t="shared" si="16"/>
        <v>2025</v>
      </c>
    </row>
    <row r="162" spans="1:50" ht="15.75" customHeight="1">
      <c r="A162" s="10" t="s">
        <v>619</v>
      </c>
      <c r="B162" s="11">
        <v>45938</v>
      </c>
      <c r="C162" s="11">
        <v>45936</v>
      </c>
      <c r="D162" s="10" t="s">
        <v>620</v>
      </c>
      <c r="E162" s="10" t="s">
        <v>100</v>
      </c>
      <c r="F162" s="10" t="s">
        <v>66</v>
      </c>
      <c r="G162" s="10" t="s">
        <v>92</v>
      </c>
      <c r="H162" s="10" t="s">
        <v>93</v>
      </c>
      <c r="I162" s="10" t="s">
        <v>94</v>
      </c>
      <c r="J162" s="10" t="s">
        <v>57</v>
      </c>
      <c r="K162" s="10" t="s">
        <v>58</v>
      </c>
      <c r="L162" s="10" t="s">
        <v>621</v>
      </c>
      <c r="M162" s="10" t="s">
        <v>60</v>
      </c>
      <c r="N162" s="12">
        <v>4</v>
      </c>
      <c r="O162" s="12">
        <v>1260.42</v>
      </c>
      <c r="P162" s="12">
        <v>0.05</v>
      </c>
      <c r="Q162" s="12">
        <v>4789.6000000000004</v>
      </c>
      <c r="R162" s="12">
        <v>4037.64</v>
      </c>
      <c r="S162" s="12">
        <v>751.96</v>
      </c>
      <c r="T162" s="10" t="s">
        <v>140</v>
      </c>
      <c r="U162" s="13" t="s">
        <v>97</v>
      </c>
      <c r="V162" s="14" t="e">
        <f t="shared" ca="1" si="0"/>
        <v>#NAME?</v>
      </c>
      <c r="W162" s="10" t="str">
        <f ca="1">IFERROR(__xludf.DUMMYFUNCTION("IF(COUNTIF($A:$A,A156)=1,
""Unique"",
IF(COUNTUNIQUE(FILTER($V$2:$V$934,$A$2:$A$934=A156))&gt;1,
""Conflicting Duplicate"",
""Exact Duplicate""))"),"Unique")</f>
        <v>Unique</v>
      </c>
      <c r="X162" s="10" t="b">
        <f t="shared" ca="1" si="1"/>
        <v>1</v>
      </c>
      <c r="Y162" s="10" t="str">
        <f t="shared" si="2"/>
        <v>Unique</v>
      </c>
      <c r="Z162" s="10"/>
      <c r="AA162" s="10" t="str">
        <f t="shared" si="3"/>
        <v>Invalid</v>
      </c>
      <c r="AB162" s="15" t="str">
        <f t="shared" si="4"/>
        <v>Invalid</v>
      </c>
      <c r="AC162" s="15">
        <v>-2</v>
      </c>
      <c r="AD162" s="16" t="str">
        <f t="shared" si="5"/>
        <v>Invalid Shipping Date</v>
      </c>
      <c r="AE162" s="16" t="str">
        <f t="shared" si="6"/>
        <v>Valid</v>
      </c>
      <c r="AF162" s="16" t="str">
        <f t="shared" ref="AF162:AG162" si="335">IF(ISNUMBER(B162),"Valid","Invalid")</f>
        <v>Valid</v>
      </c>
      <c r="AG162" s="16" t="str">
        <f t="shared" si="335"/>
        <v>Valid</v>
      </c>
      <c r="AH162" s="16" t="str">
        <f t="shared" ref="AH162:AI162" si="336">IF(OR(B162="",ISBLANK(B162)),"Missing","Valid")</f>
        <v>Valid</v>
      </c>
      <c r="AI162" s="16" t="str">
        <f t="shared" si="336"/>
        <v>Valid</v>
      </c>
      <c r="AJ162" s="16" t="b">
        <v>0</v>
      </c>
      <c r="AK162" s="16" t="b">
        <v>0</v>
      </c>
      <c r="AL162" s="16" t="b">
        <v>0</v>
      </c>
      <c r="AM162" s="16" t="b">
        <v>0</v>
      </c>
      <c r="AN162" s="16" t="b">
        <v>0</v>
      </c>
      <c r="AO162" s="16" t="b">
        <v>1</v>
      </c>
      <c r="AP162" s="16" t="b">
        <v>1</v>
      </c>
      <c r="AQ162" s="17">
        <f t="shared" si="9"/>
        <v>0.05</v>
      </c>
      <c r="AR162" s="12">
        <f t="shared" si="10"/>
        <v>4789.5960000000005</v>
      </c>
      <c r="AS162" s="18">
        <f t="shared" si="11"/>
        <v>3.9999999999054126E-3</v>
      </c>
      <c r="AT162" s="12">
        <f t="shared" si="12"/>
        <v>751.95600000000059</v>
      </c>
      <c r="AU162" s="18">
        <f t="shared" si="13"/>
        <v>3.9999999994506652E-3</v>
      </c>
      <c r="AV162" s="19">
        <f t="shared" si="14"/>
        <v>0.1569977927157114</v>
      </c>
      <c r="AW162" s="20" t="str">
        <f t="shared" si="15"/>
        <v>October</v>
      </c>
      <c r="AX162" s="21">
        <f t="shared" si="16"/>
        <v>2025</v>
      </c>
    </row>
    <row r="163" spans="1:50" ht="15.75" customHeight="1">
      <c r="A163" s="10" t="s">
        <v>622</v>
      </c>
      <c r="B163" s="11">
        <v>45862</v>
      </c>
      <c r="C163" s="11">
        <v>45868</v>
      </c>
      <c r="D163" s="10" t="s">
        <v>623</v>
      </c>
      <c r="E163" s="10" t="s">
        <v>82</v>
      </c>
      <c r="F163" s="10" t="s">
        <v>53</v>
      </c>
      <c r="G163" s="10" t="s">
        <v>92</v>
      </c>
      <c r="H163" s="10" t="s">
        <v>55</v>
      </c>
      <c r="I163" s="10" t="s">
        <v>138</v>
      </c>
      <c r="J163" s="10" t="s">
        <v>57</v>
      </c>
      <c r="K163" s="10" t="s">
        <v>182</v>
      </c>
      <c r="L163" s="10" t="s">
        <v>624</v>
      </c>
      <c r="M163" s="10" t="s">
        <v>88</v>
      </c>
      <c r="N163" s="12">
        <v>1</v>
      </c>
      <c r="O163" s="12">
        <v>1643.41</v>
      </c>
      <c r="P163" s="12">
        <v>0</v>
      </c>
      <c r="Q163" s="12">
        <v>1643.41</v>
      </c>
      <c r="R163" s="12">
        <v>907.4</v>
      </c>
      <c r="S163" s="12">
        <v>736.01</v>
      </c>
      <c r="T163" s="10" t="s">
        <v>140</v>
      </c>
      <c r="U163" s="13" t="s">
        <v>97</v>
      </c>
      <c r="V163" s="14" t="e">
        <f t="shared" ca="1" si="0"/>
        <v>#NAME?</v>
      </c>
      <c r="W163" s="10" t="str">
        <f ca="1">IFERROR(__xludf.DUMMYFUNCTION("IF(COUNTIF($A:$A,A157)=1,
""Unique"",
IF(COUNTUNIQUE(FILTER($V$2:$V$934,$A$2:$A$934=A157))&gt;1,
""Conflicting Duplicate"",
""Exact Duplicate""))"),"Unique")</f>
        <v>Unique</v>
      </c>
      <c r="X163" s="10" t="b">
        <f t="shared" ca="1" si="1"/>
        <v>1</v>
      </c>
      <c r="Y163" s="10" t="str">
        <f t="shared" si="2"/>
        <v>Unique</v>
      </c>
      <c r="Z163" s="10"/>
      <c r="AA163" s="10" t="str">
        <f t="shared" si="3"/>
        <v>Clean</v>
      </c>
      <c r="AB163" s="15" t="str">
        <f t="shared" si="4"/>
        <v>Valid</v>
      </c>
      <c r="AC163" s="15">
        <v>6</v>
      </c>
      <c r="AD163" s="16" t="str">
        <f t="shared" si="5"/>
        <v>Valid</v>
      </c>
      <c r="AE163" s="16" t="str">
        <f t="shared" si="6"/>
        <v>Valid</v>
      </c>
      <c r="AF163" s="16" t="str">
        <f t="shared" ref="AF163:AG163" si="337">IF(ISNUMBER(B163),"Valid","Invalid")</f>
        <v>Valid</v>
      </c>
      <c r="AG163" s="16" t="str">
        <f t="shared" si="337"/>
        <v>Valid</v>
      </c>
      <c r="AH163" s="16" t="str">
        <f t="shared" ref="AH163:AI163" si="338">IF(OR(B163="",ISBLANK(B163)),"Missing","Valid")</f>
        <v>Valid</v>
      </c>
      <c r="AI163" s="16" t="str">
        <f t="shared" si="338"/>
        <v>Valid</v>
      </c>
      <c r="AJ163" s="16" t="b">
        <v>0</v>
      </c>
      <c r="AK163" s="16" t="b">
        <v>0</v>
      </c>
      <c r="AL163" s="16" t="b">
        <v>0</v>
      </c>
      <c r="AM163" s="16" t="b">
        <v>0</v>
      </c>
      <c r="AN163" s="16" t="b">
        <v>0</v>
      </c>
      <c r="AO163" s="16" t="b">
        <v>0</v>
      </c>
      <c r="AP163" s="16" t="b">
        <v>0</v>
      </c>
      <c r="AQ163" s="17">
        <f t="shared" si="9"/>
        <v>0</v>
      </c>
      <c r="AR163" s="12">
        <f t="shared" si="10"/>
        <v>1643.41</v>
      </c>
      <c r="AS163" s="18">
        <f t="shared" si="11"/>
        <v>0</v>
      </c>
      <c r="AT163" s="12">
        <f t="shared" si="12"/>
        <v>736.0100000000001</v>
      </c>
      <c r="AU163" s="18">
        <f t="shared" si="13"/>
        <v>0</v>
      </c>
      <c r="AV163" s="19">
        <f t="shared" si="14"/>
        <v>0.44785537388722235</v>
      </c>
      <c r="AW163" s="20" t="str">
        <f t="shared" si="15"/>
        <v>July</v>
      </c>
      <c r="AX163" s="21">
        <f t="shared" si="16"/>
        <v>2025</v>
      </c>
    </row>
    <row r="164" spans="1:50" ht="15.75" customHeight="1">
      <c r="A164" s="10" t="s">
        <v>625</v>
      </c>
      <c r="B164" s="11">
        <v>45360</v>
      </c>
      <c r="C164" s="11">
        <v>45365</v>
      </c>
      <c r="D164" s="10" t="s">
        <v>626</v>
      </c>
      <c r="E164" s="10" t="s">
        <v>108</v>
      </c>
      <c r="F164" s="10" t="s">
        <v>66</v>
      </c>
      <c r="G164" s="10" t="s">
        <v>92</v>
      </c>
      <c r="H164" s="10" t="s">
        <v>219</v>
      </c>
      <c r="I164" s="10" t="s">
        <v>220</v>
      </c>
      <c r="J164" s="10" t="s">
        <v>70</v>
      </c>
      <c r="K164" s="10" t="s">
        <v>86</v>
      </c>
      <c r="L164" s="10" t="s">
        <v>627</v>
      </c>
      <c r="M164" s="10" t="s">
        <v>60</v>
      </c>
      <c r="N164" s="12">
        <v>8</v>
      </c>
      <c r="O164" s="12">
        <v>4472.84</v>
      </c>
      <c r="P164" s="12">
        <v>0</v>
      </c>
      <c r="Q164" s="12">
        <v>35997.620000000003</v>
      </c>
      <c r="R164" s="12">
        <v>26424.41</v>
      </c>
      <c r="S164" s="12">
        <v>9358.31</v>
      </c>
      <c r="T164" s="10" t="s">
        <v>140</v>
      </c>
      <c r="U164" s="13" t="s">
        <v>132</v>
      </c>
      <c r="V164" s="14" t="e">
        <f t="shared" ca="1" si="0"/>
        <v>#NAME?</v>
      </c>
      <c r="W164" s="10" t="str">
        <f ca="1">IFERROR(__xludf.DUMMYFUNCTION("IF(COUNTIF($A:$A,A158)=1,
""Unique"",
IF(COUNTUNIQUE(FILTER($V$2:$V$934,$A$2:$A$934=A158))&gt;1,
""Conflicting Duplicate"",
""Exact Duplicate""))"),"Unique")</f>
        <v>Unique</v>
      </c>
      <c r="X164" s="10" t="b">
        <f t="shared" ca="1" si="1"/>
        <v>1</v>
      </c>
      <c r="Y164" s="10" t="str">
        <f t="shared" si="2"/>
        <v>Unique</v>
      </c>
      <c r="Z164" s="10"/>
      <c r="AA164" s="10" t="str">
        <f t="shared" si="3"/>
        <v>Clean</v>
      </c>
      <c r="AB164" s="15" t="str">
        <f t="shared" si="4"/>
        <v>Valid</v>
      </c>
      <c r="AC164" s="15">
        <v>5</v>
      </c>
      <c r="AD164" s="16" t="str">
        <f t="shared" si="5"/>
        <v>Valid</v>
      </c>
      <c r="AE164" s="16" t="str">
        <f t="shared" si="6"/>
        <v>Valid</v>
      </c>
      <c r="AF164" s="16" t="str">
        <f t="shared" ref="AF164:AG164" si="339">IF(ISNUMBER(B164),"Valid","Invalid")</f>
        <v>Valid</v>
      </c>
      <c r="AG164" s="16" t="str">
        <f t="shared" si="339"/>
        <v>Valid</v>
      </c>
      <c r="AH164" s="16" t="str">
        <f t="shared" ref="AH164:AI164" si="340">IF(OR(B164="",ISBLANK(B164)),"Missing","Valid")</f>
        <v>Valid</v>
      </c>
      <c r="AI164" s="16" t="str">
        <f t="shared" si="340"/>
        <v>Valid</v>
      </c>
      <c r="AJ164" s="16" t="b">
        <v>0</v>
      </c>
      <c r="AK164" s="16" t="b">
        <v>0</v>
      </c>
      <c r="AL164" s="16" t="b">
        <v>0</v>
      </c>
      <c r="AM164" s="16" t="b">
        <v>0</v>
      </c>
      <c r="AN164" s="16" t="b">
        <v>0</v>
      </c>
      <c r="AO164" s="16" t="b">
        <v>0</v>
      </c>
      <c r="AP164" s="16" t="b">
        <v>0</v>
      </c>
      <c r="AQ164" s="17">
        <f t="shared" si="9"/>
        <v>0</v>
      </c>
      <c r="AR164" s="12">
        <f t="shared" si="10"/>
        <v>35782.720000000001</v>
      </c>
      <c r="AS164" s="18">
        <f t="shared" si="11"/>
        <v>214.90000000000146</v>
      </c>
      <c r="AT164" s="12">
        <f t="shared" si="12"/>
        <v>9358.3100000000013</v>
      </c>
      <c r="AU164" s="18">
        <f t="shared" si="13"/>
        <v>0</v>
      </c>
      <c r="AV164" s="19">
        <f t="shared" si="14"/>
        <v>0.2615315437171909</v>
      </c>
      <c r="AW164" s="20" t="str">
        <f t="shared" si="15"/>
        <v>March</v>
      </c>
      <c r="AX164" s="21">
        <f t="shared" si="16"/>
        <v>2024</v>
      </c>
    </row>
    <row r="165" spans="1:50" ht="15.75" customHeight="1">
      <c r="A165" s="10" t="s">
        <v>628</v>
      </c>
      <c r="B165" s="11">
        <v>45921</v>
      </c>
      <c r="C165" s="11">
        <v>45926</v>
      </c>
      <c r="D165" s="10" t="s">
        <v>629</v>
      </c>
      <c r="E165" s="10" t="s">
        <v>170</v>
      </c>
      <c r="F165" s="10" t="s">
        <v>124</v>
      </c>
      <c r="G165" s="10" t="s">
        <v>92</v>
      </c>
      <c r="H165" s="10" t="s">
        <v>209</v>
      </c>
      <c r="I165" s="10" t="s">
        <v>210</v>
      </c>
      <c r="J165" s="10" t="s">
        <v>70</v>
      </c>
      <c r="K165" s="10" t="s">
        <v>71</v>
      </c>
      <c r="L165" s="10" t="s">
        <v>630</v>
      </c>
      <c r="M165" s="10" t="s">
        <v>234</v>
      </c>
      <c r="N165" s="12">
        <v>6</v>
      </c>
      <c r="O165" s="12">
        <v>2903.58</v>
      </c>
      <c r="P165" s="12">
        <v>0.1</v>
      </c>
      <c r="Q165" s="12">
        <v>15679.33</v>
      </c>
      <c r="R165" s="12">
        <v>12477.82</v>
      </c>
      <c r="S165" s="12">
        <v>3201.51</v>
      </c>
      <c r="T165" s="10" t="s">
        <v>140</v>
      </c>
      <c r="U165" s="13" t="s">
        <v>132</v>
      </c>
      <c r="V165" s="14" t="e">
        <f t="shared" ca="1" si="0"/>
        <v>#NAME?</v>
      </c>
      <c r="W165" s="10" t="str">
        <f ca="1">IFERROR(__xludf.DUMMYFUNCTION("IF(COUNTIF($A:$A,A159)=1,
""Unique"",
IF(COUNTUNIQUE(FILTER($V$2:$V$934,$A$2:$A$934=A159))&gt;1,
""Conflicting Duplicate"",
""Exact Duplicate""))"),"Unique")</f>
        <v>Unique</v>
      </c>
      <c r="X165" s="10" t="b">
        <f t="shared" ca="1" si="1"/>
        <v>1</v>
      </c>
      <c r="Y165" s="10" t="str">
        <f t="shared" si="2"/>
        <v>Unique</v>
      </c>
      <c r="Z165" s="10"/>
      <c r="AA165" s="10" t="str">
        <f t="shared" si="3"/>
        <v>Warning</v>
      </c>
      <c r="AB165" s="15" t="str">
        <f t="shared" si="4"/>
        <v>Valid</v>
      </c>
      <c r="AC165" s="15">
        <v>5</v>
      </c>
      <c r="AD165" s="16" t="str">
        <f t="shared" si="5"/>
        <v>Valid</v>
      </c>
      <c r="AE165" s="16" t="str">
        <f t="shared" si="6"/>
        <v>Valid</v>
      </c>
      <c r="AF165" s="16" t="str">
        <f t="shared" ref="AF165:AG165" si="341">IF(ISNUMBER(B165),"Valid","Invalid")</f>
        <v>Valid</v>
      </c>
      <c r="AG165" s="16" t="str">
        <f t="shared" si="341"/>
        <v>Valid</v>
      </c>
      <c r="AH165" s="16" t="str">
        <f t="shared" ref="AH165:AI165" si="342">IF(OR(B165="",ISBLANK(B165)),"Missing","Valid")</f>
        <v>Valid</v>
      </c>
      <c r="AI165" s="16" t="str">
        <f t="shared" si="342"/>
        <v>Valid</v>
      </c>
      <c r="AJ165" s="16" t="b">
        <v>0</v>
      </c>
      <c r="AK165" s="16" t="b">
        <v>1</v>
      </c>
      <c r="AL165" s="16" t="b">
        <v>0</v>
      </c>
      <c r="AM165" s="16" t="b">
        <v>0</v>
      </c>
      <c r="AN165" s="16" t="b">
        <v>0</v>
      </c>
      <c r="AO165" s="16" t="b">
        <v>0</v>
      </c>
      <c r="AP165" s="16" t="b">
        <v>1</v>
      </c>
      <c r="AQ165" s="17">
        <f t="shared" si="9"/>
        <v>0.1</v>
      </c>
      <c r="AR165" s="12">
        <f t="shared" si="10"/>
        <v>15679.332</v>
      </c>
      <c r="AS165" s="18">
        <f t="shared" si="11"/>
        <v>-2.0000000004074536E-3</v>
      </c>
      <c r="AT165" s="12">
        <f t="shared" si="12"/>
        <v>3201.5120000000006</v>
      </c>
      <c r="AU165" s="18">
        <f t="shared" si="13"/>
        <v>-2.0000000004074536E-3</v>
      </c>
      <c r="AV165" s="19">
        <f t="shared" si="14"/>
        <v>0.20418675999717339</v>
      </c>
      <c r="AW165" s="20" t="str">
        <f t="shared" si="15"/>
        <v>September</v>
      </c>
      <c r="AX165" s="21">
        <f t="shared" si="16"/>
        <v>2025</v>
      </c>
    </row>
    <row r="166" spans="1:50" ht="15.75" customHeight="1">
      <c r="A166" s="10" t="s">
        <v>631</v>
      </c>
      <c r="B166" s="11">
        <v>45909</v>
      </c>
      <c r="C166" s="11">
        <v>45914</v>
      </c>
      <c r="D166" s="10" t="s">
        <v>632</v>
      </c>
      <c r="E166" s="10" t="s">
        <v>147</v>
      </c>
      <c r="F166" s="10" t="s">
        <v>66</v>
      </c>
      <c r="G166" s="10" t="s">
        <v>67</v>
      </c>
      <c r="H166" s="10" t="s">
        <v>128</v>
      </c>
      <c r="I166" s="10" t="s">
        <v>129</v>
      </c>
      <c r="J166" s="10" t="s">
        <v>70</v>
      </c>
      <c r="K166" s="10" t="s">
        <v>187</v>
      </c>
      <c r="L166" s="10" t="s">
        <v>633</v>
      </c>
      <c r="M166" s="10" t="s">
        <v>60</v>
      </c>
      <c r="N166" s="12">
        <v>1</v>
      </c>
      <c r="O166" s="12">
        <v>3154.42</v>
      </c>
      <c r="P166" s="12">
        <v>0.25</v>
      </c>
      <c r="Q166" s="12">
        <v>2365.8200000000002</v>
      </c>
      <c r="R166" s="12">
        <v>1547.99</v>
      </c>
      <c r="S166" s="12">
        <v>817.83</v>
      </c>
      <c r="T166" s="10" t="s">
        <v>61</v>
      </c>
      <c r="U166" s="13" t="s">
        <v>62</v>
      </c>
      <c r="V166" s="14" t="e">
        <f t="shared" ca="1" si="0"/>
        <v>#NAME?</v>
      </c>
      <c r="W166" s="10" t="str">
        <f ca="1">IFERROR(__xludf.DUMMYFUNCTION("IF(COUNTIF($A:$A,A160)=1,
""Unique"",
IF(COUNTUNIQUE(FILTER($V$2:$V$934,$A$2:$A$934=A160))&gt;1,
""Conflicting Duplicate"",
""Exact Duplicate""))"),"Unique")</f>
        <v>Unique</v>
      </c>
      <c r="X166" s="10" t="b">
        <f t="shared" ca="1" si="1"/>
        <v>1</v>
      </c>
      <c r="Y166" s="10" t="str">
        <f t="shared" si="2"/>
        <v>Unique</v>
      </c>
      <c r="Z166" s="10"/>
      <c r="AA166" s="10" t="str">
        <f t="shared" si="3"/>
        <v>Clean</v>
      </c>
      <c r="AB166" s="15" t="str">
        <f t="shared" si="4"/>
        <v>Valid</v>
      </c>
      <c r="AC166" s="15">
        <v>5</v>
      </c>
      <c r="AD166" s="16" t="str">
        <f t="shared" si="5"/>
        <v>Valid</v>
      </c>
      <c r="AE166" s="16" t="str">
        <f t="shared" si="6"/>
        <v>Valid</v>
      </c>
      <c r="AF166" s="16" t="str">
        <f t="shared" ref="AF166:AG166" si="343">IF(ISNUMBER(B166),"Valid","Invalid")</f>
        <v>Valid</v>
      </c>
      <c r="AG166" s="16" t="str">
        <f t="shared" si="343"/>
        <v>Valid</v>
      </c>
      <c r="AH166" s="16" t="str">
        <f t="shared" ref="AH166:AI166" si="344">IF(OR(B166="",ISBLANK(B166)),"Missing","Valid")</f>
        <v>Valid</v>
      </c>
      <c r="AI166" s="16" t="str">
        <f t="shared" si="344"/>
        <v>Valid</v>
      </c>
      <c r="AJ166" s="16" t="b">
        <v>0</v>
      </c>
      <c r="AK166" s="16" t="b">
        <v>0</v>
      </c>
      <c r="AL166" s="16" t="b">
        <v>0</v>
      </c>
      <c r="AM166" s="16" t="b">
        <v>0</v>
      </c>
      <c r="AN166" s="16" t="b">
        <v>0</v>
      </c>
      <c r="AO166" s="16" t="b">
        <v>0</v>
      </c>
      <c r="AP166" s="16" t="b">
        <v>0</v>
      </c>
      <c r="AQ166" s="17">
        <f t="shared" si="9"/>
        <v>0.25</v>
      </c>
      <c r="AR166" s="12">
        <f t="shared" si="10"/>
        <v>2365.8150000000001</v>
      </c>
      <c r="AS166" s="18">
        <f t="shared" si="11"/>
        <v>5.0000000001091394E-3</v>
      </c>
      <c r="AT166" s="12">
        <f t="shared" si="12"/>
        <v>817.82500000000005</v>
      </c>
      <c r="AU166" s="18">
        <f t="shared" si="13"/>
        <v>4.9999999999954525E-3</v>
      </c>
      <c r="AV166" s="19">
        <f t="shared" si="14"/>
        <v>0.34568425679945392</v>
      </c>
      <c r="AW166" s="20" t="str">
        <f t="shared" si="15"/>
        <v>September</v>
      </c>
      <c r="AX166" s="21">
        <f t="shared" si="16"/>
        <v>2025</v>
      </c>
    </row>
    <row r="167" spans="1:50" ht="15.75" customHeight="1">
      <c r="A167" s="10" t="s">
        <v>634</v>
      </c>
      <c r="B167" s="11">
        <v>45618</v>
      </c>
      <c r="C167" s="11">
        <v>45625</v>
      </c>
      <c r="D167" s="10" t="s">
        <v>635</v>
      </c>
      <c r="E167" s="10" t="s">
        <v>65</v>
      </c>
      <c r="F167" s="10" t="s">
        <v>124</v>
      </c>
      <c r="G167" s="10" t="s">
        <v>67</v>
      </c>
      <c r="H167" s="10" t="s">
        <v>174</v>
      </c>
      <c r="I167" s="10" t="s">
        <v>175</v>
      </c>
      <c r="J167" s="10" t="s">
        <v>70</v>
      </c>
      <c r="K167" s="10" t="s">
        <v>95</v>
      </c>
      <c r="L167" s="10" t="s">
        <v>636</v>
      </c>
      <c r="M167" s="10" t="s">
        <v>88</v>
      </c>
      <c r="N167" s="12">
        <v>4</v>
      </c>
      <c r="O167" s="12">
        <v>3422.99</v>
      </c>
      <c r="P167" s="12">
        <v>0.25</v>
      </c>
      <c r="Q167" s="12">
        <v>10268.969999999999</v>
      </c>
      <c r="R167" s="12">
        <v>6470.92</v>
      </c>
      <c r="S167" s="12">
        <v>3798.05</v>
      </c>
      <c r="T167" s="10" t="s">
        <v>61</v>
      </c>
      <c r="U167" s="13" t="s">
        <v>62</v>
      </c>
      <c r="V167" s="14" t="e">
        <f t="shared" ca="1" si="0"/>
        <v>#NAME?</v>
      </c>
      <c r="W167" s="10" t="str">
        <f ca="1">IFERROR(__xludf.DUMMYFUNCTION("IF(COUNTIF($A:$A,A161)=1,
""Unique"",
IF(COUNTUNIQUE(FILTER($V$2:$V$934,$A$2:$A$934=A161))&gt;1,
""Conflicting Duplicate"",
""Exact Duplicate""))"),"Unique")</f>
        <v>Unique</v>
      </c>
      <c r="X167" s="10" t="b">
        <f t="shared" ca="1" si="1"/>
        <v>1</v>
      </c>
      <c r="Y167" s="10" t="str">
        <f t="shared" si="2"/>
        <v>Unique</v>
      </c>
      <c r="Z167" s="10"/>
      <c r="AA167" s="10" t="str">
        <f t="shared" si="3"/>
        <v>Clean</v>
      </c>
      <c r="AB167" s="15" t="str">
        <f t="shared" si="4"/>
        <v>Valid</v>
      </c>
      <c r="AC167" s="15">
        <v>7</v>
      </c>
      <c r="AD167" s="16" t="str">
        <f t="shared" si="5"/>
        <v>Valid</v>
      </c>
      <c r="AE167" s="16" t="str">
        <f t="shared" si="6"/>
        <v>Valid</v>
      </c>
      <c r="AF167" s="16" t="str">
        <f t="shared" ref="AF167:AG167" si="345">IF(ISNUMBER(B167),"Valid","Invalid")</f>
        <v>Valid</v>
      </c>
      <c r="AG167" s="16" t="str">
        <f t="shared" si="345"/>
        <v>Valid</v>
      </c>
      <c r="AH167" s="16" t="str">
        <f t="shared" ref="AH167:AI167" si="346">IF(OR(B167="",ISBLANK(B167)),"Missing","Valid")</f>
        <v>Valid</v>
      </c>
      <c r="AI167" s="16" t="str">
        <f t="shared" si="346"/>
        <v>Valid</v>
      </c>
      <c r="AJ167" s="16" t="b">
        <v>0</v>
      </c>
      <c r="AK167" s="16" t="b">
        <v>0</v>
      </c>
      <c r="AL167" s="16" t="b">
        <v>0</v>
      </c>
      <c r="AM167" s="16" t="b">
        <v>0</v>
      </c>
      <c r="AN167" s="16" t="b">
        <v>0</v>
      </c>
      <c r="AO167" s="16" t="b">
        <v>0</v>
      </c>
      <c r="AP167" s="16" t="b">
        <v>0</v>
      </c>
      <c r="AQ167" s="17">
        <f t="shared" si="9"/>
        <v>0.25</v>
      </c>
      <c r="AR167" s="12">
        <f t="shared" si="10"/>
        <v>10268.969999999999</v>
      </c>
      <c r="AS167" s="18">
        <f t="shared" si="11"/>
        <v>0</v>
      </c>
      <c r="AT167" s="12">
        <f t="shared" si="12"/>
        <v>3798.0499999999993</v>
      </c>
      <c r="AU167" s="18">
        <f t="shared" si="13"/>
        <v>0</v>
      </c>
      <c r="AV167" s="19">
        <f t="shared" si="14"/>
        <v>0.36985695741637181</v>
      </c>
      <c r="AW167" s="20" t="str">
        <f t="shared" si="15"/>
        <v>November</v>
      </c>
      <c r="AX167" s="21">
        <f t="shared" si="16"/>
        <v>2024</v>
      </c>
    </row>
    <row r="168" spans="1:50" ht="15.75" customHeight="1">
      <c r="A168" s="10" t="s">
        <v>637</v>
      </c>
      <c r="B168" s="11">
        <v>45708</v>
      </c>
      <c r="C168" s="11">
        <v>45714</v>
      </c>
      <c r="D168" s="10" t="s">
        <v>638</v>
      </c>
      <c r="E168" s="10" t="s">
        <v>52</v>
      </c>
      <c r="F168" s="10" t="s">
        <v>66</v>
      </c>
      <c r="G168" s="10" t="s">
        <v>92</v>
      </c>
      <c r="H168" s="10" t="s">
        <v>209</v>
      </c>
      <c r="I168" s="10" t="s">
        <v>210</v>
      </c>
      <c r="J168" s="10" t="s">
        <v>57</v>
      </c>
      <c r="K168" s="10" t="s">
        <v>120</v>
      </c>
      <c r="L168" s="10" t="s">
        <v>639</v>
      </c>
      <c r="M168" s="10" t="s">
        <v>79</v>
      </c>
      <c r="N168" s="12">
        <v>1</v>
      </c>
      <c r="O168" s="12">
        <v>2557.85</v>
      </c>
      <c r="P168" s="12">
        <v>0.2</v>
      </c>
      <c r="Q168" s="12">
        <v>2046.28</v>
      </c>
      <c r="R168" s="12">
        <v>1449.54</v>
      </c>
      <c r="S168" s="12">
        <v>596.74</v>
      </c>
      <c r="T168" s="10" t="s">
        <v>61</v>
      </c>
      <c r="U168" s="13" t="s">
        <v>62</v>
      </c>
      <c r="V168" s="14" t="e">
        <f t="shared" ca="1" si="0"/>
        <v>#NAME?</v>
      </c>
      <c r="W168" s="10" t="str">
        <f ca="1">IFERROR(__xludf.DUMMYFUNCTION("IF(COUNTIF($A:$A,A162)=1,
""Unique"",
IF(COUNTUNIQUE(FILTER($V$2:$V$934,$A$2:$A$934=A162))&gt;1,
""Conflicting Duplicate"",
""Exact Duplicate""))"),"Unique")</f>
        <v>Unique</v>
      </c>
      <c r="X168" s="10" t="b">
        <f t="shared" ca="1" si="1"/>
        <v>1</v>
      </c>
      <c r="Y168" s="10" t="str">
        <f t="shared" si="2"/>
        <v>Unique</v>
      </c>
      <c r="Z168" s="10"/>
      <c r="AA168" s="10" t="str">
        <f t="shared" si="3"/>
        <v>Clean</v>
      </c>
      <c r="AB168" s="15" t="str">
        <f t="shared" si="4"/>
        <v>Valid</v>
      </c>
      <c r="AC168" s="15">
        <v>6</v>
      </c>
      <c r="AD168" s="16" t="str">
        <f t="shared" si="5"/>
        <v>Valid</v>
      </c>
      <c r="AE168" s="16" t="str">
        <f t="shared" si="6"/>
        <v>Valid</v>
      </c>
      <c r="AF168" s="16" t="str">
        <f t="shared" ref="AF168:AG168" si="347">IF(ISNUMBER(B168),"Valid","Invalid")</f>
        <v>Valid</v>
      </c>
      <c r="AG168" s="16" t="str">
        <f t="shared" si="347"/>
        <v>Valid</v>
      </c>
      <c r="AH168" s="16" t="str">
        <f t="shared" ref="AH168:AI168" si="348">IF(OR(B168="",ISBLANK(B168)),"Missing","Valid")</f>
        <v>Valid</v>
      </c>
      <c r="AI168" s="16" t="str">
        <f t="shared" si="348"/>
        <v>Valid</v>
      </c>
      <c r="AJ168" s="16" t="b">
        <v>0</v>
      </c>
      <c r="AK168" s="16" t="b">
        <v>0</v>
      </c>
      <c r="AL168" s="16" t="b">
        <v>0</v>
      </c>
      <c r="AM168" s="16" t="b">
        <v>0</v>
      </c>
      <c r="AN168" s="16" t="b">
        <v>0</v>
      </c>
      <c r="AO168" s="16" t="b">
        <v>0</v>
      </c>
      <c r="AP168" s="16" t="b">
        <v>0</v>
      </c>
      <c r="AQ168" s="17">
        <f t="shared" si="9"/>
        <v>0.2</v>
      </c>
      <c r="AR168" s="12">
        <f t="shared" si="10"/>
        <v>2046.28</v>
      </c>
      <c r="AS168" s="18">
        <f t="shared" si="11"/>
        <v>0</v>
      </c>
      <c r="AT168" s="12">
        <f t="shared" si="12"/>
        <v>596.74</v>
      </c>
      <c r="AU168" s="18">
        <f t="shared" si="13"/>
        <v>0</v>
      </c>
      <c r="AV168" s="19">
        <f t="shared" si="14"/>
        <v>0.29162186992982386</v>
      </c>
      <c r="AW168" s="20" t="str">
        <f t="shared" si="15"/>
        <v>February</v>
      </c>
      <c r="AX168" s="21">
        <f t="shared" si="16"/>
        <v>2025</v>
      </c>
    </row>
    <row r="169" spans="1:50" ht="15.75" customHeight="1">
      <c r="A169" s="10" t="s">
        <v>640</v>
      </c>
      <c r="B169" s="11">
        <v>45887</v>
      </c>
      <c r="C169" s="11">
        <v>45887</v>
      </c>
      <c r="D169" s="10" t="s">
        <v>641</v>
      </c>
      <c r="E169" s="10" t="s">
        <v>82</v>
      </c>
      <c r="F169" s="10" t="s">
        <v>124</v>
      </c>
      <c r="G169" s="10" t="s">
        <v>83</v>
      </c>
      <c r="H169" s="10" t="s">
        <v>204</v>
      </c>
      <c r="I169" s="10" t="s">
        <v>205</v>
      </c>
      <c r="J169" s="10" t="s">
        <v>57</v>
      </c>
      <c r="K169" s="10" t="s">
        <v>153</v>
      </c>
      <c r="L169" s="10" t="s">
        <v>642</v>
      </c>
      <c r="M169" s="10" t="s">
        <v>79</v>
      </c>
      <c r="N169" s="12">
        <v>9</v>
      </c>
      <c r="O169" s="12">
        <v>3030.93</v>
      </c>
      <c r="P169" s="12">
        <v>0.15</v>
      </c>
      <c r="Q169" s="12">
        <v>23186.61</v>
      </c>
      <c r="R169" s="12">
        <v>17906.54</v>
      </c>
      <c r="S169" s="12">
        <v>5280.07</v>
      </c>
      <c r="T169" s="10" t="s">
        <v>61</v>
      </c>
      <c r="U169" s="13" t="s">
        <v>132</v>
      </c>
      <c r="V169" s="14" t="e">
        <f t="shared" ca="1" si="0"/>
        <v>#NAME?</v>
      </c>
      <c r="W169" s="10" t="str">
        <f ca="1">IFERROR(__xludf.DUMMYFUNCTION("IF(COUNTIF($A:$A,A163)=1,
""Unique"",
IF(COUNTUNIQUE(FILTER($V$2:$V$934,$A$2:$A$934=A163))&gt;1,
""Conflicting Duplicate"",
""Exact Duplicate""))"),"Unique")</f>
        <v>Unique</v>
      </c>
      <c r="X169" s="10" t="b">
        <f t="shared" ca="1" si="1"/>
        <v>1</v>
      </c>
      <c r="Y169" s="10" t="str">
        <f t="shared" si="2"/>
        <v>Unique</v>
      </c>
      <c r="Z169" s="10"/>
      <c r="AA169" s="10" t="str">
        <f t="shared" si="3"/>
        <v>Clean</v>
      </c>
      <c r="AB169" s="15" t="str">
        <f t="shared" si="4"/>
        <v>Valid</v>
      </c>
      <c r="AC169" s="15">
        <v>0</v>
      </c>
      <c r="AD169" s="16" t="str">
        <f t="shared" si="5"/>
        <v>Valid</v>
      </c>
      <c r="AE169" s="16" t="str">
        <f t="shared" si="6"/>
        <v>Valid</v>
      </c>
      <c r="AF169" s="16" t="str">
        <f t="shared" ref="AF169:AG169" si="349">IF(ISNUMBER(B169),"Valid","Invalid")</f>
        <v>Valid</v>
      </c>
      <c r="AG169" s="16" t="str">
        <f t="shared" si="349"/>
        <v>Valid</v>
      </c>
      <c r="AH169" s="16" t="str">
        <f t="shared" ref="AH169:AI169" si="350">IF(OR(B169="",ISBLANK(B169)),"Missing","Valid")</f>
        <v>Valid</v>
      </c>
      <c r="AI169" s="16" t="str">
        <f t="shared" si="350"/>
        <v>Valid</v>
      </c>
      <c r="AJ169" s="16" t="b">
        <v>0</v>
      </c>
      <c r="AK169" s="16" t="b">
        <v>0</v>
      </c>
      <c r="AL169" s="16" t="b">
        <v>0</v>
      </c>
      <c r="AM169" s="16" t="b">
        <v>0</v>
      </c>
      <c r="AN169" s="16" t="b">
        <v>0</v>
      </c>
      <c r="AO169" s="16" t="b">
        <v>0</v>
      </c>
      <c r="AP169" s="16" t="b">
        <v>0</v>
      </c>
      <c r="AQ169" s="17">
        <f t="shared" si="9"/>
        <v>0.15</v>
      </c>
      <c r="AR169" s="12">
        <f t="shared" si="10"/>
        <v>23186.6145</v>
      </c>
      <c r="AS169" s="18">
        <f t="shared" si="11"/>
        <v>-4.4999999990977813E-3</v>
      </c>
      <c r="AT169" s="12">
        <f t="shared" si="12"/>
        <v>5280.0744999999988</v>
      </c>
      <c r="AU169" s="18">
        <f t="shared" si="13"/>
        <v>-4.4999999990977813E-3</v>
      </c>
      <c r="AV169" s="19">
        <f t="shared" si="14"/>
        <v>0.22772080417345961</v>
      </c>
      <c r="AW169" s="20" t="str">
        <f t="shared" si="15"/>
        <v>August</v>
      </c>
      <c r="AX169" s="21">
        <f t="shared" si="16"/>
        <v>2025</v>
      </c>
    </row>
    <row r="170" spans="1:50" ht="15.75" customHeight="1">
      <c r="A170" s="10" t="s">
        <v>643</v>
      </c>
      <c r="B170" s="11">
        <v>45677</v>
      </c>
      <c r="C170" s="11">
        <v>45680</v>
      </c>
      <c r="D170" s="10" t="s">
        <v>644</v>
      </c>
      <c r="E170" s="10" t="s">
        <v>294</v>
      </c>
      <c r="F170" s="10" t="s">
        <v>53</v>
      </c>
      <c r="G170" s="10" t="s">
        <v>92</v>
      </c>
      <c r="H170" s="10" t="s">
        <v>93</v>
      </c>
      <c r="I170" s="10" t="s">
        <v>94</v>
      </c>
      <c r="J170" s="10" t="s">
        <v>103</v>
      </c>
      <c r="K170" s="10" t="s">
        <v>104</v>
      </c>
      <c r="L170" s="10" t="s">
        <v>645</v>
      </c>
      <c r="M170" s="10" t="s">
        <v>73</v>
      </c>
      <c r="N170" s="12">
        <v>5</v>
      </c>
      <c r="O170" s="12">
        <v>639.27</v>
      </c>
      <c r="P170" s="12">
        <v>0.2</v>
      </c>
      <c r="Q170" s="12">
        <v>2557.08</v>
      </c>
      <c r="R170" s="12">
        <v>2025.69</v>
      </c>
      <c r="S170" s="12">
        <v>531.39</v>
      </c>
      <c r="T170" s="10" t="s">
        <v>61</v>
      </c>
      <c r="U170" s="13" t="s">
        <v>97</v>
      </c>
      <c r="V170" s="14" t="e">
        <f t="shared" ca="1" si="0"/>
        <v>#NAME?</v>
      </c>
      <c r="W170" s="10" t="str">
        <f ca="1">IFERROR(__xludf.DUMMYFUNCTION("IF(COUNTIF($A:$A,A164)=1,
""Unique"",
IF(COUNTUNIQUE(FILTER($V$2:$V$934,$A$2:$A$934=A164))&gt;1,
""Conflicting Duplicate"",
""Exact Duplicate""))"),"Unique")</f>
        <v>Unique</v>
      </c>
      <c r="X170" s="10" t="b">
        <f t="shared" ca="1" si="1"/>
        <v>1</v>
      </c>
      <c r="Y170" s="10" t="str">
        <f t="shared" si="2"/>
        <v>Unique</v>
      </c>
      <c r="Z170" s="10"/>
      <c r="AA170" s="10" t="str">
        <f t="shared" si="3"/>
        <v>Clean</v>
      </c>
      <c r="AB170" s="15" t="str">
        <f t="shared" si="4"/>
        <v>Valid</v>
      </c>
      <c r="AC170" s="15">
        <v>3</v>
      </c>
      <c r="AD170" s="16" t="str">
        <f t="shared" si="5"/>
        <v>Valid</v>
      </c>
      <c r="AE170" s="16" t="str">
        <f t="shared" si="6"/>
        <v>Valid</v>
      </c>
      <c r="AF170" s="16" t="str">
        <f t="shared" ref="AF170:AG170" si="351">IF(ISNUMBER(B170),"Valid","Invalid")</f>
        <v>Valid</v>
      </c>
      <c r="AG170" s="16" t="str">
        <f t="shared" si="351"/>
        <v>Valid</v>
      </c>
      <c r="AH170" s="16" t="str">
        <f t="shared" ref="AH170:AI170" si="352">IF(OR(B170="",ISBLANK(B170)),"Missing","Valid")</f>
        <v>Valid</v>
      </c>
      <c r="AI170" s="16" t="str">
        <f t="shared" si="352"/>
        <v>Valid</v>
      </c>
      <c r="AJ170" s="16" t="b">
        <v>0</v>
      </c>
      <c r="AK170" s="16" t="b">
        <v>0</v>
      </c>
      <c r="AL170" s="16" t="b">
        <v>0</v>
      </c>
      <c r="AM170" s="16" t="b">
        <v>0</v>
      </c>
      <c r="AN170" s="16" t="b">
        <v>0</v>
      </c>
      <c r="AO170" s="16" t="b">
        <v>0</v>
      </c>
      <c r="AP170" s="16" t="b">
        <v>0</v>
      </c>
      <c r="AQ170" s="17">
        <f t="shared" si="9"/>
        <v>0.2</v>
      </c>
      <c r="AR170" s="12">
        <f t="shared" si="10"/>
        <v>2557.08</v>
      </c>
      <c r="AS170" s="18">
        <f t="shared" si="11"/>
        <v>0</v>
      </c>
      <c r="AT170" s="12">
        <f t="shared" si="12"/>
        <v>531.38999999999987</v>
      </c>
      <c r="AU170" s="18">
        <f t="shared" si="13"/>
        <v>0</v>
      </c>
      <c r="AV170" s="19">
        <f t="shared" si="14"/>
        <v>0.2078112534609789</v>
      </c>
      <c r="AW170" s="20" t="str">
        <f t="shared" si="15"/>
        <v>January</v>
      </c>
      <c r="AX170" s="21">
        <f t="shared" si="16"/>
        <v>2025</v>
      </c>
    </row>
    <row r="171" spans="1:50" ht="15.75" customHeight="1">
      <c r="A171" s="10" t="s">
        <v>646</v>
      </c>
      <c r="B171" s="11">
        <v>45913</v>
      </c>
      <c r="C171" s="11">
        <v>45913</v>
      </c>
      <c r="D171" s="10" t="s">
        <v>647</v>
      </c>
      <c r="E171" s="10" t="s">
        <v>191</v>
      </c>
      <c r="F171" s="10" t="s">
        <v>53</v>
      </c>
      <c r="G171" s="10" t="s">
        <v>67</v>
      </c>
      <c r="H171" s="10" t="s">
        <v>195</v>
      </c>
      <c r="I171" s="10" t="s">
        <v>196</v>
      </c>
      <c r="J171" s="10" t="s">
        <v>57</v>
      </c>
      <c r="K171" s="10" t="s">
        <v>77</v>
      </c>
      <c r="L171" s="10" t="s">
        <v>648</v>
      </c>
      <c r="M171" s="10" t="s">
        <v>88</v>
      </c>
      <c r="N171" s="12">
        <v>8</v>
      </c>
      <c r="O171" s="12">
        <v>733.9</v>
      </c>
      <c r="P171" s="12">
        <v>0.05</v>
      </c>
      <c r="Q171" s="12">
        <v>5577.64</v>
      </c>
      <c r="R171" s="12">
        <v>3541.29</v>
      </c>
      <c r="S171" s="12">
        <v>2036.35</v>
      </c>
      <c r="T171" s="10" t="s">
        <v>140</v>
      </c>
      <c r="U171" s="13" t="s">
        <v>132</v>
      </c>
      <c r="V171" s="14" t="e">
        <f t="shared" ca="1" si="0"/>
        <v>#NAME?</v>
      </c>
      <c r="W171" s="10" t="str">
        <f ca="1">IFERROR(__xludf.DUMMYFUNCTION("IF(COUNTIF($A:$A,A165)=1,
""Unique"",
IF(COUNTUNIQUE(FILTER($V$2:$V$934,$A$2:$A$934=A165))&gt;1,
""Conflicting Duplicate"",
""Exact Duplicate""))"),"Unique")</f>
        <v>Unique</v>
      </c>
      <c r="X171" s="10" t="b">
        <f t="shared" ca="1" si="1"/>
        <v>1</v>
      </c>
      <c r="Y171" s="10" t="str">
        <f t="shared" si="2"/>
        <v>Unique</v>
      </c>
      <c r="Z171" s="10"/>
      <c r="AA171" s="10" t="str">
        <f t="shared" si="3"/>
        <v>Clean</v>
      </c>
      <c r="AB171" s="15" t="str">
        <f t="shared" si="4"/>
        <v>Valid</v>
      </c>
      <c r="AC171" s="15">
        <v>0</v>
      </c>
      <c r="AD171" s="16" t="str">
        <f t="shared" si="5"/>
        <v>Valid</v>
      </c>
      <c r="AE171" s="16" t="str">
        <f t="shared" si="6"/>
        <v>Valid</v>
      </c>
      <c r="AF171" s="16" t="str">
        <f t="shared" ref="AF171:AG171" si="353">IF(ISNUMBER(B171),"Valid","Invalid")</f>
        <v>Valid</v>
      </c>
      <c r="AG171" s="16" t="str">
        <f t="shared" si="353"/>
        <v>Valid</v>
      </c>
      <c r="AH171" s="16" t="str">
        <f t="shared" ref="AH171:AI171" si="354">IF(OR(B171="",ISBLANK(B171)),"Missing","Valid")</f>
        <v>Valid</v>
      </c>
      <c r="AI171" s="16" t="str">
        <f t="shared" si="354"/>
        <v>Valid</v>
      </c>
      <c r="AJ171" s="16" t="b">
        <v>0</v>
      </c>
      <c r="AK171" s="16" t="b">
        <v>0</v>
      </c>
      <c r="AL171" s="16" t="b">
        <v>0</v>
      </c>
      <c r="AM171" s="16" t="b">
        <v>0</v>
      </c>
      <c r="AN171" s="16" t="b">
        <v>0</v>
      </c>
      <c r="AO171" s="16" t="b">
        <v>0</v>
      </c>
      <c r="AP171" s="16" t="b">
        <v>0</v>
      </c>
      <c r="AQ171" s="17">
        <f t="shared" si="9"/>
        <v>0.05</v>
      </c>
      <c r="AR171" s="12">
        <f t="shared" si="10"/>
        <v>5577.6399999999994</v>
      </c>
      <c r="AS171" s="18">
        <f t="shared" si="11"/>
        <v>0</v>
      </c>
      <c r="AT171" s="12">
        <f t="shared" si="12"/>
        <v>2036.3499999999995</v>
      </c>
      <c r="AU171" s="18">
        <f t="shared" si="13"/>
        <v>0</v>
      </c>
      <c r="AV171" s="19">
        <f t="shared" si="14"/>
        <v>0.36509168752375548</v>
      </c>
      <c r="AW171" s="20" t="str">
        <f t="shared" si="15"/>
        <v>September</v>
      </c>
      <c r="AX171" s="21">
        <f t="shared" si="16"/>
        <v>2025</v>
      </c>
    </row>
    <row r="172" spans="1:50" ht="15.75" customHeight="1">
      <c r="A172" s="10" t="s">
        <v>649</v>
      </c>
      <c r="B172" s="11">
        <v>45907</v>
      </c>
      <c r="C172" s="11">
        <v>45915</v>
      </c>
      <c r="D172" s="10" t="s">
        <v>650</v>
      </c>
      <c r="E172" s="10" t="s">
        <v>170</v>
      </c>
      <c r="F172" s="10" t="s">
        <v>119</v>
      </c>
      <c r="G172" s="10" t="s">
        <v>67</v>
      </c>
      <c r="H172" s="10" t="s">
        <v>174</v>
      </c>
      <c r="I172" s="10" t="s">
        <v>175</v>
      </c>
      <c r="J172" s="10" t="s">
        <v>103</v>
      </c>
      <c r="K172" s="10" t="s">
        <v>109</v>
      </c>
      <c r="L172" s="10" t="s">
        <v>651</v>
      </c>
      <c r="M172" s="10" t="s">
        <v>88</v>
      </c>
      <c r="N172" s="12">
        <v>3</v>
      </c>
      <c r="O172" s="12">
        <v>1711.32</v>
      </c>
      <c r="P172" s="12">
        <v>0</v>
      </c>
      <c r="Q172" s="12">
        <v>5133.96</v>
      </c>
      <c r="R172" s="12">
        <v>3930</v>
      </c>
      <c r="S172" s="12">
        <v>1203.96</v>
      </c>
      <c r="T172" s="10" t="s">
        <v>61</v>
      </c>
      <c r="U172" s="13" t="s">
        <v>62</v>
      </c>
      <c r="V172" s="14" t="e">
        <f t="shared" ca="1" si="0"/>
        <v>#NAME?</v>
      </c>
      <c r="W172" s="10" t="str">
        <f ca="1">IFERROR(__xludf.DUMMYFUNCTION("IF(COUNTIF($A:$A,A166)=1,
""Unique"",
IF(COUNTUNIQUE(FILTER($V$2:$V$934,$A$2:$A$934=A166))&gt;1,
""Conflicting Duplicate"",
""Exact Duplicate""))"),"Unique")</f>
        <v>Unique</v>
      </c>
      <c r="X172" s="10" t="b">
        <f t="shared" ca="1" si="1"/>
        <v>1</v>
      </c>
      <c r="Y172" s="10" t="str">
        <f t="shared" si="2"/>
        <v>Duplicate Order ID</v>
      </c>
      <c r="Z172" s="10"/>
      <c r="AA172" s="10" t="str">
        <f t="shared" si="3"/>
        <v>Clean</v>
      </c>
      <c r="AB172" s="15" t="str">
        <f t="shared" si="4"/>
        <v>Valid</v>
      </c>
      <c r="AC172" s="15">
        <v>8</v>
      </c>
      <c r="AD172" s="16" t="str">
        <f t="shared" si="5"/>
        <v>Valid</v>
      </c>
      <c r="AE172" s="16" t="str">
        <f t="shared" si="6"/>
        <v>Valid</v>
      </c>
      <c r="AF172" s="16" t="str">
        <f t="shared" ref="AF172:AG172" si="355">IF(ISNUMBER(B172),"Valid","Invalid")</f>
        <v>Valid</v>
      </c>
      <c r="AG172" s="16" t="str">
        <f t="shared" si="355"/>
        <v>Valid</v>
      </c>
      <c r="AH172" s="16" t="str">
        <f t="shared" ref="AH172:AI172" si="356">IF(OR(B172="",ISBLANK(B172)),"Missing","Valid")</f>
        <v>Valid</v>
      </c>
      <c r="AI172" s="16" t="str">
        <f t="shared" si="356"/>
        <v>Valid</v>
      </c>
      <c r="AJ172" s="16" t="b">
        <v>0</v>
      </c>
      <c r="AK172" s="16" t="b">
        <v>0</v>
      </c>
      <c r="AL172" s="16" t="b">
        <v>0</v>
      </c>
      <c r="AM172" s="16" t="b">
        <v>0</v>
      </c>
      <c r="AN172" s="16" t="b">
        <v>0</v>
      </c>
      <c r="AO172" s="16" t="b">
        <v>0</v>
      </c>
      <c r="AP172" s="16" t="b">
        <v>0</v>
      </c>
      <c r="AQ172" s="17">
        <f t="shared" si="9"/>
        <v>0</v>
      </c>
      <c r="AR172" s="12">
        <f t="shared" si="10"/>
        <v>5133.96</v>
      </c>
      <c r="AS172" s="18">
        <f t="shared" si="11"/>
        <v>0</v>
      </c>
      <c r="AT172" s="12">
        <f t="shared" si="12"/>
        <v>1203.96</v>
      </c>
      <c r="AU172" s="18">
        <f t="shared" si="13"/>
        <v>0</v>
      </c>
      <c r="AV172" s="19">
        <f t="shared" si="14"/>
        <v>0.23450903396208775</v>
      </c>
      <c r="AW172" s="20" t="str">
        <f t="shared" si="15"/>
        <v>September</v>
      </c>
      <c r="AX172" s="21">
        <f t="shared" si="16"/>
        <v>2025</v>
      </c>
    </row>
    <row r="173" spans="1:50" ht="15.75" customHeight="1">
      <c r="A173" s="10" t="s">
        <v>652</v>
      </c>
      <c r="B173" s="11">
        <v>45711</v>
      </c>
      <c r="C173" s="11">
        <v>45713</v>
      </c>
      <c r="D173" s="10" t="s">
        <v>653</v>
      </c>
      <c r="E173" s="10" t="s">
        <v>52</v>
      </c>
      <c r="F173" s="10" t="s">
        <v>119</v>
      </c>
      <c r="G173" s="10" t="s">
        <v>67</v>
      </c>
      <c r="H173" s="10" t="s">
        <v>174</v>
      </c>
      <c r="I173" s="10" t="s">
        <v>175</v>
      </c>
      <c r="J173" s="10" t="s">
        <v>57</v>
      </c>
      <c r="K173" s="10" t="s">
        <v>120</v>
      </c>
      <c r="L173" s="10" t="s">
        <v>654</v>
      </c>
      <c r="M173" s="10" t="s">
        <v>73</v>
      </c>
      <c r="N173" s="12">
        <v>5</v>
      </c>
      <c r="O173" s="12">
        <v>4246.2700000000004</v>
      </c>
      <c r="P173" s="12">
        <v>0.25</v>
      </c>
      <c r="Q173" s="12">
        <v>15923.51</v>
      </c>
      <c r="R173" s="12">
        <v>11291.8</v>
      </c>
      <c r="S173" s="12">
        <v>4631.71</v>
      </c>
      <c r="T173" s="10" t="s">
        <v>61</v>
      </c>
      <c r="U173" s="13" t="s">
        <v>62</v>
      </c>
      <c r="V173" s="14" t="e">
        <f t="shared" ca="1" si="0"/>
        <v>#NAME?</v>
      </c>
      <c r="W173" s="10" t="str">
        <f ca="1">IFERROR(__xludf.DUMMYFUNCTION("IF(COUNTIF($A:$A,A167)=1,
""Unique"",
IF(COUNTUNIQUE(FILTER($V$2:$V$934,$A$2:$A$934=A167))&gt;1,
""Conflicting Duplicate"",
""Exact Duplicate""))"),"Unique")</f>
        <v>Unique</v>
      </c>
      <c r="X173" s="10" t="b">
        <f t="shared" ca="1" si="1"/>
        <v>1</v>
      </c>
      <c r="Y173" s="10" t="str">
        <f t="shared" si="2"/>
        <v>Unique</v>
      </c>
      <c r="Z173" s="10"/>
      <c r="AA173" s="10" t="str">
        <f t="shared" si="3"/>
        <v>Clean</v>
      </c>
      <c r="AB173" s="15" t="str">
        <f t="shared" si="4"/>
        <v>Valid</v>
      </c>
      <c r="AC173" s="15">
        <v>2</v>
      </c>
      <c r="AD173" s="16" t="str">
        <f t="shared" si="5"/>
        <v>Valid</v>
      </c>
      <c r="AE173" s="16" t="str">
        <f t="shared" si="6"/>
        <v>Valid</v>
      </c>
      <c r="AF173" s="16" t="str">
        <f t="shared" ref="AF173:AG173" si="357">IF(ISNUMBER(B173),"Valid","Invalid")</f>
        <v>Valid</v>
      </c>
      <c r="AG173" s="16" t="str">
        <f t="shared" si="357"/>
        <v>Valid</v>
      </c>
      <c r="AH173" s="16" t="str">
        <f t="shared" ref="AH173:AI173" si="358">IF(OR(B173="",ISBLANK(B173)),"Missing","Valid")</f>
        <v>Valid</v>
      </c>
      <c r="AI173" s="16" t="str">
        <f t="shared" si="358"/>
        <v>Valid</v>
      </c>
      <c r="AJ173" s="16" t="b">
        <v>0</v>
      </c>
      <c r="AK173" s="16" t="b">
        <v>0</v>
      </c>
      <c r="AL173" s="16" t="b">
        <v>0</v>
      </c>
      <c r="AM173" s="16" t="b">
        <v>0</v>
      </c>
      <c r="AN173" s="16" t="b">
        <v>0</v>
      </c>
      <c r="AO173" s="16" t="b">
        <v>0</v>
      </c>
      <c r="AP173" s="16" t="b">
        <v>0</v>
      </c>
      <c r="AQ173" s="17">
        <f t="shared" si="9"/>
        <v>0.25</v>
      </c>
      <c r="AR173" s="12">
        <f t="shared" si="10"/>
        <v>15923.512500000001</v>
      </c>
      <c r="AS173" s="18">
        <f t="shared" si="11"/>
        <v>-2.500000000509317E-3</v>
      </c>
      <c r="AT173" s="12">
        <f t="shared" si="12"/>
        <v>4631.7125000000015</v>
      </c>
      <c r="AU173" s="18">
        <f t="shared" si="13"/>
        <v>-2.5000000014188117E-3</v>
      </c>
      <c r="AV173" s="19">
        <f t="shared" si="14"/>
        <v>0.29087253832971849</v>
      </c>
      <c r="AW173" s="20" t="str">
        <f t="shared" si="15"/>
        <v>February</v>
      </c>
      <c r="AX173" s="21">
        <f t="shared" si="16"/>
        <v>2025</v>
      </c>
    </row>
    <row r="174" spans="1:50" ht="15.75" customHeight="1">
      <c r="A174" s="10" t="s">
        <v>655</v>
      </c>
      <c r="B174" s="11">
        <v>45871</v>
      </c>
      <c r="C174" s="11">
        <v>45879</v>
      </c>
      <c r="D174" s="10" t="s">
        <v>656</v>
      </c>
      <c r="E174" s="10" t="s">
        <v>52</v>
      </c>
      <c r="F174" s="10" t="s">
        <v>119</v>
      </c>
      <c r="G174" s="10" t="s">
        <v>54</v>
      </c>
      <c r="H174" s="10" t="s">
        <v>380</v>
      </c>
      <c r="I174" s="10" t="s">
        <v>381</v>
      </c>
      <c r="J174" s="10" t="s">
        <v>70</v>
      </c>
      <c r="K174" s="10" t="s">
        <v>86</v>
      </c>
      <c r="L174" s="10" t="s">
        <v>657</v>
      </c>
      <c r="M174" s="10" t="s">
        <v>73</v>
      </c>
      <c r="N174" s="12">
        <v>9</v>
      </c>
      <c r="O174" s="12">
        <v>2962.62</v>
      </c>
      <c r="P174" s="12">
        <v>0.1</v>
      </c>
      <c r="Q174" s="12">
        <v>23997.22</v>
      </c>
      <c r="R174" s="12">
        <v>16134.63</v>
      </c>
      <c r="S174" s="12">
        <v>7862.59</v>
      </c>
      <c r="T174" s="10" t="s">
        <v>131</v>
      </c>
      <c r="U174" s="13" t="s">
        <v>132</v>
      </c>
      <c r="V174" s="14" t="e">
        <f t="shared" ca="1" si="0"/>
        <v>#NAME?</v>
      </c>
      <c r="W174" s="10" t="str">
        <f ca="1">IFERROR(__xludf.DUMMYFUNCTION("IF(COUNTIF($A:$A,A168)=1,
""Unique"",
IF(COUNTUNIQUE(FILTER($V$2:$V$934,$A$2:$A$934=A168))&gt;1,
""Conflicting Duplicate"",
""Exact Duplicate""))"),"Unique")</f>
        <v>Unique</v>
      </c>
      <c r="X174" s="10" t="b">
        <f t="shared" ca="1" si="1"/>
        <v>1</v>
      </c>
      <c r="Y174" s="10" t="str">
        <f t="shared" si="2"/>
        <v>Unique</v>
      </c>
      <c r="Z174" s="10"/>
      <c r="AA174" s="10" t="str">
        <f t="shared" si="3"/>
        <v>Clean</v>
      </c>
      <c r="AB174" s="15" t="str">
        <f t="shared" si="4"/>
        <v>Valid</v>
      </c>
      <c r="AC174" s="15">
        <v>8</v>
      </c>
      <c r="AD174" s="16" t="str">
        <f t="shared" si="5"/>
        <v>Valid</v>
      </c>
      <c r="AE174" s="16" t="str">
        <f t="shared" si="6"/>
        <v>Valid</v>
      </c>
      <c r="AF174" s="16" t="str">
        <f t="shared" ref="AF174:AG174" si="359">IF(ISNUMBER(B174),"Valid","Invalid")</f>
        <v>Valid</v>
      </c>
      <c r="AG174" s="16" t="str">
        <f t="shared" si="359"/>
        <v>Valid</v>
      </c>
      <c r="AH174" s="16" t="str">
        <f t="shared" ref="AH174:AI174" si="360">IF(OR(B174="",ISBLANK(B174)),"Missing","Valid")</f>
        <v>Valid</v>
      </c>
      <c r="AI174" s="16" t="str">
        <f t="shared" si="360"/>
        <v>Valid</v>
      </c>
      <c r="AJ174" s="16" t="b">
        <v>0</v>
      </c>
      <c r="AK174" s="16" t="b">
        <v>0</v>
      </c>
      <c r="AL174" s="16" t="b">
        <v>0</v>
      </c>
      <c r="AM174" s="16" t="b">
        <v>0</v>
      </c>
      <c r="AN174" s="16" t="b">
        <v>0</v>
      </c>
      <c r="AO174" s="16" t="b">
        <v>0</v>
      </c>
      <c r="AP174" s="16" t="b">
        <v>0</v>
      </c>
      <c r="AQ174" s="17">
        <f t="shared" si="9"/>
        <v>0.1</v>
      </c>
      <c r="AR174" s="12">
        <f t="shared" si="10"/>
        <v>23997.221999999998</v>
      </c>
      <c r="AS174" s="18">
        <f t="shared" si="11"/>
        <v>-1.9999999967694748E-3</v>
      </c>
      <c r="AT174" s="12">
        <f t="shared" si="12"/>
        <v>7862.5919999999987</v>
      </c>
      <c r="AU174" s="18">
        <f t="shared" si="13"/>
        <v>-1.9999999985884642E-3</v>
      </c>
      <c r="AV174" s="19">
        <f t="shared" si="14"/>
        <v>0.32764592501582057</v>
      </c>
      <c r="AW174" s="20" t="str">
        <f t="shared" si="15"/>
        <v>August</v>
      </c>
      <c r="AX174" s="21">
        <f t="shared" si="16"/>
        <v>2025</v>
      </c>
    </row>
    <row r="175" spans="1:50" ht="15.75" customHeight="1">
      <c r="A175" s="10" t="s">
        <v>658</v>
      </c>
      <c r="B175" s="11">
        <v>45414</v>
      </c>
      <c r="C175" s="11">
        <v>45420</v>
      </c>
      <c r="D175" s="10" t="s">
        <v>659</v>
      </c>
      <c r="E175" s="10" t="s">
        <v>143</v>
      </c>
      <c r="F175" s="10" t="s">
        <v>124</v>
      </c>
      <c r="G175" s="10" t="s">
        <v>54</v>
      </c>
      <c r="H175" s="10" t="s">
        <v>151</v>
      </c>
      <c r="I175" s="10" t="s">
        <v>152</v>
      </c>
      <c r="J175" s="10" t="s">
        <v>103</v>
      </c>
      <c r="K175" s="10" t="s">
        <v>109</v>
      </c>
      <c r="L175" s="10" t="s">
        <v>660</v>
      </c>
      <c r="M175" s="10" t="s">
        <v>60</v>
      </c>
      <c r="N175" s="12">
        <v>1</v>
      </c>
      <c r="O175" s="12">
        <v>2312.25</v>
      </c>
      <c r="P175" s="12">
        <v>0.25</v>
      </c>
      <c r="Q175" s="12">
        <v>1734.19</v>
      </c>
      <c r="R175" s="12">
        <v>1386.07</v>
      </c>
      <c r="S175" s="12">
        <v>348.12</v>
      </c>
      <c r="T175" s="10" t="s">
        <v>61</v>
      </c>
      <c r="U175" s="13" t="s">
        <v>62</v>
      </c>
      <c r="V175" s="14" t="e">
        <f t="shared" ca="1" si="0"/>
        <v>#NAME?</v>
      </c>
      <c r="W175" s="10" t="str">
        <f ca="1">IFERROR(__xludf.DUMMYFUNCTION("IF(COUNTIF($A:$A,A169)=1,
""Unique"",
IF(COUNTUNIQUE(FILTER($V$2:$V$934,$A$2:$A$934=A169))&gt;1,
""Conflicting Duplicate"",
""Exact Duplicate""))"),"Unique")</f>
        <v>Unique</v>
      </c>
      <c r="X175" s="10" t="b">
        <f t="shared" ca="1" si="1"/>
        <v>1</v>
      </c>
      <c r="Y175" s="10" t="str">
        <f t="shared" si="2"/>
        <v>Unique</v>
      </c>
      <c r="Z175" s="10"/>
      <c r="AA175" s="10" t="str">
        <f t="shared" si="3"/>
        <v>Clean</v>
      </c>
      <c r="AB175" s="15" t="str">
        <f t="shared" si="4"/>
        <v>Valid</v>
      </c>
      <c r="AC175" s="15">
        <v>6</v>
      </c>
      <c r="AD175" s="16" t="str">
        <f t="shared" si="5"/>
        <v>Valid</v>
      </c>
      <c r="AE175" s="16" t="str">
        <f t="shared" si="6"/>
        <v>Valid</v>
      </c>
      <c r="AF175" s="16" t="str">
        <f t="shared" ref="AF175:AG175" si="361">IF(ISNUMBER(B175),"Valid","Invalid")</f>
        <v>Valid</v>
      </c>
      <c r="AG175" s="16" t="str">
        <f t="shared" si="361"/>
        <v>Valid</v>
      </c>
      <c r="AH175" s="16" t="str">
        <f t="shared" ref="AH175:AI175" si="362">IF(OR(B175="",ISBLANK(B175)),"Missing","Valid")</f>
        <v>Valid</v>
      </c>
      <c r="AI175" s="16" t="str">
        <f t="shared" si="362"/>
        <v>Valid</v>
      </c>
      <c r="AJ175" s="16" t="b">
        <v>0</v>
      </c>
      <c r="AK175" s="16" t="b">
        <v>0</v>
      </c>
      <c r="AL175" s="16" t="b">
        <v>0</v>
      </c>
      <c r="AM175" s="16" t="b">
        <v>0</v>
      </c>
      <c r="AN175" s="16" t="b">
        <v>0</v>
      </c>
      <c r="AO175" s="16" t="b">
        <v>0</v>
      </c>
      <c r="AP175" s="16" t="b">
        <v>0</v>
      </c>
      <c r="AQ175" s="17">
        <f t="shared" si="9"/>
        <v>0.25</v>
      </c>
      <c r="AR175" s="12">
        <f t="shared" si="10"/>
        <v>1734.1875</v>
      </c>
      <c r="AS175" s="18">
        <f t="shared" si="11"/>
        <v>2.5000000000545697E-3</v>
      </c>
      <c r="AT175" s="12">
        <f t="shared" si="12"/>
        <v>348.11750000000006</v>
      </c>
      <c r="AU175" s="18">
        <f t="shared" si="13"/>
        <v>2.4999999999408828E-3</v>
      </c>
      <c r="AV175" s="19">
        <f t="shared" si="14"/>
        <v>0.20073809781237614</v>
      </c>
      <c r="AW175" s="20" t="str">
        <f t="shared" si="15"/>
        <v>May</v>
      </c>
      <c r="AX175" s="21">
        <f t="shared" si="16"/>
        <v>2024</v>
      </c>
    </row>
    <row r="176" spans="1:50" ht="15.75" customHeight="1">
      <c r="A176" s="10" t="s">
        <v>661</v>
      </c>
      <c r="B176" s="11">
        <v>45928</v>
      </c>
      <c r="C176" s="11">
        <v>45934</v>
      </c>
      <c r="D176" s="10" t="s">
        <v>662</v>
      </c>
      <c r="E176" s="10" t="s">
        <v>52</v>
      </c>
      <c r="F176" s="10" t="s">
        <v>66</v>
      </c>
      <c r="G176" s="10" t="s">
        <v>83</v>
      </c>
      <c r="H176" s="10" t="s">
        <v>204</v>
      </c>
      <c r="I176" s="10" t="s">
        <v>205</v>
      </c>
      <c r="J176" s="10" t="s">
        <v>70</v>
      </c>
      <c r="K176" s="10" t="s">
        <v>187</v>
      </c>
      <c r="L176" s="10" t="s">
        <v>663</v>
      </c>
      <c r="M176" s="10" t="s">
        <v>79</v>
      </c>
      <c r="N176" s="12">
        <v>6</v>
      </c>
      <c r="O176" s="12">
        <v>1620.53</v>
      </c>
      <c r="P176" s="12">
        <v>0.15</v>
      </c>
      <c r="Q176" s="12">
        <v>8264.7000000000007</v>
      </c>
      <c r="R176" s="12">
        <v>4768.75</v>
      </c>
      <c r="S176" s="12">
        <v>3495.95</v>
      </c>
      <c r="T176" s="10" t="s">
        <v>140</v>
      </c>
      <c r="U176" s="13" t="s">
        <v>132</v>
      </c>
      <c r="V176" s="14" t="e">
        <f t="shared" ca="1" si="0"/>
        <v>#NAME?</v>
      </c>
      <c r="W176" s="10" t="str">
        <f ca="1">IFERROR(__xludf.DUMMYFUNCTION("IF(COUNTIF($A:$A,A170)=1,
""Unique"",
IF(COUNTUNIQUE(FILTER($V$2:$V$934,$A$2:$A$934=A170))&gt;1,
""Conflicting Duplicate"",
""Exact Duplicate""))"),"Unique")</f>
        <v>Unique</v>
      </c>
      <c r="X176" s="10" t="b">
        <f t="shared" ca="1" si="1"/>
        <v>1</v>
      </c>
      <c r="Y176" s="10" t="str">
        <f t="shared" si="2"/>
        <v>Unique</v>
      </c>
      <c r="Z176" s="10"/>
      <c r="AA176" s="10" t="str">
        <f t="shared" si="3"/>
        <v>Clean</v>
      </c>
      <c r="AB176" s="15" t="str">
        <f t="shared" si="4"/>
        <v>Valid</v>
      </c>
      <c r="AC176" s="15">
        <v>6</v>
      </c>
      <c r="AD176" s="16" t="str">
        <f t="shared" si="5"/>
        <v>Valid</v>
      </c>
      <c r="AE176" s="16" t="str">
        <f t="shared" si="6"/>
        <v>Valid</v>
      </c>
      <c r="AF176" s="16" t="str">
        <f t="shared" ref="AF176:AG176" si="363">IF(ISNUMBER(B176),"Valid","Invalid")</f>
        <v>Valid</v>
      </c>
      <c r="AG176" s="16" t="str">
        <f t="shared" si="363"/>
        <v>Valid</v>
      </c>
      <c r="AH176" s="16" t="str">
        <f t="shared" ref="AH176:AI176" si="364">IF(OR(B176="",ISBLANK(B176)),"Missing","Valid")</f>
        <v>Valid</v>
      </c>
      <c r="AI176" s="16" t="str">
        <f t="shared" si="364"/>
        <v>Valid</v>
      </c>
      <c r="AJ176" s="16" t="b">
        <v>0</v>
      </c>
      <c r="AK176" s="16" t="b">
        <v>0</v>
      </c>
      <c r="AL176" s="16" t="b">
        <v>0</v>
      </c>
      <c r="AM176" s="16" t="b">
        <v>0</v>
      </c>
      <c r="AN176" s="16" t="b">
        <v>0</v>
      </c>
      <c r="AO176" s="16" t="b">
        <v>0</v>
      </c>
      <c r="AP176" s="16" t="b">
        <v>0</v>
      </c>
      <c r="AQ176" s="17">
        <f t="shared" si="9"/>
        <v>0.15</v>
      </c>
      <c r="AR176" s="12">
        <f t="shared" si="10"/>
        <v>8264.7029999999995</v>
      </c>
      <c r="AS176" s="18">
        <f t="shared" si="11"/>
        <v>-2.999999998792191E-3</v>
      </c>
      <c r="AT176" s="12">
        <f t="shared" si="12"/>
        <v>3495.9529999999995</v>
      </c>
      <c r="AU176" s="18">
        <f t="shared" si="13"/>
        <v>-2.9999999997016857E-3</v>
      </c>
      <c r="AV176" s="19">
        <f t="shared" si="14"/>
        <v>0.42299801940856191</v>
      </c>
      <c r="AW176" s="20" t="str">
        <f t="shared" si="15"/>
        <v>September</v>
      </c>
      <c r="AX176" s="21">
        <f t="shared" si="16"/>
        <v>2025</v>
      </c>
    </row>
    <row r="177" spans="1:50" ht="15.75" customHeight="1">
      <c r="A177" s="10" t="s">
        <v>664</v>
      </c>
      <c r="B177" s="11">
        <v>45318</v>
      </c>
      <c r="C177" s="11">
        <v>45325</v>
      </c>
      <c r="D177" s="10" t="s">
        <v>665</v>
      </c>
      <c r="E177" s="10" t="s">
        <v>82</v>
      </c>
      <c r="F177" s="10" t="s">
        <v>66</v>
      </c>
      <c r="G177" s="10" t="s">
        <v>67</v>
      </c>
      <c r="H177" s="10" t="s">
        <v>174</v>
      </c>
      <c r="I177" s="10" t="s">
        <v>175</v>
      </c>
      <c r="J177" s="10" t="s">
        <v>103</v>
      </c>
      <c r="K177" s="10" t="s">
        <v>304</v>
      </c>
      <c r="L177" s="10" t="s">
        <v>666</v>
      </c>
      <c r="M177" s="10" t="s">
        <v>73</v>
      </c>
      <c r="N177" s="12">
        <v>7</v>
      </c>
      <c r="O177" s="12">
        <v>2673.42</v>
      </c>
      <c r="P177" s="12">
        <v>0.15</v>
      </c>
      <c r="Q177" s="12">
        <v>15906.85</v>
      </c>
      <c r="R177" s="12">
        <v>11014.46</v>
      </c>
      <c r="S177" s="12">
        <v>4892.3900000000003</v>
      </c>
      <c r="T177" s="10" t="s">
        <v>61</v>
      </c>
      <c r="U177" s="13" t="s">
        <v>132</v>
      </c>
      <c r="V177" s="14" t="e">
        <f t="shared" ca="1" si="0"/>
        <v>#NAME?</v>
      </c>
      <c r="W177" s="10" t="str">
        <f ca="1">IFERROR(__xludf.DUMMYFUNCTION("IF(COUNTIF($A:$A,A171)=1,
""Unique"",
IF(COUNTUNIQUE(FILTER($V$2:$V$934,$A$2:$A$934=A171))&gt;1,
""Conflicting Duplicate"",
""Exact Duplicate""))"),"Unique")</f>
        <v>Unique</v>
      </c>
      <c r="X177" s="10" t="b">
        <f t="shared" ca="1" si="1"/>
        <v>1</v>
      </c>
      <c r="Y177" s="10" t="str">
        <f t="shared" si="2"/>
        <v>Unique</v>
      </c>
      <c r="Z177" s="10"/>
      <c r="AA177" s="10" t="str">
        <f t="shared" si="3"/>
        <v>Clean</v>
      </c>
      <c r="AB177" s="15" t="str">
        <f t="shared" si="4"/>
        <v>Valid</v>
      </c>
      <c r="AC177" s="15">
        <v>7</v>
      </c>
      <c r="AD177" s="16" t="str">
        <f t="shared" si="5"/>
        <v>Valid</v>
      </c>
      <c r="AE177" s="16" t="str">
        <f t="shared" si="6"/>
        <v>Valid</v>
      </c>
      <c r="AF177" s="16" t="str">
        <f t="shared" ref="AF177:AG177" si="365">IF(ISNUMBER(B177),"Valid","Invalid")</f>
        <v>Valid</v>
      </c>
      <c r="AG177" s="16" t="str">
        <f t="shared" si="365"/>
        <v>Valid</v>
      </c>
      <c r="AH177" s="16" t="str">
        <f t="shared" ref="AH177:AI177" si="366">IF(OR(B177="",ISBLANK(B177)),"Missing","Valid")</f>
        <v>Valid</v>
      </c>
      <c r="AI177" s="16" t="str">
        <f t="shared" si="366"/>
        <v>Valid</v>
      </c>
      <c r="AJ177" s="16" t="b">
        <v>0</v>
      </c>
      <c r="AK177" s="16" t="b">
        <v>0</v>
      </c>
      <c r="AL177" s="16" t="b">
        <v>0</v>
      </c>
      <c r="AM177" s="16" t="b">
        <v>0</v>
      </c>
      <c r="AN177" s="16" t="b">
        <v>0</v>
      </c>
      <c r="AO177" s="16" t="b">
        <v>0</v>
      </c>
      <c r="AP177" s="16" t="b">
        <v>0</v>
      </c>
      <c r="AQ177" s="17">
        <f t="shared" si="9"/>
        <v>0.15</v>
      </c>
      <c r="AR177" s="12">
        <f t="shared" si="10"/>
        <v>15906.849000000002</v>
      </c>
      <c r="AS177" s="18">
        <f t="shared" si="11"/>
        <v>9.9999999838473741E-4</v>
      </c>
      <c r="AT177" s="12">
        <f t="shared" si="12"/>
        <v>4892.3890000000029</v>
      </c>
      <c r="AU177" s="18">
        <f t="shared" si="13"/>
        <v>9.9999999747524271E-4</v>
      </c>
      <c r="AV177" s="19">
        <f t="shared" si="14"/>
        <v>0.30756493633654297</v>
      </c>
      <c r="AW177" s="20" t="str">
        <f t="shared" si="15"/>
        <v>January</v>
      </c>
      <c r="AX177" s="21">
        <f t="shared" si="16"/>
        <v>2024</v>
      </c>
    </row>
    <row r="178" spans="1:50" ht="15.75" customHeight="1">
      <c r="A178" s="10" t="s">
        <v>667</v>
      </c>
      <c r="B178" s="11">
        <v>45734</v>
      </c>
      <c r="C178" s="11">
        <v>45742</v>
      </c>
      <c r="D178" s="10" t="s">
        <v>668</v>
      </c>
      <c r="E178" s="10" t="s">
        <v>100</v>
      </c>
      <c r="F178" s="10" t="s">
        <v>119</v>
      </c>
      <c r="G178" s="10" t="s">
        <v>67</v>
      </c>
      <c r="H178" s="10" t="s">
        <v>258</v>
      </c>
      <c r="I178" s="10" t="s">
        <v>259</v>
      </c>
      <c r="J178" s="10" t="s">
        <v>70</v>
      </c>
      <c r="K178" s="10" t="s">
        <v>187</v>
      </c>
      <c r="L178" s="10" t="s">
        <v>669</v>
      </c>
      <c r="M178" s="10" t="s">
        <v>88</v>
      </c>
      <c r="N178" s="12">
        <v>8</v>
      </c>
      <c r="O178" s="12">
        <v>3563.09</v>
      </c>
      <c r="P178" s="12">
        <v>0.15</v>
      </c>
      <c r="Q178" s="12">
        <v>24229.01</v>
      </c>
      <c r="R178" s="12">
        <v>13910.64</v>
      </c>
      <c r="S178" s="12">
        <v>10318.370000000001</v>
      </c>
      <c r="T178" s="10" t="s">
        <v>61</v>
      </c>
      <c r="U178" s="13" t="s">
        <v>62</v>
      </c>
      <c r="V178" s="14" t="e">
        <f t="shared" ca="1" si="0"/>
        <v>#NAME?</v>
      </c>
      <c r="W178" s="10" t="str">
        <f ca="1">IFERROR(__xludf.DUMMYFUNCTION("IF(COUNTIF($A:$A,A172)=1,
""Unique"",
IF(COUNTUNIQUE(FILTER($V$2:$V$934,$A$2:$A$934=A172))&gt;1,
""Conflicting Duplicate"",
""Exact Duplicate""))"),"Conflicting Duplicate")</f>
        <v>Conflicting Duplicate</v>
      </c>
      <c r="X178" s="10" t="b">
        <f t="shared" ca="1" si="1"/>
        <v>1</v>
      </c>
      <c r="Y178" s="10" t="str">
        <f t="shared" si="2"/>
        <v>Unique</v>
      </c>
      <c r="Z178" s="10"/>
      <c r="AA178" s="10" t="str">
        <f t="shared" si="3"/>
        <v>Clean</v>
      </c>
      <c r="AB178" s="15" t="str">
        <f t="shared" si="4"/>
        <v>Valid</v>
      </c>
      <c r="AC178" s="15">
        <v>8</v>
      </c>
      <c r="AD178" s="16" t="str">
        <f t="shared" si="5"/>
        <v>Valid</v>
      </c>
      <c r="AE178" s="16" t="str">
        <f t="shared" si="6"/>
        <v>Valid</v>
      </c>
      <c r="AF178" s="16" t="str">
        <f t="shared" ref="AF178:AG178" si="367">IF(ISNUMBER(B178),"Valid","Invalid")</f>
        <v>Valid</v>
      </c>
      <c r="AG178" s="16" t="str">
        <f t="shared" si="367"/>
        <v>Valid</v>
      </c>
      <c r="AH178" s="16" t="str">
        <f t="shared" ref="AH178:AI178" si="368">IF(OR(B178="",ISBLANK(B178)),"Missing","Valid")</f>
        <v>Valid</v>
      </c>
      <c r="AI178" s="16" t="str">
        <f t="shared" si="368"/>
        <v>Valid</v>
      </c>
      <c r="AJ178" s="16" t="b">
        <v>0</v>
      </c>
      <c r="AK178" s="16" t="b">
        <v>0</v>
      </c>
      <c r="AL178" s="16" t="b">
        <v>0</v>
      </c>
      <c r="AM178" s="16" t="b">
        <v>0</v>
      </c>
      <c r="AN178" s="16" t="b">
        <v>0</v>
      </c>
      <c r="AO178" s="16" t="b">
        <v>0</v>
      </c>
      <c r="AP178" s="16" t="b">
        <v>0</v>
      </c>
      <c r="AQ178" s="17">
        <f t="shared" si="9"/>
        <v>0.15</v>
      </c>
      <c r="AR178" s="12">
        <f t="shared" si="10"/>
        <v>24229.011999999999</v>
      </c>
      <c r="AS178" s="18">
        <f t="shared" si="11"/>
        <v>-2.0000000004074536E-3</v>
      </c>
      <c r="AT178" s="12">
        <f t="shared" si="12"/>
        <v>10318.371999999999</v>
      </c>
      <c r="AU178" s="18">
        <f t="shared" si="13"/>
        <v>-1.9999999985884642E-3</v>
      </c>
      <c r="AV178" s="19">
        <f t="shared" si="14"/>
        <v>0.42586845885420338</v>
      </c>
      <c r="AW178" s="20" t="str">
        <f t="shared" si="15"/>
        <v>March</v>
      </c>
      <c r="AX178" s="21">
        <f t="shared" si="16"/>
        <v>2025</v>
      </c>
    </row>
    <row r="179" spans="1:50" ht="15.75" customHeight="1">
      <c r="A179" s="10" t="s">
        <v>670</v>
      </c>
      <c r="B179" s="11">
        <v>45444</v>
      </c>
      <c r="C179" s="11">
        <v>45446</v>
      </c>
      <c r="D179" s="10" t="s">
        <v>671</v>
      </c>
      <c r="E179" s="10" t="s">
        <v>161</v>
      </c>
      <c r="F179" s="10" t="s">
        <v>124</v>
      </c>
      <c r="G179" s="10" t="s">
        <v>234</v>
      </c>
      <c r="H179" s="10" t="s">
        <v>174</v>
      </c>
      <c r="I179" s="10" t="s">
        <v>175</v>
      </c>
      <c r="J179" s="10" t="s">
        <v>57</v>
      </c>
      <c r="K179" s="10" t="s">
        <v>77</v>
      </c>
      <c r="L179" s="10" t="s">
        <v>672</v>
      </c>
      <c r="M179" s="10" t="s">
        <v>73</v>
      </c>
      <c r="N179" s="12">
        <v>8</v>
      </c>
      <c r="O179" s="12">
        <v>3879.95</v>
      </c>
      <c r="P179" s="12">
        <v>0</v>
      </c>
      <c r="Q179" s="12">
        <v>31039.599999999999</v>
      </c>
      <c r="R179" s="12">
        <v>20866.72</v>
      </c>
      <c r="S179" s="12">
        <v>10172.879999999999</v>
      </c>
      <c r="T179" s="10" t="s">
        <v>61</v>
      </c>
      <c r="U179" s="13" t="s">
        <v>62</v>
      </c>
      <c r="V179" s="14" t="e">
        <f t="shared" ca="1" si="0"/>
        <v>#NAME?</v>
      </c>
      <c r="W179" s="10" t="str">
        <f ca="1">IFERROR(__xludf.DUMMYFUNCTION("IF(COUNTIF($A:$A,A173)=1,
""Unique"",
IF(COUNTUNIQUE(FILTER($V$2:$V$934,$A$2:$A$934=A173))&gt;1,
""Conflicting Duplicate"",
""Exact Duplicate""))"),"Unique")</f>
        <v>Unique</v>
      </c>
      <c r="X179" s="10" t="b">
        <f t="shared" ca="1" si="1"/>
        <v>1</v>
      </c>
      <c r="Y179" s="10" t="str">
        <f t="shared" si="2"/>
        <v>Unique</v>
      </c>
      <c r="Z179" s="10"/>
      <c r="AA179" s="10" t="str">
        <f t="shared" si="3"/>
        <v>Warning</v>
      </c>
      <c r="AB179" s="15" t="str">
        <f t="shared" si="4"/>
        <v>Valid</v>
      </c>
      <c r="AC179" s="15">
        <v>2</v>
      </c>
      <c r="AD179" s="16" t="str">
        <f t="shared" si="5"/>
        <v>Valid</v>
      </c>
      <c r="AE179" s="16" t="str">
        <f t="shared" si="6"/>
        <v>Valid</v>
      </c>
      <c r="AF179" s="16" t="str">
        <f t="shared" ref="AF179:AG179" si="369">IF(ISNUMBER(B179),"Valid","Invalid")</f>
        <v>Valid</v>
      </c>
      <c r="AG179" s="16" t="str">
        <f t="shared" si="369"/>
        <v>Valid</v>
      </c>
      <c r="AH179" s="16" t="str">
        <f t="shared" ref="AH179:AI179" si="370">IF(OR(B179="",ISBLANK(B179)),"Missing","Valid")</f>
        <v>Valid</v>
      </c>
      <c r="AI179" s="16" t="str">
        <f t="shared" si="370"/>
        <v>Valid</v>
      </c>
      <c r="AJ179" s="16" t="b">
        <v>1</v>
      </c>
      <c r="AK179" s="16" t="b">
        <v>0</v>
      </c>
      <c r="AL179" s="16" t="b">
        <v>0</v>
      </c>
      <c r="AM179" s="16" t="b">
        <v>0</v>
      </c>
      <c r="AN179" s="16" t="b">
        <v>0</v>
      </c>
      <c r="AO179" s="16" t="b">
        <v>0</v>
      </c>
      <c r="AP179" s="16" t="b">
        <v>1</v>
      </c>
      <c r="AQ179" s="17">
        <f t="shared" si="9"/>
        <v>0</v>
      </c>
      <c r="AR179" s="12">
        <f t="shared" si="10"/>
        <v>31039.599999999999</v>
      </c>
      <c r="AS179" s="18">
        <f t="shared" si="11"/>
        <v>0</v>
      </c>
      <c r="AT179" s="12">
        <f t="shared" si="12"/>
        <v>10172.879999999997</v>
      </c>
      <c r="AU179" s="18">
        <f t="shared" si="13"/>
        <v>0</v>
      </c>
      <c r="AV179" s="19">
        <f t="shared" si="14"/>
        <v>0.32773875952009685</v>
      </c>
      <c r="AW179" s="20" t="str">
        <f t="shared" si="15"/>
        <v>June</v>
      </c>
      <c r="AX179" s="21">
        <f t="shared" si="16"/>
        <v>2024</v>
      </c>
    </row>
    <row r="180" spans="1:50" ht="15.75" customHeight="1">
      <c r="A180" s="10" t="s">
        <v>673</v>
      </c>
      <c r="B180" s="11">
        <v>45565</v>
      </c>
      <c r="C180" s="11">
        <v>45565</v>
      </c>
      <c r="D180" s="10" t="s">
        <v>674</v>
      </c>
      <c r="E180" s="10" t="s">
        <v>76</v>
      </c>
      <c r="F180" s="10" t="s">
        <v>119</v>
      </c>
      <c r="G180" s="10" t="s">
        <v>83</v>
      </c>
      <c r="H180" s="10" t="s">
        <v>84</v>
      </c>
      <c r="I180" s="10" t="s">
        <v>85</v>
      </c>
      <c r="J180" s="10" t="s">
        <v>57</v>
      </c>
      <c r="K180" s="10" t="s">
        <v>77</v>
      </c>
      <c r="L180" s="10" t="s">
        <v>675</v>
      </c>
      <c r="M180" s="10" t="s">
        <v>88</v>
      </c>
      <c r="N180" s="12">
        <v>4</v>
      </c>
      <c r="O180" s="12">
        <v>3281.74</v>
      </c>
      <c r="P180" s="12">
        <v>0</v>
      </c>
      <c r="Q180" s="12">
        <v>13126.96</v>
      </c>
      <c r="R180" s="12">
        <v>10732.44</v>
      </c>
      <c r="S180" s="12">
        <v>2394.52</v>
      </c>
      <c r="T180" s="10" t="s">
        <v>61</v>
      </c>
      <c r="U180" s="13" t="s">
        <v>62</v>
      </c>
      <c r="V180" s="14" t="e">
        <f t="shared" ca="1" si="0"/>
        <v>#NAME?</v>
      </c>
      <c r="W180" s="10" t="str">
        <f ca="1">IFERROR(__xludf.DUMMYFUNCTION("IF(COUNTIF($A:$A,A174)=1,
""Unique"",
IF(COUNTUNIQUE(FILTER($V$2:$V$934,$A$2:$A$934=A174))&gt;1,
""Conflicting Duplicate"",
""Exact Duplicate""))"),"Unique")</f>
        <v>Unique</v>
      </c>
      <c r="X180" s="10" t="b">
        <f t="shared" ca="1" si="1"/>
        <v>1</v>
      </c>
      <c r="Y180" s="10" t="str">
        <f t="shared" si="2"/>
        <v>Unique</v>
      </c>
      <c r="Z180" s="10"/>
      <c r="AA180" s="10" t="str">
        <f t="shared" si="3"/>
        <v>Clean</v>
      </c>
      <c r="AB180" s="15" t="str">
        <f t="shared" si="4"/>
        <v>Valid</v>
      </c>
      <c r="AC180" s="15">
        <v>0</v>
      </c>
      <c r="AD180" s="16" t="str">
        <f t="shared" si="5"/>
        <v>Valid</v>
      </c>
      <c r="AE180" s="16" t="str">
        <f t="shared" si="6"/>
        <v>Valid</v>
      </c>
      <c r="AF180" s="16" t="str">
        <f t="shared" ref="AF180:AG180" si="371">IF(ISNUMBER(B180),"Valid","Invalid")</f>
        <v>Valid</v>
      </c>
      <c r="AG180" s="16" t="str">
        <f t="shared" si="371"/>
        <v>Valid</v>
      </c>
      <c r="AH180" s="16" t="str">
        <f t="shared" ref="AH180:AI180" si="372">IF(OR(B180="",ISBLANK(B180)),"Missing","Valid")</f>
        <v>Valid</v>
      </c>
      <c r="AI180" s="16" t="str">
        <f t="shared" si="372"/>
        <v>Valid</v>
      </c>
      <c r="AJ180" s="16" t="b">
        <v>0</v>
      </c>
      <c r="AK180" s="16" t="b">
        <v>0</v>
      </c>
      <c r="AL180" s="16" t="b">
        <v>0</v>
      </c>
      <c r="AM180" s="16" t="b">
        <v>0</v>
      </c>
      <c r="AN180" s="16" t="b">
        <v>0</v>
      </c>
      <c r="AO180" s="16" t="b">
        <v>0</v>
      </c>
      <c r="AP180" s="16" t="b">
        <v>0</v>
      </c>
      <c r="AQ180" s="17">
        <f t="shared" si="9"/>
        <v>0</v>
      </c>
      <c r="AR180" s="12">
        <f t="shared" si="10"/>
        <v>13126.96</v>
      </c>
      <c r="AS180" s="18">
        <f t="shared" si="11"/>
        <v>0</v>
      </c>
      <c r="AT180" s="12">
        <f t="shared" si="12"/>
        <v>2394.5199999999986</v>
      </c>
      <c r="AU180" s="18">
        <f t="shared" si="13"/>
        <v>0</v>
      </c>
      <c r="AV180" s="19">
        <f t="shared" si="14"/>
        <v>0.18241237879905162</v>
      </c>
      <c r="AW180" s="20" t="str">
        <f t="shared" si="15"/>
        <v>September</v>
      </c>
      <c r="AX180" s="21">
        <f t="shared" si="16"/>
        <v>2024</v>
      </c>
    </row>
    <row r="181" spans="1:50" ht="15.75" customHeight="1">
      <c r="A181" s="10" t="s">
        <v>676</v>
      </c>
      <c r="B181" s="11">
        <v>45366</v>
      </c>
      <c r="C181" s="11">
        <v>45370</v>
      </c>
      <c r="D181" s="10" t="s">
        <v>677</v>
      </c>
      <c r="E181" s="10" t="s">
        <v>91</v>
      </c>
      <c r="F181" s="10" t="s">
        <v>66</v>
      </c>
      <c r="G181" s="10" t="s">
        <v>83</v>
      </c>
      <c r="H181" s="10" t="s">
        <v>277</v>
      </c>
      <c r="I181" s="10" t="s">
        <v>278</v>
      </c>
      <c r="J181" s="10" t="s">
        <v>70</v>
      </c>
      <c r="K181" s="10" t="s">
        <v>86</v>
      </c>
      <c r="L181" s="10" t="s">
        <v>678</v>
      </c>
      <c r="M181" s="10" t="s">
        <v>88</v>
      </c>
      <c r="N181" s="12">
        <v>4</v>
      </c>
      <c r="O181" s="12">
        <v>3186.3</v>
      </c>
      <c r="P181" s="12">
        <v>0.25</v>
      </c>
      <c r="Q181" s="12">
        <v>9558.9</v>
      </c>
      <c r="R181" s="12">
        <v>5516.76</v>
      </c>
      <c r="S181" s="12">
        <v>4042.14</v>
      </c>
      <c r="T181" s="10" t="s">
        <v>131</v>
      </c>
      <c r="U181" s="13" t="s">
        <v>132</v>
      </c>
      <c r="V181" s="14" t="e">
        <f t="shared" ca="1" si="0"/>
        <v>#NAME?</v>
      </c>
      <c r="W181" s="10" t="str">
        <f ca="1">IFERROR(__xludf.DUMMYFUNCTION("IF(COUNTIF($A:$A,A175)=1,
""Unique"",
IF(COUNTUNIQUE(FILTER($V$2:$V$934,$A$2:$A$934=A175))&gt;1,
""Conflicting Duplicate"",
""Exact Duplicate""))"),"Unique")</f>
        <v>Unique</v>
      </c>
      <c r="X181" s="10" t="b">
        <f t="shared" ca="1" si="1"/>
        <v>1</v>
      </c>
      <c r="Y181" s="10" t="str">
        <f t="shared" si="2"/>
        <v>Unique</v>
      </c>
      <c r="Z181" s="10"/>
      <c r="AA181" s="10" t="str">
        <f t="shared" si="3"/>
        <v>Clean</v>
      </c>
      <c r="AB181" s="15" t="str">
        <f t="shared" si="4"/>
        <v>Valid</v>
      </c>
      <c r="AC181" s="15">
        <v>4</v>
      </c>
      <c r="AD181" s="16" t="str">
        <f t="shared" si="5"/>
        <v>Valid</v>
      </c>
      <c r="AE181" s="16" t="str">
        <f t="shared" si="6"/>
        <v>Valid</v>
      </c>
      <c r="AF181" s="16" t="str">
        <f t="shared" ref="AF181:AG181" si="373">IF(ISNUMBER(B181),"Valid","Invalid")</f>
        <v>Valid</v>
      </c>
      <c r="AG181" s="16" t="str">
        <f t="shared" si="373"/>
        <v>Valid</v>
      </c>
      <c r="AH181" s="16" t="str">
        <f t="shared" ref="AH181:AI181" si="374">IF(OR(B181="",ISBLANK(B181)),"Missing","Valid")</f>
        <v>Valid</v>
      </c>
      <c r="AI181" s="16" t="str">
        <f t="shared" si="374"/>
        <v>Valid</v>
      </c>
      <c r="AJ181" s="16" t="b">
        <v>0</v>
      </c>
      <c r="AK181" s="16" t="b">
        <v>0</v>
      </c>
      <c r="AL181" s="16" t="b">
        <v>0</v>
      </c>
      <c r="AM181" s="16" t="b">
        <v>0</v>
      </c>
      <c r="AN181" s="16" t="b">
        <v>0</v>
      </c>
      <c r="AO181" s="16" t="b">
        <v>0</v>
      </c>
      <c r="AP181" s="16" t="b">
        <v>0</v>
      </c>
      <c r="AQ181" s="17">
        <f t="shared" si="9"/>
        <v>0.25</v>
      </c>
      <c r="AR181" s="12">
        <f t="shared" si="10"/>
        <v>9558.9000000000015</v>
      </c>
      <c r="AS181" s="18">
        <f t="shared" si="11"/>
        <v>0</v>
      </c>
      <c r="AT181" s="12">
        <f t="shared" si="12"/>
        <v>4042.1400000000012</v>
      </c>
      <c r="AU181" s="18">
        <f t="shared" si="13"/>
        <v>0</v>
      </c>
      <c r="AV181" s="19">
        <f t="shared" si="14"/>
        <v>0.42286664783604816</v>
      </c>
      <c r="AW181" s="20" t="str">
        <f t="shared" si="15"/>
        <v>March</v>
      </c>
      <c r="AX181" s="21">
        <f t="shared" si="16"/>
        <v>2024</v>
      </c>
    </row>
    <row r="182" spans="1:50" ht="15.75" customHeight="1">
      <c r="A182" s="10" t="s">
        <v>679</v>
      </c>
      <c r="B182" s="11">
        <v>45530</v>
      </c>
      <c r="C182" s="11">
        <v>45530</v>
      </c>
      <c r="D182" s="10" t="s">
        <v>680</v>
      </c>
      <c r="E182" s="10" t="s">
        <v>65</v>
      </c>
      <c r="F182" s="10" t="s">
        <v>124</v>
      </c>
      <c r="G182" s="10" t="s">
        <v>54</v>
      </c>
      <c r="H182" s="10" t="s">
        <v>165</v>
      </c>
      <c r="I182" s="10" t="s">
        <v>166</v>
      </c>
      <c r="J182" s="10" t="s">
        <v>57</v>
      </c>
      <c r="K182" s="10" t="s">
        <v>182</v>
      </c>
      <c r="L182" s="10" t="s">
        <v>681</v>
      </c>
      <c r="M182" s="10" t="s">
        <v>79</v>
      </c>
      <c r="N182" s="12">
        <v>7</v>
      </c>
      <c r="O182" s="12">
        <v>844.59</v>
      </c>
      <c r="P182" s="12">
        <v>0.1</v>
      </c>
      <c r="Q182" s="12">
        <v>5320.92</v>
      </c>
      <c r="R182" s="12">
        <v>3041.5</v>
      </c>
      <c r="S182" s="12">
        <v>2279.42</v>
      </c>
      <c r="T182" s="10" t="s">
        <v>61</v>
      </c>
      <c r="U182" s="13" t="s">
        <v>62</v>
      </c>
      <c r="V182" s="14" t="e">
        <f t="shared" ca="1" si="0"/>
        <v>#NAME?</v>
      </c>
      <c r="W182" s="10" t="str">
        <f ca="1">IFERROR(__xludf.DUMMYFUNCTION("IF(COUNTIF($A:$A,A176)=1,
""Unique"",
IF(COUNTUNIQUE(FILTER($V$2:$V$934,$A$2:$A$934=A176))&gt;1,
""Conflicting Duplicate"",
""Exact Duplicate""))"),"Unique")</f>
        <v>Unique</v>
      </c>
      <c r="X182" s="10" t="b">
        <f t="shared" ca="1" si="1"/>
        <v>1</v>
      </c>
      <c r="Y182" s="10" t="str">
        <f t="shared" si="2"/>
        <v>Unique</v>
      </c>
      <c r="Z182" s="10"/>
      <c r="AA182" s="10" t="str">
        <f t="shared" si="3"/>
        <v>Clean</v>
      </c>
      <c r="AB182" s="15" t="str">
        <f t="shared" si="4"/>
        <v>Valid</v>
      </c>
      <c r="AC182" s="15">
        <v>0</v>
      </c>
      <c r="AD182" s="16" t="str">
        <f t="shared" si="5"/>
        <v>Valid</v>
      </c>
      <c r="AE182" s="16" t="str">
        <f t="shared" si="6"/>
        <v>Valid</v>
      </c>
      <c r="AF182" s="16" t="str">
        <f t="shared" ref="AF182:AG182" si="375">IF(ISNUMBER(B182),"Valid","Invalid")</f>
        <v>Valid</v>
      </c>
      <c r="AG182" s="16" t="str">
        <f t="shared" si="375"/>
        <v>Valid</v>
      </c>
      <c r="AH182" s="16" t="str">
        <f t="shared" ref="AH182:AI182" si="376">IF(OR(B182="",ISBLANK(B182)),"Missing","Valid")</f>
        <v>Valid</v>
      </c>
      <c r="AI182" s="16" t="str">
        <f t="shared" si="376"/>
        <v>Valid</v>
      </c>
      <c r="AJ182" s="16" t="b">
        <v>0</v>
      </c>
      <c r="AK182" s="16" t="b">
        <v>0</v>
      </c>
      <c r="AL182" s="16" t="b">
        <v>0</v>
      </c>
      <c r="AM182" s="16" t="b">
        <v>0</v>
      </c>
      <c r="AN182" s="16" t="b">
        <v>0</v>
      </c>
      <c r="AO182" s="16" t="b">
        <v>0</v>
      </c>
      <c r="AP182" s="16" t="b">
        <v>0</v>
      </c>
      <c r="AQ182" s="17">
        <f t="shared" si="9"/>
        <v>0.1</v>
      </c>
      <c r="AR182" s="12">
        <f t="shared" si="10"/>
        <v>5320.9170000000004</v>
      </c>
      <c r="AS182" s="18">
        <f t="shared" si="11"/>
        <v>2.9999999997016857E-3</v>
      </c>
      <c r="AT182" s="12">
        <f t="shared" si="12"/>
        <v>2279.4170000000004</v>
      </c>
      <c r="AU182" s="18">
        <f t="shared" si="13"/>
        <v>2.9999999997016857E-3</v>
      </c>
      <c r="AV182" s="19">
        <f t="shared" si="14"/>
        <v>0.42838800154183954</v>
      </c>
      <c r="AW182" s="20" t="str">
        <f t="shared" si="15"/>
        <v>August</v>
      </c>
      <c r="AX182" s="21">
        <f t="shared" si="16"/>
        <v>2024</v>
      </c>
    </row>
    <row r="183" spans="1:50" ht="15.75" customHeight="1">
      <c r="A183" s="10" t="s">
        <v>682</v>
      </c>
      <c r="B183" s="11">
        <v>45909</v>
      </c>
      <c r="C183" s="11">
        <v>45910</v>
      </c>
      <c r="D183" s="10" t="s">
        <v>683</v>
      </c>
      <c r="E183" s="10" t="s">
        <v>143</v>
      </c>
      <c r="F183" s="10" t="s">
        <v>124</v>
      </c>
      <c r="G183" s="10" t="s">
        <v>83</v>
      </c>
      <c r="H183" s="10" t="s">
        <v>277</v>
      </c>
      <c r="I183" s="10" t="s">
        <v>278</v>
      </c>
      <c r="J183" s="10" t="s">
        <v>57</v>
      </c>
      <c r="K183" s="10" t="s">
        <v>77</v>
      </c>
      <c r="L183" s="10" t="s">
        <v>684</v>
      </c>
      <c r="M183" s="10" t="s">
        <v>60</v>
      </c>
      <c r="N183" s="12">
        <v>4</v>
      </c>
      <c r="O183" s="12">
        <v>2551.4499999999998</v>
      </c>
      <c r="P183" s="12">
        <v>0</v>
      </c>
      <c r="Q183" s="12">
        <v>10205.799999999999</v>
      </c>
      <c r="R183" s="12">
        <v>5986.31</v>
      </c>
      <c r="S183" s="12">
        <v>4219.49</v>
      </c>
      <c r="T183" s="10" t="s">
        <v>61</v>
      </c>
      <c r="U183" s="13" t="s">
        <v>62</v>
      </c>
      <c r="V183" s="14" t="e">
        <f t="shared" ca="1" si="0"/>
        <v>#NAME?</v>
      </c>
      <c r="W183" s="10" t="str">
        <f ca="1">IFERROR(__xludf.DUMMYFUNCTION("IF(COUNTIF($A:$A,A177)=1,
""Unique"",
IF(COUNTUNIQUE(FILTER($V$2:$V$934,$A$2:$A$934=A177))&gt;1,
""Conflicting Duplicate"",
""Exact Duplicate""))"),"Unique")</f>
        <v>Unique</v>
      </c>
      <c r="X183" s="10" t="b">
        <f t="shared" ca="1" si="1"/>
        <v>1</v>
      </c>
      <c r="Y183" s="10" t="str">
        <f t="shared" si="2"/>
        <v>Unique</v>
      </c>
      <c r="Z183" s="10"/>
      <c r="AA183" s="10" t="str">
        <f t="shared" si="3"/>
        <v>Clean</v>
      </c>
      <c r="AB183" s="15" t="str">
        <f t="shared" si="4"/>
        <v>Valid</v>
      </c>
      <c r="AC183" s="15">
        <v>1</v>
      </c>
      <c r="AD183" s="16" t="str">
        <f t="shared" si="5"/>
        <v>Valid</v>
      </c>
      <c r="AE183" s="16" t="str">
        <f t="shared" si="6"/>
        <v>Valid</v>
      </c>
      <c r="AF183" s="16" t="str">
        <f t="shared" ref="AF183:AG183" si="377">IF(ISNUMBER(B183),"Valid","Invalid")</f>
        <v>Valid</v>
      </c>
      <c r="AG183" s="16" t="str">
        <f t="shared" si="377"/>
        <v>Valid</v>
      </c>
      <c r="AH183" s="16" t="str">
        <f t="shared" ref="AH183:AI183" si="378">IF(OR(B183="",ISBLANK(B183)),"Missing","Valid")</f>
        <v>Valid</v>
      </c>
      <c r="AI183" s="16" t="str">
        <f t="shared" si="378"/>
        <v>Valid</v>
      </c>
      <c r="AJ183" s="16" t="b">
        <v>0</v>
      </c>
      <c r="AK183" s="16" t="b">
        <v>0</v>
      </c>
      <c r="AL183" s="16" t="b">
        <v>0</v>
      </c>
      <c r="AM183" s="16" t="b">
        <v>0</v>
      </c>
      <c r="AN183" s="16" t="b">
        <v>0</v>
      </c>
      <c r="AO183" s="16" t="b">
        <v>0</v>
      </c>
      <c r="AP183" s="16" t="b">
        <v>0</v>
      </c>
      <c r="AQ183" s="17">
        <f t="shared" si="9"/>
        <v>0</v>
      </c>
      <c r="AR183" s="12">
        <f t="shared" si="10"/>
        <v>10205.799999999999</v>
      </c>
      <c r="AS183" s="18">
        <f t="shared" si="11"/>
        <v>0</v>
      </c>
      <c r="AT183" s="12">
        <f t="shared" si="12"/>
        <v>4219.4899999999989</v>
      </c>
      <c r="AU183" s="18">
        <f t="shared" si="13"/>
        <v>0</v>
      </c>
      <c r="AV183" s="19">
        <f t="shared" si="14"/>
        <v>0.41344039663720622</v>
      </c>
      <c r="AW183" s="20" t="str">
        <f t="shared" si="15"/>
        <v>September</v>
      </c>
      <c r="AX183" s="21">
        <f t="shared" si="16"/>
        <v>2025</v>
      </c>
    </row>
    <row r="184" spans="1:50" ht="15.75" customHeight="1">
      <c r="A184" s="10" t="s">
        <v>685</v>
      </c>
      <c r="B184" s="11">
        <v>45581</v>
      </c>
      <c r="C184" s="11">
        <v>45581</v>
      </c>
      <c r="D184" s="10" t="s">
        <v>686</v>
      </c>
      <c r="E184" s="10" t="s">
        <v>91</v>
      </c>
      <c r="F184" s="10" t="s">
        <v>124</v>
      </c>
      <c r="G184" s="10" t="s">
        <v>67</v>
      </c>
      <c r="H184" s="10" t="s">
        <v>174</v>
      </c>
      <c r="I184" s="10" t="s">
        <v>175</v>
      </c>
      <c r="J184" s="10" t="s">
        <v>103</v>
      </c>
      <c r="K184" s="10" t="s">
        <v>304</v>
      </c>
      <c r="L184" s="10" t="s">
        <v>687</v>
      </c>
      <c r="M184" s="10" t="s">
        <v>88</v>
      </c>
      <c r="N184" s="12">
        <v>7</v>
      </c>
      <c r="O184" s="12">
        <v>775.77</v>
      </c>
      <c r="P184" s="12">
        <v>0</v>
      </c>
      <c r="Q184" s="12">
        <v>5430.39</v>
      </c>
      <c r="R184" s="12">
        <v>3707.66</v>
      </c>
      <c r="S184" s="12">
        <v>1722.73</v>
      </c>
      <c r="T184" s="10" t="s">
        <v>61</v>
      </c>
      <c r="U184" s="13" t="s">
        <v>62</v>
      </c>
      <c r="V184" s="14" t="e">
        <f t="shared" ca="1" si="0"/>
        <v>#NAME?</v>
      </c>
      <c r="W184" s="10" t="str">
        <f ca="1">IFERROR(__xludf.DUMMYFUNCTION("IF(COUNTIF($A:$A,A178)=1,
""Unique"",
IF(COUNTUNIQUE(FILTER($V$2:$V$934,$A$2:$A$934=A178))&gt;1,
""Conflicting Duplicate"",
""Exact Duplicate""))"),"Unique")</f>
        <v>Unique</v>
      </c>
      <c r="X184" s="10" t="b">
        <f t="shared" ca="1" si="1"/>
        <v>1</v>
      </c>
      <c r="Y184" s="10" t="str">
        <f t="shared" si="2"/>
        <v>Unique</v>
      </c>
      <c r="Z184" s="10"/>
      <c r="AA184" s="10" t="str">
        <f t="shared" si="3"/>
        <v>Clean</v>
      </c>
      <c r="AB184" s="15" t="str">
        <f t="shared" si="4"/>
        <v>Valid</v>
      </c>
      <c r="AC184" s="15">
        <v>0</v>
      </c>
      <c r="AD184" s="16" t="str">
        <f t="shared" si="5"/>
        <v>Valid</v>
      </c>
      <c r="AE184" s="16" t="str">
        <f t="shared" si="6"/>
        <v>Valid</v>
      </c>
      <c r="AF184" s="16" t="str">
        <f t="shared" ref="AF184:AG184" si="379">IF(ISNUMBER(B184),"Valid","Invalid")</f>
        <v>Valid</v>
      </c>
      <c r="AG184" s="16" t="str">
        <f t="shared" si="379"/>
        <v>Valid</v>
      </c>
      <c r="AH184" s="16" t="str">
        <f t="shared" ref="AH184:AI184" si="380">IF(OR(B184="",ISBLANK(B184)),"Missing","Valid")</f>
        <v>Valid</v>
      </c>
      <c r="AI184" s="16" t="str">
        <f t="shared" si="380"/>
        <v>Valid</v>
      </c>
      <c r="AJ184" s="16" t="b">
        <v>0</v>
      </c>
      <c r="AK184" s="16" t="b">
        <v>0</v>
      </c>
      <c r="AL184" s="16" t="b">
        <v>0</v>
      </c>
      <c r="AM184" s="16" t="b">
        <v>0</v>
      </c>
      <c r="AN184" s="16" t="b">
        <v>0</v>
      </c>
      <c r="AO184" s="16" t="b">
        <v>0</v>
      </c>
      <c r="AP184" s="16" t="b">
        <v>0</v>
      </c>
      <c r="AQ184" s="17">
        <f t="shared" si="9"/>
        <v>0</v>
      </c>
      <c r="AR184" s="12">
        <f t="shared" si="10"/>
        <v>5430.3899999999994</v>
      </c>
      <c r="AS184" s="18">
        <f t="shared" si="11"/>
        <v>0</v>
      </c>
      <c r="AT184" s="12">
        <f t="shared" si="12"/>
        <v>1722.7299999999996</v>
      </c>
      <c r="AU184" s="18">
        <f t="shared" si="13"/>
        <v>0</v>
      </c>
      <c r="AV184" s="19">
        <f t="shared" si="14"/>
        <v>0.31723872502711586</v>
      </c>
      <c r="AW184" s="20" t="str">
        <f t="shared" si="15"/>
        <v>October</v>
      </c>
      <c r="AX184" s="21">
        <f t="shared" si="16"/>
        <v>2024</v>
      </c>
    </row>
    <row r="185" spans="1:50" ht="15.75" customHeight="1">
      <c r="A185" s="10" t="s">
        <v>688</v>
      </c>
      <c r="B185" s="11">
        <v>45832</v>
      </c>
      <c r="C185" s="11">
        <v>45835</v>
      </c>
      <c r="D185" s="10" t="s">
        <v>689</v>
      </c>
      <c r="E185" s="10" t="s">
        <v>100</v>
      </c>
      <c r="F185" s="10" t="s">
        <v>124</v>
      </c>
      <c r="G185" s="10" t="s">
        <v>83</v>
      </c>
      <c r="H185" s="10" t="s">
        <v>84</v>
      </c>
      <c r="I185" s="10" t="s">
        <v>85</v>
      </c>
      <c r="J185" s="10" t="s">
        <v>103</v>
      </c>
      <c r="K185" s="10" t="s">
        <v>109</v>
      </c>
      <c r="L185" s="10" t="s">
        <v>690</v>
      </c>
      <c r="M185" s="10" t="s">
        <v>88</v>
      </c>
      <c r="N185" s="12">
        <v>7</v>
      </c>
      <c r="O185" s="12">
        <v>2304.86</v>
      </c>
      <c r="P185" s="12">
        <v>0.2</v>
      </c>
      <c r="Q185" s="12">
        <v>12907.22</v>
      </c>
      <c r="R185" s="12">
        <v>8327.89</v>
      </c>
      <c r="S185" s="12">
        <v>4579.33</v>
      </c>
      <c r="T185" s="10" t="s">
        <v>61</v>
      </c>
      <c r="U185" s="13" t="s">
        <v>132</v>
      </c>
      <c r="V185" s="14" t="e">
        <f t="shared" ca="1" si="0"/>
        <v>#NAME?</v>
      </c>
      <c r="W185" s="10" t="str">
        <f ca="1">IFERROR(__xludf.DUMMYFUNCTION("IF(COUNTIF($A:$A,A179)=1,
""Unique"",
IF(COUNTUNIQUE(FILTER($V$2:$V$934,$A$2:$A$934=A179))&gt;1,
""Conflicting Duplicate"",
""Exact Duplicate""))"),"Unique")</f>
        <v>Unique</v>
      </c>
      <c r="X185" s="10" t="b">
        <f t="shared" ca="1" si="1"/>
        <v>1</v>
      </c>
      <c r="Y185" s="10" t="str">
        <f t="shared" si="2"/>
        <v>Unique</v>
      </c>
      <c r="Z185" s="10"/>
      <c r="AA185" s="10" t="str">
        <f t="shared" si="3"/>
        <v>Clean</v>
      </c>
      <c r="AB185" s="15" t="str">
        <f t="shared" si="4"/>
        <v>Valid</v>
      </c>
      <c r="AC185" s="15">
        <v>3</v>
      </c>
      <c r="AD185" s="16" t="str">
        <f t="shared" si="5"/>
        <v>Valid</v>
      </c>
      <c r="AE185" s="16" t="str">
        <f t="shared" si="6"/>
        <v>Valid</v>
      </c>
      <c r="AF185" s="16" t="str">
        <f t="shared" ref="AF185:AG185" si="381">IF(ISNUMBER(B185),"Valid","Invalid")</f>
        <v>Valid</v>
      </c>
      <c r="AG185" s="16" t="str">
        <f t="shared" si="381"/>
        <v>Valid</v>
      </c>
      <c r="AH185" s="16" t="str">
        <f t="shared" ref="AH185:AI185" si="382">IF(OR(B185="",ISBLANK(B185)),"Missing","Valid")</f>
        <v>Valid</v>
      </c>
      <c r="AI185" s="16" t="str">
        <f t="shared" si="382"/>
        <v>Valid</v>
      </c>
      <c r="AJ185" s="16" t="b">
        <v>0</v>
      </c>
      <c r="AK185" s="16" t="b">
        <v>0</v>
      </c>
      <c r="AL185" s="16" t="b">
        <v>0</v>
      </c>
      <c r="AM185" s="16" t="b">
        <v>0</v>
      </c>
      <c r="AN185" s="16" t="b">
        <v>0</v>
      </c>
      <c r="AO185" s="16" t="b">
        <v>0</v>
      </c>
      <c r="AP185" s="16" t="b">
        <v>0</v>
      </c>
      <c r="AQ185" s="17">
        <f t="shared" si="9"/>
        <v>0.2</v>
      </c>
      <c r="AR185" s="12">
        <f t="shared" si="10"/>
        <v>12907.216</v>
      </c>
      <c r="AS185" s="18">
        <f t="shared" si="11"/>
        <v>3.9999999989959178E-3</v>
      </c>
      <c r="AT185" s="12">
        <f t="shared" si="12"/>
        <v>4579.3260000000009</v>
      </c>
      <c r="AU185" s="18">
        <f t="shared" si="13"/>
        <v>3.9999999989959178E-3</v>
      </c>
      <c r="AV185" s="19">
        <f t="shared" si="14"/>
        <v>0.3547880503433119</v>
      </c>
      <c r="AW185" s="20" t="str">
        <f t="shared" si="15"/>
        <v>June</v>
      </c>
      <c r="AX185" s="21">
        <f t="shared" si="16"/>
        <v>2025</v>
      </c>
    </row>
    <row r="186" spans="1:50" ht="15.75" customHeight="1">
      <c r="A186" s="10" t="s">
        <v>691</v>
      </c>
      <c r="B186" s="11">
        <v>45384</v>
      </c>
      <c r="C186" s="11">
        <v>45388</v>
      </c>
      <c r="D186" s="10" t="s">
        <v>692</v>
      </c>
      <c r="E186" s="10" t="s">
        <v>100</v>
      </c>
      <c r="F186" s="10" t="s">
        <v>119</v>
      </c>
      <c r="G186" s="10" t="s">
        <v>92</v>
      </c>
      <c r="H186" s="10" t="s">
        <v>101</v>
      </c>
      <c r="I186" s="10" t="s">
        <v>102</v>
      </c>
      <c r="J186" s="10" t="s">
        <v>70</v>
      </c>
      <c r="K186" s="10" t="s">
        <v>187</v>
      </c>
      <c r="L186" s="10" t="s">
        <v>693</v>
      </c>
      <c r="M186" s="10" t="s">
        <v>88</v>
      </c>
      <c r="N186" s="12">
        <v>2</v>
      </c>
      <c r="O186" s="12">
        <v>888.98</v>
      </c>
      <c r="P186" s="12">
        <v>0</v>
      </c>
      <c r="Q186" s="12">
        <v>1777.96</v>
      </c>
      <c r="R186" s="12">
        <v>1021.16</v>
      </c>
      <c r="S186" s="12">
        <v>756.8</v>
      </c>
      <c r="T186" s="10" t="s">
        <v>131</v>
      </c>
      <c r="U186" s="13" t="s">
        <v>132</v>
      </c>
      <c r="V186" s="14" t="e">
        <f t="shared" ca="1" si="0"/>
        <v>#NAME?</v>
      </c>
      <c r="W186" s="10" t="str">
        <f ca="1">IFERROR(__xludf.DUMMYFUNCTION("IF(COUNTIF($A:$A,A180)=1,
""Unique"",
IF(COUNTUNIQUE(FILTER($V$2:$V$934,$A$2:$A$934=A180))&gt;1,
""Conflicting Duplicate"",
""Exact Duplicate""))"),"Unique")</f>
        <v>Unique</v>
      </c>
      <c r="X186" s="10" t="b">
        <f t="shared" ca="1" si="1"/>
        <v>1</v>
      </c>
      <c r="Y186" s="10" t="str">
        <f t="shared" si="2"/>
        <v>Unique</v>
      </c>
      <c r="Z186" s="10"/>
      <c r="AA186" s="10" t="str">
        <f t="shared" si="3"/>
        <v>Clean</v>
      </c>
      <c r="AB186" s="15" t="str">
        <f t="shared" si="4"/>
        <v>Valid</v>
      </c>
      <c r="AC186" s="15">
        <v>4</v>
      </c>
      <c r="AD186" s="16" t="str">
        <f t="shared" si="5"/>
        <v>Valid</v>
      </c>
      <c r="AE186" s="16" t="str">
        <f t="shared" si="6"/>
        <v>Valid</v>
      </c>
      <c r="AF186" s="16" t="str">
        <f t="shared" ref="AF186:AG186" si="383">IF(ISNUMBER(B186),"Valid","Invalid")</f>
        <v>Valid</v>
      </c>
      <c r="AG186" s="16" t="str">
        <f t="shared" si="383"/>
        <v>Valid</v>
      </c>
      <c r="AH186" s="16" t="str">
        <f t="shared" ref="AH186:AI186" si="384">IF(OR(B186="",ISBLANK(B186)),"Missing","Valid")</f>
        <v>Valid</v>
      </c>
      <c r="AI186" s="16" t="str">
        <f t="shared" si="384"/>
        <v>Valid</v>
      </c>
      <c r="AJ186" s="16" t="b">
        <v>0</v>
      </c>
      <c r="AK186" s="16" t="b">
        <v>0</v>
      </c>
      <c r="AL186" s="16" t="b">
        <v>0</v>
      </c>
      <c r="AM186" s="16" t="b">
        <v>0</v>
      </c>
      <c r="AN186" s="16" t="b">
        <v>0</v>
      </c>
      <c r="AO186" s="16" t="b">
        <v>0</v>
      </c>
      <c r="AP186" s="16" t="b">
        <v>0</v>
      </c>
      <c r="AQ186" s="17">
        <f t="shared" si="9"/>
        <v>0</v>
      </c>
      <c r="AR186" s="12">
        <f t="shared" si="10"/>
        <v>1777.96</v>
      </c>
      <c r="AS186" s="18">
        <f t="shared" si="11"/>
        <v>0</v>
      </c>
      <c r="AT186" s="12">
        <f t="shared" si="12"/>
        <v>756.80000000000007</v>
      </c>
      <c r="AU186" s="18">
        <f t="shared" si="13"/>
        <v>0</v>
      </c>
      <c r="AV186" s="19">
        <f t="shared" si="14"/>
        <v>0.42565637022205227</v>
      </c>
      <c r="AW186" s="20" t="str">
        <f t="shared" si="15"/>
        <v>April</v>
      </c>
      <c r="AX186" s="21">
        <f t="shared" si="16"/>
        <v>2024</v>
      </c>
    </row>
    <row r="187" spans="1:50" ht="15.75" customHeight="1">
      <c r="A187" s="10" t="s">
        <v>694</v>
      </c>
      <c r="B187" s="11">
        <v>45601</v>
      </c>
      <c r="C187" s="11">
        <v>45609</v>
      </c>
      <c r="D187" s="10" t="s">
        <v>695</v>
      </c>
      <c r="E187" s="10" t="s">
        <v>82</v>
      </c>
      <c r="F187" s="10" t="s">
        <v>53</v>
      </c>
      <c r="G187" s="10" t="s">
        <v>234</v>
      </c>
      <c r="H187" s="10" t="s">
        <v>151</v>
      </c>
      <c r="I187" s="10" t="s">
        <v>152</v>
      </c>
      <c r="J187" s="10" t="s">
        <v>57</v>
      </c>
      <c r="K187" s="10" t="s">
        <v>120</v>
      </c>
      <c r="L187" s="10" t="s">
        <v>696</v>
      </c>
      <c r="M187" s="10" t="s">
        <v>60</v>
      </c>
      <c r="N187" s="12">
        <v>2</v>
      </c>
      <c r="O187" s="12">
        <v>1003.17</v>
      </c>
      <c r="P187" s="12">
        <v>0.2</v>
      </c>
      <c r="Q187" s="12">
        <v>1605.07</v>
      </c>
      <c r="R187" s="12">
        <v>1337.28</v>
      </c>
      <c r="S187" s="12">
        <v>267.79000000000002</v>
      </c>
      <c r="T187" s="10" t="s">
        <v>61</v>
      </c>
      <c r="U187" s="13" t="s">
        <v>62</v>
      </c>
      <c r="V187" s="14" t="e">
        <f t="shared" ca="1" si="0"/>
        <v>#NAME?</v>
      </c>
      <c r="W187" s="10" t="str">
        <f ca="1">IFERROR(__xludf.DUMMYFUNCTION("IF(COUNTIF($A:$A,A181)=1,
""Unique"",
IF(COUNTUNIQUE(FILTER($V$2:$V$934,$A$2:$A$934=A181))&gt;1,
""Conflicting Duplicate"",
""Exact Duplicate""))"),"Unique")</f>
        <v>Unique</v>
      </c>
      <c r="X187" s="10" t="b">
        <f t="shared" ca="1" si="1"/>
        <v>1</v>
      </c>
      <c r="Y187" s="10" t="str">
        <f t="shared" si="2"/>
        <v>Unique</v>
      </c>
      <c r="Z187" s="10"/>
      <c r="AA187" s="10" t="str">
        <f t="shared" si="3"/>
        <v>Warning</v>
      </c>
      <c r="AB187" s="15" t="str">
        <f t="shared" si="4"/>
        <v>Valid</v>
      </c>
      <c r="AC187" s="15">
        <v>8</v>
      </c>
      <c r="AD187" s="16" t="str">
        <f t="shared" si="5"/>
        <v>Valid</v>
      </c>
      <c r="AE187" s="16" t="str">
        <f t="shared" si="6"/>
        <v>Valid</v>
      </c>
      <c r="AF187" s="16" t="str">
        <f t="shared" ref="AF187:AG187" si="385">IF(ISNUMBER(B187),"Valid","Invalid")</f>
        <v>Valid</v>
      </c>
      <c r="AG187" s="16" t="str">
        <f t="shared" si="385"/>
        <v>Valid</v>
      </c>
      <c r="AH187" s="16" t="str">
        <f t="shared" ref="AH187:AI187" si="386">IF(OR(B187="",ISBLANK(B187)),"Missing","Valid")</f>
        <v>Valid</v>
      </c>
      <c r="AI187" s="16" t="str">
        <f t="shared" si="386"/>
        <v>Valid</v>
      </c>
      <c r="AJ187" s="16" t="b">
        <v>1</v>
      </c>
      <c r="AK187" s="16" t="b">
        <v>0</v>
      </c>
      <c r="AL187" s="16" t="b">
        <v>0</v>
      </c>
      <c r="AM187" s="16" t="b">
        <v>0</v>
      </c>
      <c r="AN187" s="16" t="b">
        <v>0</v>
      </c>
      <c r="AO187" s="16" t="b">
        <v>0</v>
      </c>
      <c r="AP187" s="16" t="b">
        <v>1</v>
      </c>
      <c r="AQ187" s="17">
        <f t="shared" si="9"/>
        <v>0.2</v>
      </c>
      <c r="AR187" s="12">
        <f t="shared" si="10"/>
        <v>1605.0720000000001</v>
      </c>
      <c r="AS187" s="18">
        <f t="shared" si="11"/>
        <v>-2.00000000018008E-3</v>
      </c>
      <c r="AT187" s="12">
        <f t="shared" si="12"/>
        <v>267.79200000000014</v>
      </c>
      <c r="AU187" s="18">
        <f t="shared" si="13"/>
        <v>-2.0000000001232365E-3</v>
      </c>
      <c r="AV187" s="19">
        <f t="shared" si="14"/>
        <v>0.16684111366966722</v>
      </c>
      <c r="AW187" s="20" t="str">
        <f t="shared" si="15"/>
        <v>November</v>
      </c>
      <c r="AX187" s="21">
        <f t="shared" si="16"/>
        <v>2024</v>
      </c>
    </row>
    <row r="188" spans="1:50" ht="15.75" customHeight="1">
      <c r="A188" s="10" t="s">
        <v>697</v>
      </c>
      <c r="B188" s="11">
        <v>45492</v>
      </c>
      <c r="C188" s="11">
        <v>45493</v>
      </c>
      <c r="D188" s="10" t="s">
        <v>293</v>
      </c>
      <c r="E188" s="10" t="s">
        <v>100</v>
      </c>
      <c r="F188" s="10" t="s">
        <v>53</v>
      </c>
      <c r="G188" s="10" t="s">
        <v>83</v>
      </c>
      <c r="H188" s="10" t="s">
        <v>277</v>
      </c>
      <c r="I188" s="10" t="s">
        <v>278</v>
      </c>
      <c r="J188" s="10" t="s">
        <v>70</v>
      </c>
      <c r="K188" s="10" t="s">
        <v>71</v>
      </c>
      <c r="L188" s="10" t="s">
        <v>698</v>
      </c>
      <c r="M188" s="10" t="s">
        <v>79</v>
      </c>
      <c r="N188" s="12">
        <v>7</v>
      </c>
      <c r="O188" s="12">
        <v>3608.43</v>
      </c>
      <c r="P188" s="12">
        <v>0.05</v>
      </c>
      <c r="Q188" s="12">
        <v>23996.06</v>
      </c>
      <c r="R188" s="12">
        <v>20167.28</v>
      </c>
      <c r="S188" s="12">
        <v>3828.78</v>
      </c>
      <c r="T188" s="10" t="s">
        <v>61</v>
      </c>
      <c r="U188" s="13" t="s">
        <v>62</v>
      </c>
      <c r="V188" s="14" t="e">
        <f t="shared" ca="1" si="0"/>
        <v>#NAME?</v>
      </c>
      <c r="W188" s="10" t="str">
        <f ca="1">IFERROR(__xludf.DUMMYFUNCTION("IF(COUNTIF($A:$A,A182)=1,
""Unique"",
IF(COUNTUNIQUE(FILTER($V$2:$V$934,$A$2:$A$934=A182))&gt;1,
""Conflicting Duplicate"",
""Exact Duplicate""))"),"Unique")</f>
        <v>Unique</v>
      </c>
      <c r="X188" s="10" t="b">
        <f t="shared" ca="1" si="1"/>
        <v>1</v>
      </c>
      <c r="Y188" s="10" t="str">
        <f t="shared" si="2"/>
        <v>Unique</v>
      </c>
      <c r="Z188" s="10"/>
      <c r="AA188" s="10" t="str">
        <f t="shared" si="3"/>
        <v>Clean</v>
      </c>
      <c r="AB188" s="15" t="str">
        <f t="shared" si="4"/>
        <v>Valid</v>
      </c>
      <c r="AC188" s="15">
        <v>1</v>
      </c>
      <c r="AD188" s="16" t="str">
        <f t="shared" si="5"/>
        <v>Valid</v>
      </c>
      <c r="AE188" s="16" t="str">
        <f t="shared" si="6"/>
        <v>Valid</v>
      </c>
      <c r="AF188" s="16" t="str">
        <f t="shared" ref="AF188:AG188" si="387">IF(ISNUMBER(B188),"Valid","Invalid")</f>
        <v>Valid</v>
      </c>
      <c r="AG188" s="16" t="str">
        <f t="shared" si="387"/>
        <v>Valid</v>
      </c>
      <c r="AH188" s="16" t="str">
        <f t="shared" ref="AH188:AI188" si="388">IF(OR(B188="",ISBLANK(B188)),"Missing","Valid")</f>
        <v>Valid</v>
      </c>
      <c r="AI188" s="16" t="str">
        <f t="shared" si="388"/>
        <v>Valid</v>
      </c>
      <c r="AJ188" s="16" t="b">
        <v>0</v>
      </c>
      <c r="AK188" s="16" t="b">
        <v>0</v>
      </c>
      <c r="AL188" s="16" t="b">
        <v>0</v>
      </c>
      <c r="AM188" s="16" t="b">
        <v>0</v>
      </c>
      <c r="AN188" s="16" t="b">
        <v>0</v>
      </c>
      <c r="AO188" s="16" t="b">
        <v>0</v>
      </c>
      <c r="AP188" s="16" t="b">
        <v>0</v>
      </c>
      <c r="AQ188" s="17">
        <f t="shared" si="9"/>
        <v>0.05</v>
      </c>
      <c r="AR188" s="12">
        <f t="shared" si="10"/>
        <v>23996.059499999996</v>
      </c>
      <c r="AS188" s="18">
        <f t="shared" si="11"/>
        <v>5.0000000555883162E-4</v>
      </c>
      <c r="AT188" s="12">
        <f t="shared" si="12"/>
        <v>3828.7794999999969</v>
      </c>
      <c r="AU188" s="18">
        <f t="shared" si="13"/>
        <v>5.0000000328509486E-4</v>
      </c>
      <c r="AV188" s="19">
        <f t="shared" si="14"/>
        <v>0.15955867670689838</v>
      </c>
      <c r="AW188" s="20" t="str">
        <f t="shared" si="15"/>
        <v>July</v>
      </c>
      <c r="AX188" s="21">
        <f t="shared" si="16"/>
        <v>2024</v>
      </c>
    </row>
    <row r="189" spans="1:50" ht="15.75" customHeight="1">
      <c r="A189" s="10" t="s">
        <v>699</v>
      </c>
      <c r="B189" s="11">
        <v>45778</v>
      </c>
      <c r="C189" s="11">
        <v>45779</v>
      </c>
      <c r="D189" s="10" t="s">
        <v>700</v>
      </c>
      <c r="E189" s="10" t="s">
        <v>65</v>
      </c>
      <c r="F189" s="10" t="s">
        <v>53</v>
      </c>
      <c r="G189" s="10" t="s">
        <v>92</v>
      </c>
      <c r="H189" s="10" t="s">
        <v>101</v>
      </c>
      <c r="I189" s="10" t="s">
        <v>102</v>
      </c>
      <c r="J189" s="10" t="s">
        <v>70</v>
      </c>
      <c r="K189" s="10" t="s">
        <v>95</v>
      </c>
      <c r="L189" s="10" t="s">
        <v>701</v>
      </c>
      <c r="M189" s="10" t="s">
        <v>73</v>
      </c>
      <c r="N189" s="12">
        <v>3</v>
      </c>
      <c r="O189" s="12">
        <v>2905.74</v>
      </c>
      <c r="P189" s="12">
        <v>0</v>
      </c>
      <c r="Q189" s="12">
        <v>8717.2199999999993</v>
      </c>
      <c r="R189" s="12">
        <v>6215.96</v>
      </c>
      <c r="S189" s="12">
        <v>2501.2600000000002</v>
      </c>
      <c r="T189" s="10" t="s">
        <v>61</v>
      </c>
      <c r="U189" s="13" t="s">
        <v>132</v>
      </c>
      <c r="V189" s="14" t="e">
        <f t="shared" ca="1" si="0"/>
        <v>#NAME?</v>
      </c>
      <c r="W189" s="10" t="str">
        <f ca="1">IFERROR(__xludf.DUMMYFUNCTION("IF(COUNTIF($A:$A,A183)=1,
""Unique"",
IF(COUNTUNIQUE(FILTER($V$2:$V$934,$A$2:$A$934=A183))&gt;1,
""Conflicting Duplicate"",
""Exact Duplicate""))"),"Unique")</f>
        <v>Unique</v>
      </c>
      <c r="X189" s="10" t="b">
        <f t="shared" ca="1" si="1"/>
        <v>1</v>
      </c>
      <c r="Y189" s="10" t="str">
        <f t="shared" si="2"/>
        <v>Unique</v>
      </c>
      <c r="Z189" s="10"/>
      <c r="AA189" s="10" t="str">
        <f t="shared" si="3"/>
        <v>Clean</v>
      </c>
      <c r="AB189" s="15" t="str">
        <f t="shared" si="4"/>
        <v>Valid</v>
      </c>
      <c r="AC189" s="15">
        <v>1</v>
      </c>
      <c r="AD189" s="16" t="str">
        <f t="shared" si="5"/>
        <v>Valid</v>
      </c>
      <c r="AE189" s="16" t="str">
        <f t="shared" si="6"/>
        <v>Valid</v>
      </c>
      <c r="AF189" s="16" t="str">
        <f t="shared" ref="AF189:AG189" si="389">IF(ISNUMBER(B189),"Valid","Invalid")</f>
        <v>Valid</v>
      </c>
      <c r="AG189" s="16" t="str">
        <f t="shared" si="389"/>
        <v>Valid</v>
      </c>
      <c r="AH189" s="16" t="str">
        <f t="shared" ref="AH189:AI189" si="390">IF(OR(B189="",ISBLANK(B189)),"Missing","Valid")</f>
        <v>Valid</v>
      </c>
      <c r="AI189" s="16" t="str">
        <f t="shared" si="390"/>
        <v>Valid</v>
      </c>
      <c r="AJ189" s="16" t="b">
        <v>0</v>
      </c>
      <c r="AK189" s="16" t="b">
        <v>0</v>
      </c>
      <c r="AL189" s="16" t="b">
        <v>0</v>
      </c>
      <c r="AM189" s="16" t="b">
        <v>0</v>
      </c>
      <c r="AN189" s="16" t="b">
        <v>0</v>
      </c>
      <c r="AO189" s="16" t="b">
        <v>0</v>
      </c>
      <c r="AP189" s="16" t="b">
        <v>0</v>
      </c>
      <c r="AQ189" s="17">
        <f t="shared" si="9"/>
        <v>0</v>
      </c>
      <c r="AR189" s="12">
        <f t="shared" si="10"/>
        <v>8717.2199999999993</v>
      </c>
      <c r="AS189" s="18">
        <f t="shared" si="11"/>
        <v>0</v>
      </c>
      <c r="AT189" s="12">
        <f t="shared" si="12"/>
        <v>2501.2599999999993</v>
      </c>
      <c r="AU189" s="18">
        <f t="shared" si="13"/>
        <v>0</v>
      </c>
      <c r="AV189" s="19">
        <f t="shared" si="14"/>
        <v>0.28693321953558582</v>
      </c>
      <c r="AW189" s="20" t="str">
        <f t="shared" si="15"/>
        <v>May</v>
      </c>
      <c r="AX189" s="21">
        <f t="shared" si="16"/>
        <v>2025</v>
      </c>
    </row>
    <row r="190" spans="1:50" ht="15.75" customHeight="1">
      <c r="A190" s="10" t="s">
        <v>702</v>
      </c>
      <c r="B190" s="11">
        <v>45798</v>
      </c>
      <c r="C190" s="11">
        <v>45805</v>
      </c>
      <c r="D190" s="10" t="s">
        <v>703</v>
      </c>
      <c r="E190" s="10" t="s">
        <v>143</v>
      </c>
      <c r="F190" s="10" t="s">
        <v>119</v>
      </c>
      <c r="G190" s="10" t="s">
        <v>67</v>
      </c>
      <c r="H190" s="10" t="s">
        <v>128</v>
      </c>
      <c r="I190" s="10" t="s">
        <v>129</v>
      </c>
      <c r="J190" s="10" t="s">
        <v>70</v>
      </c>
      <c r="K190" s="10" t="s">
        <v>187</v>
      </c>
      <c r="L190" s="10" t="s">
        <v>704</v>
      </c>
      <c r="M190" s="10" t="s">
        <v>73</v>
      </c>
      <c r="N190" s="12">
        <v>2</v>
      </c>
      <c r="O190" s="12">
        <v>3559.57</v>
      </c>
      <c r="P190" s="12">
        <v>0.1</v>
      </c>
      <c r="Q190" s="12">
        <v>6553.95</v>
      </c>
      <c r="R190" s="12">
        <v>4923.09</v>
      </c>
      <c r="S190" s="12">
        <v>1484.14</v>
      </c>
      <c r="T190" s="10" t="s">
        <v>61</v>
      </c>
      <c r="U190" s="13" t="s">
        <v>62</v>
      </c>
      <c r="V190" s="14" t="e">
        <f t="shared" ca="1" si="0"/>
        <v>#NAME?</v>
      </c>
      <c r="W190" s="10" t="str">
        <f ca="1">IFERROR(__xludf.DUMMYFUNCTION("IF(COUNTIF($A:$A,A184)=1,
""Unique"",
IF(COUNTUNIQUE(FILTER($V$2:$V$934,$A$2:$A$934=A184))&gt;1,
""Conflicting Duplicate"",
""Exact Duplicate""))"),"Unique")</f>
        <v>Unique</v>
      </c>
      <c r="X190" s="10" t="b">
        <f t="shared" ca="1" si="1"/>
        <v>1</v>
      </c>
      <c r="Y190" s="10" t="str">
        <f t="shared" si="2"/>
        <v>Unique</v>
      </c>
      <c r="Z190" s="10"/>
      <c r="AA190" s="10" t="str">
        <f t="shared" si="3"/>
        <v>Clean</v>
      </c>
      <c r="AB190" s="15" t="str">
        <f t="shared" si="4"/>
        <v>Valid</v>
      </c>
      <c r="AC190" s="15">
        <v>7</v>
      </c>
      <c r="AD190" s="16" t="str">
        <f t="shared" si="5"/>
        <v>Valid</v>
      </c>
      <c r="AE190" s="16" t="str">
        <f t="shared" si="6"/>
        <v>Valid</v>
      </c>
      <c r="AF190" s="16" t="str">
        <f t="shared" ref="AF190:AG190" si="391">IF(ISNUMBER(B190),"Valid","Invalid")</f>
        <v>Valid</v>
      </c>
      <c r="AG190" s="16" t="str">
        <f t="shared" si="391"/>
        <v>Valid</v>
      </c>
      <c r="AH190" s="16" t="str">
        <f t="shared" ref="AH190:AI190" si="392">IF(OR(B190="",ISBLANK(B190)),"Missing","Valid")</f>
        <v>Valid</v>
      </c>
      <c r="AI190" s="16" t="str">
        <f t="shared" si="392"/>
        <v>Valid</v>
      </c>
      <c r="AJ190" s="16" t="b">
        <v>0</v>
      </c>
      <c r="AK190" s="16" t="b">
        <v>0</v>
      </c>
      <c r="AL190" s="16" t="b">
        <v>0</v>
      </c>
      <c r="AM190" s="16" t="b">
        <v>0</v>
      </c>
      <c r="AN190" s="16" t="b">
        <v>0</v>
      </c>
      <c r="AO190" s="16" t="b">
        <v>0</v>
      </c>
      <c r="AP190" s="16" t="b">
        <v>0</v>
      </c>
      <c r="AQ190" s="17">
        <f t="shared" si="9"/>
        <v>0.1</v>
      </c>
      <c r="AR190" s="12">
        <f t="shared" si="10"/>
        <v>6407.2260000000006</v>
      </c>
      <c r="AS190" s="18">
        <f t="shared" si="11"/>
        <v>146.72399999999925</v>
      </c>
      <c r="AT190" s="12">
        <f t="shared" si="12"/>
        <v>1484.1360000000004</v>
      </c>
      <c r="AU190" s="18">
        <f t="shared" si="13"/>
        <v>3.9999999996780389E-3</v>
      </c>
      <c r="AV190" s="19">
        <f t="shared" si="14"/>
        <v>0.23163471992403581</v>
      </c>
      <c r="AW190" s="20" t="str">
        <f t="shared" si="15"/>
        <v>May</v>
      </c>
      <c r="AX190" s="21">
        <f t="shared" si="16"/>
        <v>2025</v>
      </c>
    </row>
    <row r="191" spans="1:50" ht="15.75" customHeight="1">
      <c r="A191" s="10" t="s">
        <v>705</v>
      </c>
      <c r="B191" s="11">
        <v>45783</v>
      </c>
      <c r="C191" s="11">
        <v>45784</v>
      </c>
      <c r="D191" s="10" t="s">
        <v>706</v>
      </c>
      <c r="E191" s="10" t="s">
        <v>82</v>
      </c>
      <c r="F191" s="10" t="s">
        <v>53</v>
      </c>
      <c r="G191" s="10" t="s">
        <v>92</v>
      </c>
      <c r="H191" s="10" t="s">
        <v>55</v>
      </c>
      <c r="I191" s="10" t="s">
        <v>138</v>
      </c>
      <c r="J191" s="10" t="s">
        <v>70</v>
      </c>
      <c r="K191" s="10" t="s">
        <v>187</v>
      </c>
      <c r="L191" s="10" t="s">
        <v>707</v>
      </c>
      <c r="M191" s="10" t="s">
        <v>79</v>
      </c>
      <c r="N191" s="12">
        <v>9</v>
      </c>
      <c r="O191" s="12">
        <v>3318.24</v>
      </c>
      <c r="P191" s="12">
        <v>0</v>
      </c>
      <c r="Q191" s="12">
        <v>25384.54</v>
      </c>
      <c r="R191" s="12">
        <v>16872.39</v>
      </c>
      <c r="S191" s="12">
        <v>8512.15</v>
      </c>
      <c r="T191" s="10" t="s">
        <v>61</v>
      </c>
      <c r="U191" s="13" t="s">
        <v>62</v>
      </c>
      <c r="V191" s="14" t="e">
        <f t="shared" ca="1" si="0"/>
        <v>#NAME?</v>
      </c>
      <c r="W191" s="10" t="str">
        <f ca="1">IFERROR(__xludf.DUMMYFUNCTION("IF(COUNTIF($A:$A,A185)=1,
""Unique"",
IF(COUNTUNIQUE(FILTER($V$2:$V$934,$A$2:$A$934=A185))&gt;1,
""Conflicting Duplicate"",
""Exact Duplicate""))"),"Unique")</f>
        <v>Unique</v>
      </c>
      <c r="X191" s="10" t="b">
        <f t="shared" ca="1" si="1"/>
        <v>1</v>
      </c>
      <c r="Y191" s="10" t="str">
        <f t="shared" si="2"/>
        <v>Unique</v>
      </c>
      <c r="Z191" s="10"/>
      <c r="AA191" s="10" t="str">
        <f t="shared" si="3"/>
        <v>Clean</v>
      </c>
      <c r="AB191" s="15" t="str">
        <f t="shared" si="4"/>
        <v>Valid</v>
      </c>
      <c r="AC191" s="15">
        <v>1</v>
      </c>
      <c r="AD191" s="16" t="str">
        <f t="shared" si="5"/>
        <v>Valid</v>
      </c>
      <c r="AE191" s="16" t="str">
        <f t="shared" si="6"/>
        <v>Valid</v>
      </c>
      <c r="AF191" s="16" t="str">
        <f t="shared" ref="AF191:AG191" si="393">IF(ISNUMBER(B191),"Valid","Invalid")</f>
        <v>Valid</v>
      </c>
      <c r="AG191" s="16" t="str">
        <f t="shared" si="393"/>
        <v>Valid</v>
      </c>
      <c r="AH191" s="16" t="str">
        <f t="shared" ref="AH191:AI191" si="394">IF(OR(B191="",ISBLANK(B191)),"Missing","Valid")</f>
        <v>Valid</v>
      </c>
      <c r="AI191" s="16" t="str">
        <f t="shared" si="394"/>
        <v>Valid</v>
      </c>
      <c r="AJ191" s="16" t="b">
        <v>0</v>
      </c>
      <c r="AK191" s="16" t="b">
        <v>0</v>
      </c>
      <c r="AL191" s="16" t="b">
        <v>1</v>
      </c>
      <c r="AM191" s="16" t="b">
        <v>0</v>
      </c>
      <c r="AN191" s="16" t="b">
        <v>0</v>
      </c>
      <c r="AO191" s="16" t="b">
        <v>0</v>
      </c>
      <c r="AP191" s="16" t="b">
        <v>1</v>
      </c>
      <c r="AQ191" s="17">
        <f t="shared" si="9"/>
        <v>0</v>
      </c>
      <c r="AR191" s="12">
        <f t="shared" si="10"/>
        <v>29864.159999999996</v>
      </c>
      <c r="AS191" s="18">
        <f t="shared" si="11"/>
        <v>-4479.6199999999953</v>
      </c>
      <c r="AT191" s="12">
        <f t="shared" si="12"/>
        <v>12991.769999999997</v>
      </c>
      <c r="AU191" s="18">
        <f t="shared" si="13"/>
        <v>-4479.6199999999972</v>
      </c>
      <c r="AV191" s="19">
        <f t="shared" si="14"/>
        <v>0.43502881045373448</v>
      </c>
      <c r="AW191" s="20" t="str">
        <f t="shared" si="15"/>
        <v>May</v>
      </c>
      <c r="AX191" s="21">
        <f t="shared" si="16"/>
        <v>2025</v>
      </c>
    </row>
    <row r="192" spans="1:50" ht="15.75" customHeight="1">
      <c r="A192" s="10" t="s">
        <v>708</v>
      </c>
      <c r="B192" s="11">
        <v>45767</v>
      </c>
      <c r="C192" s="11">
        <v>45768</v>
      </c>
      <c r="D192" s="10" t="s">
        <v>709</v>
      </c>
      <c r="E192" s="10" t="s">
        <v>118</v>
      </c>
      <c r="F192" s="10" t="s">
        <v>53</v>
      </c>
      <c r="G192" s="10" t="s">
        <v>83</v>
      </c>
      <c r="H192" s="10" t="s">
        <v>277</v>
      </c>
      <c r="I192" s="10" t="s">
        <v>278</v>
      </c>
      <c r="J192" s="10" t="s">
        <v>57</v>
      </c>
      <c r="K192" s="10" t="s">
        <v>153</v>
      </c>
      <c r="L192" s="10" t="s">
        <v>710</v>
      </c>
      <c r="M192" s="10" t="s">
        <v>79</v>
      </c>
      <c r="N192" s="12">
        <v>3</v>
      </c>
      <c r="O192" s="12">
        <v>540.09</v>
      </c>
      <c r="P192" s="12">
        <v>0.1</v>
      </c>
      <c r="Q192" s="12">
        <v>1458.24</v>
      </c>
      <c r="R192" s="12">
        <v>943.32</v>
      </c>
      <c r="S192" s="12">
        <v>514.91999999999996</v>
      </c>
      <c r="T192" s="10" t="s">
        <v>61</v>
      </c>
      <c r="U192" s="13" t="s">
        <v>62</v>
      </c>
      <c r="V192" s="14" t="e">
        <f t="shared" ca="1" si="0"/>
        <v>#NAME?</v>
      </c>
      <c r="W192" s="10" t="str">
        <f ca="1">IFERROR(__xludf.DUMMYFUNCTION("IF(COUNTIF($A:$A,A186)=1,
""Unique"",
IF(COUNTUNIQUE(FILTER($V$2:$V$934,$A$2:$A$934=A186))&gt;1,
""Conflicting Duplicate"",
""Exact Duplicate""))"),"Unique")</f>
        <v>Unique</v>
      </c>
      <c r="X192" s="10" t="b">
        <f t="shared" ca="1" si="1"/>
        <v>1</v>
      </c>
      <c r="Y192" s="10" t="str">
        <f t="shared" si="2"/>
        <v>Unique</v>
      </c>
      <c r="Z192" s="10"/>
      <c r="AA192" s="10" t="str">
        <f t="shared" si="3"/>
        <v>Clean</v>
      </c>
      <c r="AB192" s="15" t="str">
        <f t="shared" si="4"/>
        <v>Valid</v>
      </c>
      <c r="AC192" s="15">
        <v>1</v>
      </c>
      <c r="AD192" s="16" t="str">
        <f t="shared" si="5"/>
        <v>Valid</v>
      </c>
      <c r="AE192" s="16" t="str">
        <f t="shared" si="6"/>
        <v>Valid</v>
      </c>
      <c r="AF192" s="16" t="str">
        <f t="shared" ref="AF192:AG192" si="395">IF(ISNUMBER(B192),"Valid","Invalid")</f>
        <v>Valid</v>
      </c>
      <c r="AG192" s="16" t="str">
        <f t="shared" si="395"/>
        <v>Valid</v>
      </c>
      <c r="AH192" s="16" t="str">
        <f t="shared" ref="AH192:AI192" si="396">IF(OR(B192="",ISBLANK(B192)),"Missing","Valid")</f>
        <v>Valid</v>
      </c>
      <c r="AI192" s="16" t="str">
        <f t="shared" si="396"/>
        <v>Valid</v>
      </c>
      <c r="AJ192" s="16" t="b">
        <v>0</v>
      </c>
      <c r="AK192" s="16" t="b">
        <v>0</v>
      </c>
      <c r="AL192" s="16" t="b">
        <v>0</v>
      </c>
      <c r="AM192" s="16" t="b">
        <v>0</v>
      </c>
      <c r="AN192" s="16" t="b">
        <v>0</v>
      </c>
      <c r="AO192" s="16" t="b">
        <v>0</v>
      </c>
      <c r="AP192" s="16" t="b">
        <v>0</v>
      </c>
      <c r="AQ192" s="17">
        <f t="shared" si="9"/>
        <v>0.1</v>
      </c>
      <c r="AR192" s="12">
        <f t="shared" si="10"/>
        <v>1458.2429999999999</v>
      </c>
      <c r="AS192" s="18">
        <f t="shared" si="11"/>
        <v>-2.9999999999290594E-3</v>
      </c>
      <c r="AT192" s="12">
        <f t="shared" si="12"/>
        <v>514.92299999999989</v>
      </c>
      <c r="AU192" s="18">
        <f t="shared" si="13"/>
        <v>-2.9999999999290594E-3</v>
      </c>
      <c r="AV192" s="19">
        <f t="shared" si="14"/>
        <v>0.35311192990468659</v>
      </c>
      <c r="AW192" s="20" t="str">
        <f t="shared" si="15"/>
        <v>April</v>
      </c>
      <c r="AX192" s="21">
        <f t="shared" si="16"/>
        <v>2025</v>
      </c>
    </row>
    <row r="193" spans="1:50" ht="15.75" customHeight="1">
      <c r="A193" s="10" t="s">
        <v>711</v>
      </c>
      <c r="B193" s="11">
        <v>45584</v>
      </c>
      <c r="C193" s="11">
        <v>45589</v>
      </c>
      <c r="D193" s="10" t="s">
        <v>712</v>
      </c>
      <c r="E193" s="10" t="s">
        <v>161</v>
      </c>
      <c r="F193" s="10" t="s">
        <v>66</v>
      </c>
      <c r="G193" s="10" t="s">
        <v>83</v>
      </c>
      <c r="H193" s="10" t="s">
        <v>277</v>
      </c>
      <c r="I193" s="10" t="s">
        <v>278</v>
      </c>
      <c r="J193" s="10" t="s">
        <v>70</v>
      </c>
      <c r="K193" s="10" t="s">
        <v>187</v>
      </c>
      <c r="L193" s="10" t="s">
        <v>713</v>
      </c>
      <c r="M193" s="10" t="s">
        <v>60</v>
      </c>
      <c r="N193" s="12">
        <v>6</v>
      </c>
      <c r="O193" s="12">
        <v>4308.3999999999996</v>
      </c>
      <c r="P193" s="12">
        <v>0.65</v>
      </c>
      <c r="Q193" s="12">
        <v>25850.400000000001</v>
      </c>
      <c r="R193" s="12">
        <v>19397.68</v>
      </c>
      <c r="S193" s="12">
        <v>6452.72</v>
      </c>
      <c r="T193" s="10" t="s">
        <v>61</v>
      </c>
      <c r="U193" s="13" t="s">
        <v>62</v>
      </c>
      <c r="V193" s="14" t="e">
        <f t="shared" ca="1" si="0"/>
        <v>#NAME?</v>
      </c>
      <c r="W193" s="10" t="str">
        <f ca="1">IFERROR(__xludf.DUMMYFUNCTION("IF(COUNTIF($A:$A,A187)=1,
""Unique"",
IF(COUNTUNIQUE(FILTER($V$2:$V$934,$A$2:$A$934=A187))&gt;1,
""Conflicting Duplicate"",
""Exact Duplicate""))"),"Unique")</f>
        <v>Unique</v>
      </c>
      <c r="X193" s="10" t="b">
        <f t="shared" ca="1" si="1"/>
        <v>1</v>
      </c>
      <c r="Y193" s="10" t="str">
        <f t="shared" si="2"/>
        <v>Unique</v>
      </c>
      <c r="Z193" s="10"/>
      <c r="AA193" s="10" t="str">
        <f t="shared" si="3"/>
        <v>Clean</v>
      </c>
      <c r="AB193" s="15" t="str">
        <f t="shared" si="4"/>
        <v>Valid</v>
      </c>
      <c r="AC193" s="15">
        <v>5</v>
      </c>
      <c r="AD193" s="16" t="str">
        <f t="shared" si="5"/>
        <v>Valid</v>
      </c>
      <c r="AE193" s="16" t="str">
        <f t="shared" si="6"/>
        <v>Valid</v>
      </c>
      <c r="AF193" s="16" t="str">
        <f t="shared" ref="AF193:AG193" si="397">IF(ISNUMBER(B193),"Valid","Invalid")</f>
        <v>Valid</v>
      </c>
      <c r="AG193" s="16" t="str">
        <f t="shared" si="397"/>
        <v>Valid</v>
      </c>
      <c r="AH193" s="16" t="str">
        <f t="shared" ref="AH193:AI193" si="398">IF(OR(B193="",ISBLANK(B193)),"Missing","Valid")</f>
        <v>Valid</v>
      </c>
      <c r="AI193" s="16" t="str">
        <f t="shared" si="398"/>
        <v>Valid</v>
      </c>
      <c r="AJ193" s="16" t="b">
        <v>0</v>
      </c>
      <c r="AK193" s="16" t="b">
        <v>0</v>
      </c>
      <c r="AL193" s="16" t="b">
        <v>0</v>
      </c>
      <c r="AM193" s="16" t="b">
        <v>0</v>
      </c>
      <c r="AN193" s="16" t="b">
        <v>0</v>
      </c>
      <c r="AO193" s="16" t="b">
        <v>0</v>
      </c>
      <c r="AP193" s="16" t="b">
        <v>0</v>
      </c>
      <c r="AQ193" s="17">
        <f t="shared" si="9"/>
        <v>0.65</v>
      </c>
      <c r="AR193" s="12">
        <f t="shared" si="10"/>
        <v>9047.64</v>
      </c>
      <c r="AS193" s="18">
        <f t="shared" si="11"/>
        <v>16802.760000000002</v>
      </c>
      <c r="AT193" s="12">
        <f t="shared" si="12"/>
        <v>-10350.040000000001</v>
      </c>
      <c r="AU193" s="18">
        <f t="shared" si="13"/>
        <v>16802.760000000002</v>
      </c>
      <c r="AV193" s="19">
        <f t="shared" si="14"/>
        <v>-1.1439491403283069</v>
      </c>
      <c r="AW193" s="20" t="str">
        <f t="shared" si="15"/>
        <v>October</v>
      </c>
      <c r="AX193" s="21">
        <f t="shared" si="16"/>
        <v>2024</v>
      </c>
    </row>
    <row r="194" spans="1:50" ht="15.75" customHeight="1">
      <c r="A194" s="10" t="s">
        <v>714</v>
      </c>
      <c r="B194" s="11">
        <v>45635</v>
      </c>
      <c r="C194" s="11">
        <v>45642</v>
      </c>
      <c r="D194" s="10" t="s">
        <v>715</v>
      </c>
      <c r="E194" s="10" t="s">
        <v>76</v>
      </c>
      <c r="F194" s="10" t="s">
        <v>124</v>
      </c>
      <c r="G194" s="10" t="s">
        <v>92</v>
      </c>
      <c r="H194" s="10" t="s">
        <v>209</v>
      </c>
      <c r="I194" s="10" t="s">
        <v>210</v>
      </c>
      <c r="J194" s="10" t="s">
        <v>70</v>
      </c>
      <c r="K194" s="10" t="s">
        <v>95</v>
      </c>
      <c r="L194" s="10" t="s">
        <v>716</v>
      </c>
      <c r="M194" s="10" t="s">
        <v>79</v>
      </c>
      <c r="N194" s="12">
        <v>4</v>
      </c>
      <c r="O194" s="12">
        <v>2191.0300000000002</v>
      </c>
      <c r="P194" s="12">
        <v>0</v>
      </c>
      <c r="Q194" s="12">
        <v>8764.1200000000008</v>
      </c>
      <c r="R194" s="12">
        <v>7220.05</v>
      </c>
      <c r="S194" s="12">
        <v>1544.07</v>
      </c>
      <c r="T194" s="10" t="s">
        <v>61</v>
      </c>
      <c r="U194" s="13" t="s">
        <v>62</v>
      </c>
      <c r="V194" s="14" t="e">
        <f t="shared" ca="1" si="0"/>
        <v>#NAME?</v>
      </c>
      <c r="W194" s="10" t="str">
        <f ca="1">IFERROR(__xludf.DUMMYFUNCTION("IF(COUNTIF($A:$A,A188)=1,
""Unique"",
IF(COUNTUNIQUE(FILTER($V$2:$V$934,$A$2:$A$934=A188))&gt;1,
""Conflicting Duplicate"",
""Exact Duplicate""))"),"Unique")</f>
        <v>Unique</v>
      </c>
      <c r="X194" s="10" t="b">
        <f t="shared" ca="1" si="1"/>
        <v>1</v>
      </c>
      <c r="Y194" s="10" t="str">
        <f t="shared" si="2"/>
        <v>Unique</v>
      </c>
      <c r="Z194" s="10"/>
      <c r="AA194" s="10" t="str">
        <f t="shared" si="3"/>
        <v>Clean</v>
      </c>
      <c r="AB194" s="15" t="str">
        <f t="shared" si="4"/>
        <v>Valid</v>
      </c>
      <c r="AC194" s="15">
        <v>7</v>
      </c>
      <c r="AD194" s="16" t="str">
        <f t="shared" si="5"/>
        <v>Valid</v>
      </c>
      <c r="AE194" s="16" t="str">
        <f t="shared" si="6"/>
        <v>Valid</v>
      </c>
      <c r="AF194" s="16" t="str">
        <f t="shared" ref="AF194:AG194" si="399">IF(ISNUMBER(B194),"Valid","Invalid")</f>
        <v>Valid</v>
      </c>
      <c r="AG194" s="16" t="str">
        <f t="shared" si="399"/>
        <v>Valid</v>
      </c>
      <c r="AH194" s="16" t="str">
        <f t="shared" ref="AH194:AI194" si="400">IF(OR(B194="",ISBLANK(B194)),"Missing","Valid")</f>
        <v>Valid</v>
      </c>
      <c r="AI194" s="16" t="str">
        <f t="shared" si="400"/>
        <v>Valid</v>
      </c>
      <c r="AJ194" s="16" t="b">
        <v>0</v>
      </c>
      <c r="AK194" s="16" t="b">
        <v>0</v>
      </c>
      <c r="AL194" s="16" t="b">
        <v>0</v>
      </c>
      <c r="AM194" s="16" t="b">
        <v>0</v>
      </c>
      <c r="AN194" s="16" t="b">
        <v>0</v>
      </c>
      <c r="AO194" s="16" t="b">
        <v>0</v>
      </c>
      <c r="AP194" s="16" t="b">
        <v>0</v>
      </c>
      <c r="AQ194" s="17">
        <f t="shared" si="9"/>
        <v>0</v>
      </c>
      <c r="AR194" s="12">
        <f t="shared" si="10"/>
        <v>8764.1200000000008</v>
      </c>
      <c r="AS194" s="18">
        <f t="shared" si="11"/>
        <v>0</v>
      </c>
      <c r="AT194" s="12">
        <f t="shared" si="12"/>
        <v>1544.0700000000006</v>
      </c>
      <c r="AU194" s="18">
        <f t="shared" si="13"/>
        <v>0</v>
      </c>
      <c r="AV194" s="19">
        <f t="shared" si="14"/>
        <v>0.17618083732308554</v>
      </c>
      <c r="AW194" s="20" t="str">
        <f t="shared" si="15"/>
        <v>December</v>
      </c>
      <c r="AX194" s="21">
        <f t="shared" si="16"/>
        <v>2024</v>
      </c>
    </row>
    <row r="195" spans="1:50" ht="15.75" customHeight="1">
      <c r="A195" s="10" t="s">
        <v>717</v>
      </c>
      <c r="B195" s="11">
        <v>45466</v>
      </c>
      <c r="C195" s="11">
        <v>45471</v>
      </c>
      <c r="D195" s="10" t="s">
        <v>718</v>
      </c>
      <c r="E195" s="10" t="s">
        <v>143</v>
      </c>
      <c r="F195" s="10" t="s">
        <v>66</v>
      </c>
      <c r="G195" s="10" t="s">
        <v>54</v>
      </c>
      <c r="H195" s="10" t="s">
        <v>151</v>
      </c>
      <c r="I195" s="10" t="s">
        <v>152</v>
      </c>
      <c r="J195" s="10" t="s">
        <v>103</v>
      </c>
      <c r="K195" s="10" t="s">
        <v>109</v>
      </c>
      <c r="L195" s="10" t="s">
        <v>719</v>
      </c>
      <c r="M195" s="10" t="s">
        <v>73</v>
      </c>
      <c r="N195" s="12">
        <v>6</v>
      </c>
      <c r="O195" s="12">
        <v>1956.63</v>
      </c>
      <c r="P195" s="12">
        <v>0.2</v>
      </c>
      <c r="Q195" s="12">
        <v>9391.82</v>
      </c>
      <c r="R195" s="12">
        <v>6013.22</v>
      </c>
      <c r="S195" s="12">
        <v>3378.6</v>
      </c>
      <c r="T195" s="10" t="s">
        <v>131</v>
      </c>
      <c r="U195" s="13" t="s">
        <v>132</v>
      </c>
      <c r="V195" s="14" t="e">
        <f t="shared" ca="1" si="0"/>
        <v>#NAME?</v>
      </c>
      <c r="W195" s="10" t="str">
        <f ca="1">IFERROR(__xludf.DUMMYFUNCTION("IF(COUNTIF($A:$A,A189)=1,
""Unique"",
IF(COUNTUNIQUE(FILTER($V$2:$V$934,$A$2:$A$934=A189))&gt;1,
""Conflicting Duplicate"",
""Exact Duplicate""))"),"Unique")</f>
        <v>Unique</v>
      </c>
      <c r="X195" s="10" t="b">
        <f t="shared" ca="1" si="1"/>
        <v>1</v>
      </c>
      <c r="Y195" s="10" t="str">
        <f t="shared" si="2"/>
        <v>Unique</v>
      </c>
      <c r="Z195" s="10"/>
      <c r="AA195" s="10" t="str">
        <f t="shared" si="3"/>
        <v>Clean</v>
      </c>
      <c r="AB195" s="15" t="str">
        <f t="shared" si="4"/>
        <v>Valid</v>
      </c>
      <c r="AC195" s="15">
        <v>5</v>
      </c>
      <c r="AD195" s="16" t="str">
        <f t="shared" si="5"/>
        <v>Valid</v>
      </c>
      <c r="AE195" s="16" t="str">
        <f t="shared" si="6"/>
        <v>Valid</v>
      </c>
      <c r="AF195" s="16" t="str">
        <f t="shared" ref="AF195:AG195" si="401">IF(ISNUMBER(B195),"Valid","Invalid")</f>
        <v>Valid</v>
      </c>
      <c r="AG195" s="16" t="str">
        <f t="shared" si="401"/>
        <v>Valid</v>
      </c>
      <c r="AH195" s="16" t="str">
        <f t="shared" ref="AH195:AI195" si="402">IF(OR(B195="",ISBLANK(B195)),"Missing","Valid")</f>
        <v>Valid</v>
      </c>
      <c r="AI195" s="16" t="str">
        <f t="shared" si="402"/>
        <v>Valid</v>
      </c>
      <c r="AJ195" s="16" t="b">
        <v>0</v>
      </c>
      <c r="AK195" s="16" t="b">
        <v>0</v>
      </c>
      <c r="AL195" s="16" t="b">
        <v>0</v>
      </c>
      <c r="AM195" s="16" t="b">
        <v>0</v>
      </c>
      <c r="AN195" s="16" t="b">
        <v>0</v>
      </c>
      <c r="AO195" s="16" t="b">
        <v>0</v>
      </c>
      <c r="AP195" s="16" t="b">
        <v>0</v>
      </c>
      <c r="AQ195" s="17">
        <f t="shared" si="9"/>
        <v>0.2</v>
      </c>
      <c r="AR195" s="12">
        <f t="shared" si="10"/>
        <v>9391.8240000000005</v>
      </c>
      <c r="AS195" s="18">
        <f t="shared" si="11"/>
        <v>-4.0000000008149073E-3</v>
      </c>
      <c r="AT195" s="12">
        <f t="shared" si="12"/>
        <v>3378.6040000000003</v>
      </c>
      <c r="AU195" s="18">
        <f t="shared" si="13"/>
        <v>-4.0000000003601599E-3</v>
      </c>
      <c r="AV195" s="19">
        <f t="shared" si="14"/>
        <v>0.35973885370935399</v>
      </c>
      <c r="AW195" s="20" t="str">
        <f t="shared" si="15"/>
        <v>June</v>
      </c>
      <c r="AX195" s="21">
        <f t="shared" si="16"/>
        <v>2024</v>
      </c>
    </row>
    <row r="196" spans="1:50" ht="15.75" customHeight="1">
      <c r="A196" s="10" t="s">
        <v>720</v>
      </c>
      <c r="B196" s="11">
        <v>45685</v>
      </c>
      <c r="C196" s="11">
        <v>45688</v>
      </c>
      <c r="D196" s="10" t="s">
        <v>721</v>
      </c>
      <c r="E196" s="10" t="s">
        <v>143</v>
      </c>
      <c r="F196" s="10" t="s">
        <v>53</v>
      </c>
      <c r="G196" s="10" t="s">
        <v>92</v>
      </c>
      <c r="H196" s="10" t="s">
        <v>93</v>
      </c>
      <c r="I196" s="10" t="s">
        <v>94</v>
      </c>
      <c r="J196" s="10" t="s">
        <v>70</v>
      </c>
      <c r="K196" s="10" t="s">
        <v>86</v>
      </c>
      <c r="L196" s="10" t="s">
        <v>722</v>
      </c>
      <c r="M196" s="10" t="s">
        <v>79</v>
      </c>
      <c r="N196" s="12">
        <v>9</v>
      </c>
      <c r="O196" s="12">
        <v>858.39</v>
      </c>
      <c r="P196" s="12">
        <v>0.05</v>
      </c>
      <c r="Q196" s="12">
        <v>7339.23</v>
      </c>
      <c r="R196" s="12">
        <v>5434.12</v>
      </c>
      <c r="S196" s="12">
        <v>1905.11</v>
      </c>
      <c r="T196" s="10" t="s">
        <v>140</v>
      </c>
      <c r="U196" s="13" t="s">
        <v>132</v>
      </c>
      <c r="V196" s="14" t="e">
        <f t="shared" ca="1" si="0"/>
        <v>#NAME?</v>
      </c>
      <c r="W196" s="10" t="str">
        <f ca="1">IFERROR(__xludf.DUMMYFUNCTION("IF(COUNTIF($A:$A,A190)=1,
""Unique"",
IF(COUNTUNIQUE(FILTER($V$2:$V$934,$A$2:$A$934=A190))&gt;1,
""Conflicting Duplicate"",
""Exact Duplicate""))"),"Unique")</f>
        <v>Unique</v>
      </c>
      <c r="X196" s="10" t="b">
        <f t="shared" ca="1" si="1"/>
        <v>1</v>
      </c>
      <c r="Y196" s="10" t="str">
        <f t="shared" si="2"/>
        <v>Unique</v>
      </c>
      <c r="Z196" s="10"/>
      <c r="AA196" s="10" t="str">
        <f t="shared" si="3"/>
        <v>Clean</v>
      </c>
      <c r="AB196" s="15" t="str">
        <f t="shared" si="4"/>
        <v>Valid</v>
      </c>
      <c r="AC196" s="15">
        <v>3</v>
      </c>
      <c r="AD196" s="16" t="str">
        <f t="shared" si="5"/>
        <v>Valid</v>
      </c>
      <c r="AE196" s="16" t="str">
        <f t="shared" si="6"/>
        <v>Valid</v>
      </c>
      <c r="AF196" s="16" t="str">
        <f t="shared" ref="AF196:AG196" si="403">IF(ISNUMBER(B196),"Valid","Invalid")</f>
        <v>Valid</v>
      </c>
      <c r="AG196" s="16" t="str">
        <f t="shared" si="403"/>
        <v>Valid</v>
      </c>
      <c r="AH196" s="16" t="str">
        <f t="shared" ref="AH196:AI196" si="404">IF(OR(B196="",ISBLANK(B196)),"Missing","Valid")</f>
        <v>Valid</v>
      </c>
      <c r="AI196" s="16" t="str">
        <f t="shared" si="404"/>
        <v>Valid</v>
      </c>
      <c r="AJ196" s="16" t="b">
        <v>0</v>
      </c>
      <c r="AK196" s="16" t="b">
        <v>0</v>
      </c>
      <c r="AL196" s="16" t="b">
        <v>0</v>
      </c>
      <c r="AM196" s="16" t="b">
        <v>0</v>
      </c>
      <c r="AN196" s="16" t="b">
        <v>0</v>
      </c>
      <c r="AO196" s="16" t="b">
        <v>0</v>
      </c>
      <c r="AP196" s="16" t="b">
        <v>0</v>
      </c>
      <c r="AQ196" s="17">
        <f t="shared" si="9"/>
        <v>0.05</v>
      </c>
      <c r="AR196" s="12">
        <f t="shared" si="10"/>
        <v>7339.2344999999996</v>
      </c>
      <c r="AS196" s="18">
        <f t="shared" si="11"/>
        <v>-4.500000000007276E-3</v>
      </c>
      <c r="AT196" s="12">
        <f t="shared" si="12"/>
        <v>1905.1144999999997</v>
      </c>
      <c r="AU196" s="18">
        <f t="shared" si="13"/>
        <v>-4.4999999997799023E-3</v>
      </c>
      <c r="AV196" s="19">
        <f t="shared" si="14"/>
        <v>0.25957945614082772</v>
      </c>
      <c r="AW196" s="20" t="str">
        <f t="shared" si="15"/>
        <v>January</v>
      </c>
      <c r="AX196" s="21">
        <f t="shared" si="16"/>
        <v>2025</v>
      </c>
    </row>
    <row r="197" spans="1:50" ht="15.75" customHeight="1">
      <c r="A197" s="10" t="s">
        <v>723</v>
      </c>
      <c r="B197" s="11">
        <v>45860</v>
      </c>
      <c r="C197" s="11">
        <v>45862</v>
      </c>
      <c r="D197" s="10" t="s">
        <v>724</v>
      </c>
      <c r="E197" s="10" t="s">
        <v>108</v>
      </c>
      <c r="F197" s="10" t="s">
        <v>124</v>
      </c>
      <c r="G197" s="10" t="s">
        <v>83</v>
      </c>
      <c r="H197" s="10" t="s">
        <v>113</v>
      </c>
      <c r="I197" s="10" t="s">
        <v>114</v>
      </c>
      <c r="J197" s="10" t="s">
        <v>70</v>
      </c>
      <c r="K197" s="10" t="s">
        <v>86</v>
      </c>
      <c r="L197" s="10" t="s">
        <v>725</v>
      </c>
      <c r="M197" s="10" t="s">
        <v>73</v>
      </c>
      <c r="N197" s="12">
        <v>5</v>
      </c>
      <c r="O197" s="12">
        <v>1922.83</v>
      </c>
      <c r="P197" s="12">
        <v>0</v>
      </c>
      <c r="Q197" s="12">
        <v>9614.15</v>
      </c>
      <c r="R197" s="12">
        <v>7576.84</v>
      </c>
      <c r="S197" s="12">
        <v>2037.31</v>
      </c>
      <c r="T197" s="10" t="s">
        <v>61</v>
      </c>
      <c r="U197" s="13" t="s">
        <v>62</v>
      </c>
      <c r="V197" s="14" t="e">
        <f t="shared" ca="1" si="0"/>
        <v>#NAME?</v>
      </c>
      <c r="W197" s="10" t="str">
        <f ca="1">IFERROR(__xludf.DUMMYFUNCTION("IF(COUNTIF($A:$A,A191)=1,
""Unique"",
IF(COUNTUNIQUE(FILTER($V$2:$V$934,$A$2:$A$934=A191))&gt;1,
""Conflicting Duplicate"",
""Exact Duplicate""))"),"Unique")</f>
        <v>Unique</v>
      </c>
      <c r="X197" s="10" t="b">
        <f t="shared" ca="1" si="1"/>
        <v>1</v>
      </c>
      <c r="Y197" s="10" t="str">
        <f t="shared" si="2"/>
        <v>Unique</v>
      </c>
      <c r="Z197" s="10"/>
      <c r="AA197" s="10" t="str">
        <f t="shared" si="3"/>
        <v>Clean</v>
      </c>
      <c r="AB197" s="15" t="str">
        <f t="shared" si="4"/>
        <v>Valid</v>
      </c>
      <c r="AC197" s="15">
        <v>2</v>
      </c>
      <c r="AD197" s="16" t="str">
        <f t="shared" si="5"/>
        <v>Valid</v>
      </c>
      <c r="AE197" s="16" t="str">
        <f t="shared" si="6"/>
        <v>Valid</v>
      </c>
      <c r="AF197" s="16" t="str">
        <f t="shared" ref="AF197:AG197" si="405">IF(ISNUMBER(B197),"Valid","Invalid")</f>
        <v>Valid</v>
      </c>
      <c r="AG197" s="16" t="str">
        <f t="shared" si="405"/>
        <v>Valid</v>
      </c>
      <c r="AH197" s="16" t="str">
        <f t="shared" ref="AH197:AI197" si="406">IF(OR(B197="",ISBLANK(B197)),"Missing","Valid")</f>
        <v>Valid</v>
      </c>
      <c r="AI197" s="16" t="str">
        <f t="shared" si="406"/>
        <v>Valid</v>
      </c>
      <c r="AJ197" s="16" t="b">
        <v>0</v>
      </c>
      <c r="AK197" s="16" t="b">
        <v>0</v>
      </c>
      <c r="AL197" s="16" t="b">
        <v>0</v>
      </c>
      <c r="AM197" s="16" t="b">
        <v>0</v>
      </c>
      <c r="AN197" s="16" t="b">
        <v>0</v>
      </c>
      <c r="AO197" s="16" t="b">
        <v>0</v>
      </c>
      <c r="AP197" s="16" t="b">
        <v>0</v>
      </c>
      <c r="AQ197" s="17">
        <f t="shared" si="9"/>
        <v>0</v>
      </c>
      <c r="AR197" s="12">
        <f t="shared" si="10"/>
        <v>9614.15</v>
      </c>
      <c r="AS197" s="18">
        <f t="shared" si="11"/>
        <v>0</v>
      </c>
      <c r="AT197" s="12">
        <f t="shared" si="12"/>
        <v>2037.3099999999995</v>
      </c>
      <c r="AU197" s="18">
        <f t="shared" si="13"/>
        <v>0</v>
      </c>
      <c r="AV197" s="19">
        <f t="shared" si="14"/>
        <v>0.21190744891644084</v>
      </c>
      <c r="AW197" s="20" t="str">
        <f t="shared" si="15"/>
        <v>July</v>
      </c>
      <c r="AX197" s="21">
        <f t="shared" si="16"/>
        <v>2025</v>
      </c>
    </row>
    <row r="198" spans="1:50" ht="15.75" customHeight="1">
      <c r="A198" s="10" t="s">
        <v>726</v>
      </c>
      <c r="B198" s="11">
        <v>45313</v>
      </c>
      <c r="C198" s="11">
        <v>45316</v>
      </c>
      <c r="D198" s="10" t="s">
        <v>727</v>
      </c>
      <c r="E198" s="10" t="s">
        <v>294</v>
      </c>
      <c r="F198" s="10" t="s">
        <v>124</v>
      </c>
      <c r="G198" s="10" t="s">
        <v>54</v>
      </c>
      <c r="H198" s="10" t="s">
        <v>165</v>
      </c>
      <c r="I198" s="10" t="s">
        <v>166</v>
      </c>
      <c r="J198" s="10" t="s">
        <v>57</v>
      </c>
      <c r="K198" s="10" t="s">
        <v>153</v>
      </c>
      <c r="L198" s="10" t="s">
        <v>728</v>
      </c>
      <c r="M198" s="10" t="s">
        <v>79</v>
      </c>
      <c r="N198" s="12">
        <v>3</v>
      </c>
      <c r="O198" s="12">
        <v>1212.03</v>
      </c>
      <c r="P198" s="12">
        <v>0.1</v>
      </c>
      <c r="Q198" s="12">
        <v>3272.48</v>
      </c>
      <c r="R198" s="12">
        <v>2517.44</v>
      </c>
      <c r="S198" s="12">
        <v>755.04</v>
      </c>
      <c r="T198" s="10" t="s">
        <v>61</v>
      </c>
      <c r="U198" s="13" t="s">
        <v>62</v>
      </c>
      <c r="V198" s="14" t="e">
        <f t="shared" ca="1" si="0"/>
        <v>#NAME?</v>
      </c>
      <c r="W198" s="10" t="str">
        <f ca="1">IFERROR(__xludf.DUMMYFUNCTION("IF(COUNTIF($A:$A,A192)=1,
""Unique"",
IF(COUNTUNIQUE(FILTER($V$2:$V$934,$A$2:$A$934=A192))&gt;1,
""Conflicting Duplicate"",
""Exact Duplicate""))"),"Unique")</f>
        <v>Unique</v>
      </c>
      <c r="X198" s="10" t="b">
        <f t="shared" ca="1" si="1"/>
        <v>1</v>
      </c>
      <c r="Y198" s="10" t="str">
        <f t="shared" si="2"/>
        <v>Unique</v>
      </c>
      <c r="Z198" s="10"/>
      <c r="AA198" s="10" t="str">
        <f t="shared" si="3"/>
        <v>Clean</v>
      </c>
      <c r="AB198" s="15" t="str">
        <f t="shared" si="4"/>
        <v>Valid</v>
      </c>
      <c r="AC198" s="15">
        <v>3</v>
      </c>
      <c r="AD198" s="16" t="str">
        <f t="shared" si="5"/>
        <v>Valid</v>
      </c>
      <c r="AE198" s="16" t="str">
        <f t="shared" si="6"/>
        <v>Valid</v>
      </c>
      <c r="AF198" s="16" t="str">
        <f t="shared" ref="AF198:AG198" si="407">IF(ISNUMBER(B198),"Valid","Invalid")</f>
        <v>Valid</v>
      </c>
      <c r="AG198" s="16" t="str">
        <f t="shared" si="407"/>
        <v>Valid</v>
      </c>
      <c r="AH198" s="16" t="str">
        <f t="shared" ref="AH198:AI198" si="408">IF(OR(B198="",ISBLANK(B198)),"Missing","Valid")</f>
        <v>Valid</v>
      </c>
      <c r="AI198" s="16" t="str">
        <f t="shared" si="408"/>
        <v>Valid</v>
      </c>
      <c r="AJ198" s="16" t="b">
        <v>0</v>
      </c>
      <c r="AK198" s="16" t="b">
        <v>0</v>
      </c>
      <c r="AL198" s="16" t="b">
        <v>0</v>
      </c>
      <c r="AM198" s="16" t="b">
        <v>0</v>
      </c>
      <c r="AN198" s="16" t="b">
        <v>0</v>
      </c>
      <c r="AO198" s="16" t="b">
        <v>0</v>
      </c>
      <c r="AP198" s="16" t="b">
        <v>0</v>
      </c>
      <c r="AQ198" s="17">
        <f t="shared" si="9"/>
        <v>0.1</v>
      </c>
      <c r="AR198" s="12">
        <f t="shared" si="10"/>
        <v>3272.4810000000002</v>
      </c>
      <c r="AS198" s="18">
        <f t="shared" si="11"/>
        <v>-1.0000000002037268E-3</v>
      </c>
      <c r="AT198" s="12">
        <f t="shared" si="12"/>
        <v>755.04100000000017</v>
      </c>
      <c r="AU198" s="18">
        <f t="shared" si="13"/>
        <v>-1.0000000002037268E-3</v>
      </c>
      <c r="AV198" s="19">
        <f t="shared" si="14"/>
        <v>0.23072433422837293</v>
      </c>
      <c r="AW198" s="20" t="str">
        <f t="shared" si="15"/>
        <v>January</v>
      </c>
      <c r="AX198" s="21">
        <f t="shared" si="16"/>
        <v>2024</v>
      </c>
    </row>
    <row r="199" spans="1:50" ht="15.75" customHeight="1">
      <c r="A199" s="10" t="s">
        <v>729</v>
      </c>
      <c r="B199" s="11">
        <v>45747</v>
      </c>
      <c r="C199" s="11">
        <v>45754</v>
      </c>
      <c r="D199" s="10" t="s">
        <v>420</v>
      </c>
      <c r="E199" s="10" t="s">
        <v>147</v>
      </c>
      <c r="F199" s="10" t="s">
        <v>66</v>
      </c>
      <c r="G199" s="10" t="s">
        <v>67</v>
      </c>
      <c r="H199" s="10" t="s">
        <v>174</v>
      </c>
      <c r="I199" s="10" t="s">
        <v>175</v>
      </c>
      <c r="J199" s="10" t="s">
        <v>57</v>
      </c>
      <c r="K199" s="10" t="s">
        <v>153</v>
      </c>
      <c r="L199" s="10" t="s">
        <v>730</v>
      </c>
      <c r="M199" s="10" t="s">
        <v>60</v>
      </c>
      <c r="N199" s="12">
        <v>5</v>
      </c>
      <c r="O199" s="12">
        <v>4096.4399999999996</v>
      </c>
      <c r="P199" s="12">
        <v>0.15</v>
      </c>
      <c r="Q199" s="12">
        <v>17409.87</v>
      </c>
      <c r="R199" s="12">
        <v>14076.25</v>
      </c>
      <c r="S199" s="12">
        <v>3333.62</v>
      </c>
      <c r="T199" s="10" t="s">
        <v>61</v>
      </c>
      <c r="U199" s="13" t="s">
        <v>62</v>
      </c>
      <c r="V199" s="14" t="e">
        <f t="shared" ca="1" si="0"/>
        <v>#NAME?</v>
      </c>
      <c r="W199" s="10" t="str">
        <f ca="1">IFERROR(__xludf.DUMMYFUNCTION("IF(COUNTIF($A:$A,A193)=1,
""Unique"",
IF(COUNTUNIQUE(FILTER($V$2:$V$934,$A$2:$A$934=A193))&gt;1,
""Conflicting Duplicate"",
""Exact Duplicate""))"),"Unique")</f>
        <v>Unique</v>
      </c>
      <c r="X199" s="10" t="b">
        <f t="shared" ca="1" si="1"/>
        <v>1</v>
      </c>
      <c r="Y199" s="10" t="str">
        <f t="shared" si="2"/>
        <v>Unique</v>
      </c>
      <c r="Z199" s="10"/>
      <c r="AA199" s="10" t="str">
        <f t="shared" si="3"/>
        <v>Clean</v>
      </c>
      <c r="AB199" s="15" t="str">
        <f t="shared" si="4"/>
        <v>Valid</v>
      </c>
      <c r="AC199" s="15">
        <v>7</v>
      </c>
      <c r="AD199" s="16" t="str">
        <f t="shared" si="5"/>
        <v>Valid</v>
      </c>
      <c r="AE199" s="16" t="str">
        <f t="shared" si="6"/>
        <v>Valid</v>
      </c>
      <c r="AF199" s="16" t="str">
        <f t="shared" ref="AF199:AG199" si="409">IF(ISNUMBER(B199),"Valid","Invalid")</f>
        <v>Valid</v>
      </c>
      <c r="AG199" s="16" t="str">
        <f t="shared" si="409"/>
        <v>Valid</v>
      </c>
      <c r="AH199" s="16" t="str">
        <f t="shared" ref="AH199:AI199" si="410">IF(OR(B199="",ISBLANK(B199)),"Missing","Valid")</f>
        <v>Valid</v>
      </c>
      <c r="AI199" s="16" t="str">
        <f t="shared" si="410"/>
        <v>Valid</v>
      </c>
      <c r="AJ199" s="16" t="b">
        <v>0</v>
      </c>
      <c r="AK199" s="16" t="b">
        <v>0</v>
      </c>
      <c r="AL199" s="16" t="b">
        <v>0</v>
      </c>
      <c r="AM199" s="16" t="b">
        <v>0</v>
      </c>
      <c r="AN199" s="16" t="b">
        <v>0</v>
      </c>
      <c r="AO199" s="16" t="b">
        <v>0</v>
      </c>
      <c r="AP199" s="16" t="b">
        <v>0</v>
      </c>
      <c r="AQ199" s="17">
        <f t="shared" si="9"/>
        <v>0.15</v>
      </c>
      <c r="AR199" s="12">
        <f t="shared" si="10"/>
        <v>17409.869999999995</v>
      </c>
      <c r="AS199" s="18">
        <f t="shared" si="11"/>
        <v>0</v>
      </c>
      <c r="AT199" s="12">
        <f t="shared" si="12"/>
        <v>3333.6199999999953</v>
      </c>
      <c r="AU199" s="18">
        <f t="shared" si="13"/>
        <v>4.5474735088646412E-12</v>
      </c>
      <c r="AV199" s="19">
        <f t="shared" si="14"/>
        <v>0.19147874165631312</v>
      </c>
      <c r="AW199" s="20" t="str">
        <f t="shared" si="15"/>
        <v>March</v>
      </c>
      <c r="AX199" s="21">
        <f t="shared" si="16"/>
        <v>2025</v>
      </c>
    </row>
    <row r="200" spans="1:50" ht="15.75" customHeight="1">
      <c r="A200" s="10" t="s">
        <v>731</v>
      </c>
      <c r="B200" s="11">
        <v>45448</v>
      </c>
      <c r="C200" s="11">
        <v>45449</v>
      </c>
      <c r="D200" s="10" t="s">
        <v>732</v>
      </c>
      <c r="E200" s="10" t="s">
        <v>161</v>
      </c>
      <c r="F200" s="10" t="s">
        <v>53</v>
      </c>
      <c r="G200" s="10" t="s">
        <v>92</v>
      </c>
      <c r="H200" s="10" t="s">
        <v>209</v>
      </c>
      <c r="I200" s="10" t="s">
        <v>210</v>
      </c>
      <c r="J200" s="10" t="s">
        <v>57</v>
      </c>
      <c r="K200" s="10" t="s">
        <v>77</v>
      </c>
      <c r="L200" s="10" t="s">
        <v>733</v>
      </c>
      <c r="M200" s="10" t="s">
        <v>60</v>
      </c>
      <c r="N200" s="12">
        <v>1</v>
      </c>
      <c r="O200" s="12">
        <v>1184.58</v>
      </c>
      <c r="P200" s="12">
        <v>0.05</v>
      </c>
      <c r="Q200" s="12">
        <v>1125.3499999999999</v>
      </c>
      <c r="R200" s="12">
        <v>676.97</v>
      </c>
      <c r="S200" s="12">
        <v>448.38</v>
      </c>
      <c r="T200" s="10" t="s">
        <v>184</v>
      </c>
      <c r="U200" s="13" t="s">
        <v>97</v>
      </c>
      <c r="V200" s="14" t="e">
        <f t="shared" ca="1" si="0"/>
        <v>#NAME?</v>
      </c>
      <c r="W200" s="10" t="str">
        <f ca="1">IFERROR(__xludf.DUMMYFUNCTION("IF(COUNTIF($A:$A,A194)=1,
""Unique"",
IF(COUNTUNIQUE(FILTER($V$2:$V$934,$A$2:$A$934=A194))&gt;1,
""Conflicting Duplicate"",
""Exact Duplicate""))"),"Unique")</f>
        <v>Unique</v>
      </c>
      <c r="X200" s="10" t="b">
        <f t="shared" ca="1" si="1"/>
        <v>1</v>
      </c>
      <c r="Y200" s="10" t="str">
        <f t="shared" si="2"/>
        <v>Unique</v>
      </c>
      <c r="Z200" s="10"/>
      <c r="AA200" s="10" t="str">
        <f t="shared" si="3"/>
        <v>Clean</v>
      </c>
      <c r="AB200" s="15" t="str">
        <f t="shared" si="4"/>
        <v>Valid</v>
      </c>
      <c r="AC200" s="15">
        <v>1</v>
      </c>
      <c r="AD200" s="16" t="str">
        <f t="shared" si="5"/>
        <v>Valid</v>
      </c>
      <c r="AE200" s="16" t="str">
        <f t="shared" si="6"/>
        <v>Valid</v>
      </c>
      <c r="AF200" s="16" t="str">
        <f t="shared" ref="AF200:AG200" si="411">IF(ISNUMBER(B200),"Valid","Invalid")</f>
        <v>Valid</v>
      </c>
      <c r="AG200" s="16" t="str">
        <f t="shared" si="411"/>
        <v>Valid</v>
      </c>
      <c r="AH200" s="16" t="str">
        <f t="shared" ref="AH200:AI200" si="412">IF(OR(B200="",ISBLANK(B200)),"Missing","Valid")</f>
        <v>Valid</v>
      </c>
      <c r="AI200" s="16" t="str">
        <f t="shared" si="412"/>
        <v>Valid</v>
      </c>
      <c r="AJ200" s="16" t="b">
        <v>0</v>
      </c>
      <c r="AK200" s="16" t="b">
        <v>0</v>
      </c>
      <c r="AL200" s="16" t="b">
        <v>0</v>
      </c>
      <c r="AM200" s="16" t="b">
        <v>0</v>
      </c>
      <c r="AN200" s="16" t="b">
        <v>0</v>
      </c>
      <c r="AO200" s="16" t="b">
        <v>0</v>
      </c>
      <c r="AP200" s="16" t="b">
        <v>0</v>
      </c>
      <c r="AQ200" s="17">
        <f t="shared" si="9"/>
        <v>0.05</v>
      </c>
      <c r="AR200" s="12">
        <f t="shared" si="10"/>
        <v>1125.3509999999999</v>
      </c>
      <c r="AS200" s="18">
        <f t="shared" si="11"/>
        <v>-9.9999999997635314E-4</v>
      </c>
      <c r="AT200" s="12">
        <f t="shared" si="12"/>
        <v>448.38099999999986</v>
      </c>
      <c r="AU200" s="18">
        <f t="shared" si="13"/>
        <v>-9.999999998626663E-4</v>
      </c>
      <c r="AV200" s="19">
        <f t="shared" si="14"/>
        <v>0.39843657667696558</v>
      </c>
      <c r="AW200" s="20" t="str">
        <f t="shared" si="15"/>
        <v>June</v>
      </c>
      <c r="AX200" s="21">
        <f t="shared" si="16"/>
        <v>2024</v>
      </c>
    </row>
    <row r="201" spans="1:50" ht="15.75" customHeight="1">
      <c r="A201" s="10" t="s">
        <v>734</v>
      </c>
      <c r="B201" s="11">
        <v>45363</v>
      </c>
      <c r="C201" s="11">
        <v>45363</v>
      </c>
      <c r="D201" s="10" t="s">
        <v>735</v>
      </c>
      <c r="E201" s="10" t="s">
        <v>147</v>
      </c>
      <c r="F201" s="10" t="s">
        <v>124</v>
      </c>
      <c r="G201" s="10" t="s">
        <v>67</v>
      </c>
      <c r="H201" s="10" t="s">
        <v>174</v>
      </c>
      <c r="I201" s="10" t="s">
        <v>175</v>
      </c>
      <c r="J201" s="10" t="s">
        <v>103</v>
      </c>
      <c r="K201" s="10" t="s">
        <v>304</v>
      </c>
      <c r="L201" s="10" t="s">
        <v>736</v>
      </c>
      <c r="M201" s="10" t="s">
        <v>234</v>
      </c>
      <c r="N201" s="12">
        <v>6</v>
      </c>
      <c r="O201" s="12">
        <v>2185.58</v>
      </c>
      <c r="P201" s="12">
        <v>0.25</v>
      </c>
      <c r="Q201" s="12">
        <v>9835.11</v>
      </c>
      <c r="R201" s="12">
        <v>5437.64</v>
      </c>
      <c r="S201" s="12">
        <v>4397.47</v>
      </c>
      <c r="T201" s="10" t="s">
        <v>61</v>
      </c>
      <c r="U201" s="13" t="s">
        <v>62</v>
      </c>
      <c r="V201" s="14" t="e">
        <f t="shared" ca="1" si="0"/>
        <v>#NAME?</v>
      </c>
      <c r="W201" s="10" t="str">
        <f ca="1">IFERROR(__xludf.DUMMYFUNCTION("IF(COUNTIF($A:$A,A195)=1,
""Unique"",
IF(COUNTUNIQUE(FILTER($V$2:$V$934,$A$2:$A$934=A195))&gt;1,
""Conflicting Duplicate"",
""Exact Duplicate""))"),"Unique")</f>
        <v>Unique</v>
      </c>
      <c r="X201" s="10" t="b">
        <f t="shared" ca="1" si="1"/>
        <v>1</v>
      </c>
      <c r="Y201" s="10" t="str">
        <f t="shared" si="2"/>
        <v>Unique</v>
      </c>
      <c r="Z201" s="10"/>
      <c r="AA201" s="10" t="str">
        <f t="shared" si="3"/>
        <v>Warning</v>
      </c>
      <c r="AB201" s="15" t="str">
        <f t="shared" si="4"/>
        <v>Valid</v>
      </c>
      <c r="AC201" s="15">
        <v>0</v>
      </c>
      <c r="AD201" s="16" t="str">
        <f t="shared" si="5"/>
        <v>Valid</v>
      </c>
      <c r="AE201" s="16" t="str">
        <f t="shared" si="6"/>
        <v>Valid</v>
      </c>
      <c r="AF201" s="16" t="str">
        <f t="shared" ref="AF201:AG201" si="413">IF(ISNUMBER(B201),"Valid","Invalid")</f>
        <v>Valid</v>
      </c>
      <c r="AG201" s="16" t="str">
        <f t="shared" si="413"/>
        <v>Valid</v>
      </c>
      <c r="AH201" s="16" t="str">
        <f t="shared" ref="AH201:AI201" si="414">IF(OR(B201="",ISBLANK(B201)),"Missing","Valid")</f>
        <v>Valid</v>
      </c>
      <c r="AI201" s="16" t="str">
        <f t="shared" si="414"/>
        <v>Valid</v>
      </c>
      <c r="AJ201" s="16" t="b">
        <v>0</v>
      </c>
      <c r="AK201" s="16" t="b">
        <v>1</v>
      </c>
      <c r="AL201" s="16" t="b">
        <v>0</v>
      </c>
      <c r="AM201" s="16" t="b">
        <v>0</v>
      </c>
      <c r="AN201" s="16" t="b">
        <v>0</v>
      </c>
      <c r="AO201" s="16" t="b">
        <v>0</v>
      </c>
      <c r="AP201" s="16" t="b">
        <v>1</v>
      </c>
      <c r="AQ201" s="17">
        <f t="shared" si="9"/>
        <v>0.25</v>
      </c>
      <c r="AR201" s="12">
        <f t="shared" si="10"/>
        <v>9835.11</v>
      </c>
      <c r="AS201" s="18">
        <f t="shared" si="11"/>
        <v>0</v>
      </c>
      <c r="AT201" s="12">
        <f t="shared" si="12"/>
        <v>4397.47</v>
      </c>
      <c r="AU201" s="18">
        <f t="shared" si="13"/>
        <v>0</v>
      </c>
      <c r="AV201" s="19">
        <f t="shared" si="14"/>
        <v>0.44711955433136996</v>
      </c>
      <c r="AW201" s="20" t="str">
        <f t="shared" si="15"/>
        <v>March</v>
      </c>
      <c r="AX201" s="21">
        <f t="shared" si="16"/>
        <v>2024</v>
      </c>
    </row>
    <row r="202" spans="1:50" ht="15.75" customHeight="1">
      <c r="A202" s="10" t="s">
        <v>737</v>
      </c>
      <c r="B202" s="11">
        <v>45835</v>
      </c>
      <c r="C202" s="11">
        <v>45843</v>
      </c>
      <c r="D202" s="10" t="s">
        <v>738</v>
      </c>
      <c r="E202" s="10" t="s">
        <v>143</v>
      </c>
      <c r="F202" s="10" t="s">
        <v>66</v>
      </c>
      <c r="G202" s="10" t="s">
        <v>54</v>
      </c>
      <c r="H202" s="10" t="s">
        <v>55</v>
      </c>
      <c r="I202" s="10" t="s">
        <v>56</v>
      </c>
      <c r="J202" s="10" t="s">
        <v>103</v>
      </c>
      <c r="K202" s="10" t="s">
        <v>109</v>
      </c>
      <c r="L202" s="10" t="s">
        <v>739</v>
      </c>
      <c r="M202" s="10" t="s">
        <v>79</v>
      </c>
      <c r="N202" s="12">
        <v>5</v>
      </c>
      <c r="O202" s="12">
        <v>2868.44</v>
      </c>
      <c r="P202" s="12">
        <v>0.1</v>
      </c>
      <c r="Q202" s="12">
        <v>12907.98</v>
      </c>
      <c r="R202" s="12">
        <v>9197.08</v>
      </c>
      <c r="S202" s="12">
        <v>3710.9</v>
      </c>
      <c r="T202" s="10" t="s">
        <v>140</v>
      </c>
      <c r="U202" s="13" t="s">
        <v>97</v>
      </c>
      <c r="V202" s="14" t="e">
        <f t="shared" ca="1" si="0"/>
        <v>#NAME?</v>
      </c>
      <c r="W202" s="10" t="str">
        <f ca="1">IFERROR(__xludf.DUMMYFUNCTION("IF(COUNTIF($A:$A,A196)=1,
""Unique"",
IF(COUNTUNIQUE(FILTER($V$2:$V$934,$A$2:$A$934=A196))&gt;1,
""Conflicting Duplicate"",
""Exact Duplicate""))"),"Unique")</f>
        <v>Unique</v>
      </c>
      <c r="X202" s="10" t="b">
        <f t="shared" ca="1" si="1"/>
        <v>1</v>
      </c>
      <c r="Y202" s="10" t="str">
        <f t="shared" si="2"/>
        <v>Unique</v>
      </c>
      <c r="Z202" s="10"/>
      <c r="AA202" s="10" t="str">
        <f t="shared" si="3"/>
        <v>Clean</v>
      </c>
      <c r="AB202" s="15" t="str">
        <f t="shared" si="4"/>
        <v>Valid</v>
      </c>
      <c r="AC202" s="15">
        <v>8</v>
      </c>
      <c r="AD202" s="16" t="str">
        <f t="shared" si="5"/>
        <v>Valid</v>
      </c>
      <c r="AE202" s="16" t="str">
        <f t="shared" si="6"/>
        <v>Valid</v>
      </c>
      <c r="AF202" s="16" t="str">
        <f t="shared" ref="AF202:AG202" si="415">IF(ISNUMBER(B202),"Valid","Invalid")</f>
        <v>Valid</v>
      </c>
      <c r="AG202" s="16" t="str">
        <f t="shared" si="415"/>
        <v>Valid</v>
      </c>
      <c r="AH202" s="16" t="str">
        <f t="shared" ref="AH202:AI202" si="416">IF(OR(B202="",ISBLANK(B202)),"Missing","Valid")</f>
        <v>Valid</v>
      </c>
      <c r="AI202" s="16" t="str">
        <f t="shared" si="416"/>
        <v>Valid</v>
      </c>
      <c r="AJ202" s="16" t="b">
        <v>0</v>
      </c>
      <c r="AK202" s="16" t="b">
        <v>0</v>
      </c>
      <c r="AL202" s="16" t="b">
        <v>0</v>
      </c>
      <c r="AM202" s="16" t="b">
        <v>0</v>
      </c>
      <c r="AN202" s="16" t="b">
        <v>0</v>
      </c>
      <c r="AO202" s="16" t="b">
        <v>0</v>
      </c>
      <c r="AP202" s="16" t="b">
        <v>0</v>
      </c>
      <c r="AQ202" s="17">
        <f t="shared" si="9"/>
        <v>0.1</v>
      </c>
      <c r="AR202" s="12">
        <f t="shared" si="10"/>
        <v>12907.980000000001</v>
      </c>
      <c r="AS202" s="18">
        <f t="shared" si="11"/>
        <v>0</v>
      </c>
      <c r="AT202" s="12">
        <f t="shared" si="12"/>
        <v>3710.9000000000015</v>
      </c>
      <c r="AU202" s="18">
        <f t="shared" si="13"/>
        <v>0</v>
      </c>
      <c r="AV202" s="19">
        <f t="shared" si="14"/>
        <v>0.28748882474252369</v>
      </c>
      <c r="AW202" s="20" t="str">
        <f t="shared" si="15"/>
        <v>June</v>
      </c>
      <c r="AX202" s="21">
        <f t="shared" si="16"/>
        <v>2025</v>
      </c>
    </row>
    <row r="203" spans="1:50" ht="15.75" customHeight="1">
      <c r="A203" s="10" t="s">
        <v>740</v>
      </c>
      <c r="B203" s="11">
        <v>45864</v>
      </c>
      <c r="C203" s="11">
        <v>45872</v>
      </c>
      <c r="D203" s="10" t="s">
        <v>741</v>
      </c>
      <c r="E203" s="10" t="s">
        <v>100</v>
      </c>
      <c r="F203" s="10" t="s">
        <v>53</v>
      </c>
      <c r="G203" s="10" t="s">
        <v>92</v>
      </c>
      <c r="H203" s="10" t="s">
        <v>101</v>
      </c>
      <c r="I203" s="10" t="s">
        <v>102</v>
      </c>
      <c r="J203" s="10" t="s">
        <v>57</v>
      </c>
      <c r="K203" s="10" t="s">
        <v>120</v>
      </c>
      <c r="L203" s="10" t="s">
        <v>742</v>
      </c>
      <c r="M203" s="10" t="s">
        <v>60</v>
      </c>
      <c r="N203" s="12">
        <v>2</v>
      </c>
      <c r="O203" s="12">
        <v>2503.5300000000002</v>
      </c>
      <c r="P203" s="12">
        <v>-0.16</v>
      </c>
      <c r="Q203" s="12">
        <v>4756.71</v>
      </c>
      <c r="R203" s="12">
        <v>2954.86</v>
      </c>
      <c r="S203" s="12">
        <v>1801.85</v>
      </c>
      <c r="T203" s="10" t="s">
        <v>131</v>
      </c>
      <c r="U203" s="13" t="s">
        <v>97</v>
      </c>
      <c r="V203" s="14" t="e">
        <f t="shared" ca="1" si="0"/>
        <v>#NAME?</v>
      </c>
      <c r="W203" s="10" t="str">
        <f ca="1">IFERROR(__xludf.DUMMYFUNCTION("IF(COUNTIF($A:$A,A197)=1,
""Unique"",
IF(COUNTUNIQUE(FILTER($V$2:$V$934,$A$2:$A$934=A197))&gt;1,
""Conflicting Duplicate"",
""Exact Duplicate""))"),"Unique")</f>
        <v>Unique</v>
      </c>
      <c r="X203" s="10" t="b">
        <f t="shared" ca="1" si="1"/>
        <v>1</v>
      </c>
      <c r="Y203" s="10" t="str">
        <f t="shared" si="2"/>
        <v>Unique</v>
      </c>
      <c r="Z203" s="10"/>
      <c r="AA203" s="10" t="str">
        <f t="shared" si="3"/>
        <v>Invalid</v>
      </c>
      <c r="AB203" s="15" t="str">
        <f t="shared" si="4"/>
        <v>Valid</v>
      </c>
      <c r="AC203" s="15">
        <v>8</v>
      </c>
      <c r="AD203" s="16" t="str">
        <f t="shared" si="5"/>
        <v>Valid</v>
      </c>
      <c r="AE203" s="16" t="str">
        <f t="shared" si="6"/>
        <v>Valid</v>
      </c>
      <c r="AF203" s="16" t="str">
        <f t="shared" ref="AF203:AG203" si="417">IF(ISNUMBER(B203),"Valid","Invalid")</f>
        <v>Valid</v>
      </c>
      <c r="AG203" s="16" t="str">
        <f t="shared" si="417"/>
        <v>Valid</v>
      </c>
      <c r="AH203" s="16" t="str">
        <f t="shared" ref="AH203:AI203" si="418">IF(OR(B203="",ISBLANK(B203)),"Missing","Valid")</f>
        <v>Valid</v>
      </c>
      <c r="AI203" s="16" t="str">
        <f t="shared" si="418"/>
        <v>Valid</v>
      </c>
      <c r="AJ203" s="16" t="b">
        <v>0</v>
      </c>
      <c r="AK203" s="16" t="b">
        <v>0</v>
      </c>
      <c r="AL203" s="16" t="b">
        <v>0</v>
      </c>
      <c r="AM203" s="16" t="b">
        <v>1</v>
      </c>
      <c r="AN203" s="16" t="b">
        <v>0</v>
      </c>
      <c r="AO203" s="16" t="b">
        <v>0</v>
      </c>
      <c r="AP203" s="16" t="b">
        <v>1</v>
      </c>
      <c r="AQ203" s="17">
        <f t="shared" si="9"/>
        <v>-0.16</v>
      </c>
      <c r="AR203" s="12">
        <f t="shared" si="10"/>
        <v>5808.1895999999997</v>
      </c>
      <c r="AS203" s="18">
        <f t="shared" si="11"/>
        <v>-1051.4795999999997</v>
      </c>
      <c r="AT203" s="12">
        <f t="shared" si="12"/>
        <v>2853.3295999999996</v>
      </c>
      <c r="AU203" s="18">
        <f t="shared" si="13"/>
        <v>-1051.4795999999997</v>
      </c>
      <c r="AV203" s="19">
        <f t="shared" si="14"/>
        <v>0.49125972058487893</v>
      </c>
      <c r="AW203" s="20" t="str">
        <f t="shared" si="15"/>
        <v>July</v>
      </c>
      <c r="AX203" s="21">
        <f t="shared" si="16"/>
        <v>2025</v>
      </c>
    </row>
    <row r="204" spans="1:50" ht="15.75" customHeight="1">
      <c r="A204" s="10" t="s">
        <v>743</v>
      </c>
      <c r="B204" s="11">
        <v>45744</v>
      </c>
      <c r="C204" s="11">
        <v>45744</v>
      </c>
      <c r="D204" s="10" t="s">
        <v>744</v>
      </c>
      <c r="E204" s="10" t="s">
        <v>161</v>
      </c>
      <c r="F204" s="10" t="s">
        <v>119</v>
      </c>
      <c r="G204" s="10" t="s">
        <v>92</v>
      </c>
      <c r="H204" s="10" t="s">
        <v>219</v>
      </c>
      <c r="I204" s="10" t="s">
        <v>220</v>
      </c>
      <c r="J204" s="10" t="s">
        <v>103</v>
      </c>
      <c r="K204" s="10" t="s">
        <v>104</v>
      </c>
      <c r="L204" s="10" t="s">
        <v>745</v>
      </c>
      <c r="M204" s="10" t="s">
        <v>88</v>
      </c>
      <c r="N204" s="12">
        <v>8</v>
      </c>
      <c r="O204" s="12">
        <v>1740.94</v>
      </c>
      <c r="P204" s="12">
        <v>0.05</v>
      </c>
      <c r="Q204" s="12">
        <v>13231.14</v>
      </c>
      <c r="R204" s="12">
        <v>11290.06</v>
      </c>
      <c r="S204" s="12">
        <v>1941.08</v>
      </c>
      <c r="T204" s="10" t="s">
        <v>61</v>
      </c>
      <c r="U204" s="13" t="s">
        <v>62</v>
      </c>
      <c r="V204" s="14" t="e">
        <f t="shared" ca="1" si="0"/>
        <v>#NAME?</v>
      </c>
      <c r="W204" s="10" t="str">
        <f ca="1">IFERROR(__xludf.DUMMYFUNCTION("IF(COUNTIF($A:$A,A198)=1,
""Unique"",
IF(COUNTUNIQUE(FILTER($V$2:$V$934,$A$2:$A$934=A198))&gt;1,
""Conflicting Duplicate"",
""Exact Duplicate""))"),"Unique")</f>
        <v>Unique</v>
      </c>
      <c r="X204" s="10" t="b">
        <f t="shared" ca="1" si="1"/>
        <v>1</v>
      </c>
      <c r="Y204" s="10" t="str">
        <f t="shared" si="2"/>
        <v>Unique</v>
      </c>
      <c r="Z204" s="10"/>
      <c r="AA204" s="10" t="str">
        <f t="shared" si="3"/>
        <v>Clean</v>
      </c>
      <c r="AB204" s="15" t="str">
        <f t="shared" si="4"/>
        <v>Valid</v>
      </c>
      <c r="AC204" s="15">
        <v>0</v>
      </c>
      <c r="AD204" s="16" t="str">
        <f t="shared" si="5"/>
        <v>Valid</v>
      </c>
      <c r="AE204" s="16" t="str">
        <f t="shared" si="6"/>
        <v>Valid</v>
      </c>
      <c r="AF204" s="16" t="str">
        <f t="shared" ref="AF204:AG204" si="419">IF(ISNUMBER(B204),"Valid","Invalid")</f>
        <v>Valid</v>
      </c>
      <c r="AG204" s="16" t="str">
        <f t="shared" si="419"/>
        <v>Valid</v>
      </c>
      <c r="AH204" s="16" t="str">
        <f t="shared" ref="AH204:AI204" si="420">IF(OR(B204="",ISBLANK(B204)),"Missing","Valid")</f>
        <v>Valid</v>
      </c>
      <c r="AI204" s="16" t="str">
        <f t="shared" si="420"/>
        <v>Valid</v>
      </c>
      <c r="AJ204" s="16" t="b">
        <v>0</v>
      </c>
      <c r="AK204" s="16" t="b">
        <v>0</v>
      </c>
      <c r="AL204" s="16" t="b">
        <v>0</v>
      </c>
      <c r="AM204" s="16" t="b">
        <v>0</v>
      </c>
      <c r="AN204" s="16" t="b">
        <v>0</v>
      </c>
      <c r="AO204" s="16" t="b">
        <v>0</v>
      </c>
      <c r="AP204" s="16" t="b">
        <v>0</v>
      </c>
      <c r="AQ204" s="17">
        <f t="shared" si="9"/>
        <v>0.05</v>
      </c>
      <c r="AR204" s="12">
        <f t="shared" si="10"/>
        <v>13231.144</v>
      </c>
      <c r="AS204" s="18">
        <f t="shared" si="11"/>
        <v>-4.0000000008149073E-3</v>
      </c>
      <c r="AT204" s="12">
        <f t="shared" si="12"/>
        <v>1941.0840000000007</v>
      </c>
      <c r="AU204" s="18">
        <f t="shared" si="13"/>
        <v>-4.0000000008149073E-3</v>
      </c>
      <c r="AV204" s="19">
        <f t="shared" si="14"/>
        <v>0.14670568168557463</v>
      </c>
      <c r="AW204" s="20" t="str">
        <f t="shared" si="15"/>
        <v>March</v>
      </c>
      <c r="AX204" s="21">
        <f t="shared" si="16"/>
        <v>2025</v>
      </c>
    </row>
    <row r="205" spans="1:50" ht="15.75" customHeight="1">
      <c r="A205" s="10" t="s">
        <v>746</v>
      </c>
      <c r="B205" s="11">
        <v>45379</v>
      </c>
      <c r="C205" s="11">
        <v>45381</v>
      </c>
      <c r="D205" s="10" t="s">
        <v>747</v>
      </c>
      <c r="E205" s="10" t="s">
        <v>161</v>
      </c>
      <c r="F205" s="10" t="s">
        <v>119</v>
      </c>
      <c r="G205" s="10" t="s">
        <v>92</v>
      </c>
      <c r="H205" s="10" t="s">
        <v>55</v>
      </c>
      <c r="I205" s="10" t="s">
        <v>138</v>
      </c>
      <c r="J205" s="10" t="s">
        <v>103</v>
      </c>
      <c r="K205" s="10" t="s">
        <v>104</v>
      </c>
      <c r="L205" s="10" t="s">
        <v>748</v>
      </c>
      <c r="M205" s="10" t="s">
        <v>60</v>
      </c>
      <c r="N205" s="12">
        <v>1</v>
      </c>
      <c r="O205" s="12">
        <v>570.34</v>
      </c>
      <c r="P205" s="12">
        <v>0.15</v>
      </c>
      <c r="Q205" s="12">
        <v>484.79</v>
      </c>
      <c r="R205" s="12">
        <v>333.54</v>
      </c>
      <c r="S205" s="12">
        <v>151.25</v>
      </c>
      <c r="T205" s="10" t="s">
        <v>61</v>
      </c>
      <c r="U205" s="13" t="s">
        <v>62</v>
      </c>
      <c r="V205" s="14" t="e">
        <f t="shared" ca="1" si="0"/>
        <v>#NAME?</v>
      </c>
      <c r="W205" s="10" t="str">
        <f ca="1">IFERROR(__xludf.DUMMYFUNCTION("IF(COUNTIF($A:$A,A199)=1,
""Unique"",
IF(COUNTUNIQUE(FILTER($V$2:$V$934,$A$2:$A$934=A199))&gt;1,
""Conflicting Duplicate"",
""Exact Duplicate""))"),"Unique")</f>
        <v>Unique</v>
      </c>
      <c r="X205" s="10" t="b">
        <f t="shared" ca="1" si="1"/>
        <v>1</v>
      </c>
      <c r="Y205" s="10" t="str">
        <f t="shared" si="2"/>
        <v>Unique</v>
      </c>
      <c r="Z205" s="10"/>
      <c r="AA205" s="10" t="str">
        <f t="shared" si="3"/>
        <v>Clean</v>
      </c>
      <c r="AB205" s="15" t="str">
        <f t="shared" si="4"/>
        <v>Valid</v>
      </c>
      <c r="AC205" s="15">
        <v>2</v>
      </c>
      <c r="AD205" s="16" t="str">
        <f t="shared" si="5"/>
        <v>Valid</v>
      </c>
      <c r="AE205" s="16" t="str">
        <f t="shared" si="6"/>
        <v>Valid</v>
      </c>
      <c r="AF205" s="16" t="str">
        <f t="shared" ref="AF205:AG205" si="421">IF(ISNUMBER(B205),"Valid","Invalid")</f>
        <v>Valid</v>
      </c>
      <c r="AG205" s="16" t="str">
        <f t="shared" si="421"/>
        <v>Valid</v>
      </c>
      <c r="AH205" s="16" t="str">
        <f t="shared" ref="AH205:AI205" si="422">IF(OR(B205="",ISBLANK(B205)),"Missing","Valid")</f>
        <v>Valid</v>
      </c>
      <c r="AI205" s="16" t="str">
        <f t="shared" si="422"/>
        <v>Valid</v>
      </c>
      <c r="AJ205" s="16" t="b">
        <v>0</v>
      </c>
      <c r="AK205" s="16" t="b">
        <v>0</v>
      </c>
      <c r="AL205" s="16" t="b">
        <v>0</v>
      </c>
      <c r="AM205" s="16" t="b">
        <v>0</v>
      </c>
      <c r="AN205" s="16" t="b">
        <v>0</v>
      </c>
      <c r="AO205" s="16" t="b">
        <v>0</v>
      </c>
      <c r="AP205" s="16" t="b">
        <v>0</v>
      </c>
      <c r="AQ205" s="17">
        <f t="shared" si="9"/>
        <v>0.15</v>
      </c>
      <c r="AR205" s="12">
        <f t="shared" si="10"/>
        <v>484.78899999999999</v>
      </c>
      <c r="AS205" s="18">
        <f t="shared" si="11"/>
        <v>1.0000000000331966E-3</v>
      </c>
      <c r="AT205" s="12">
        <f t="shared" si="12"/>
        <v>151.24899999999997</v>
      </c>
      <c r="AU205" s="18">
        <f t="shared" si="13"/>
        <v>1.0000000000331966E-3</v>
      </c>
      <c r="AV205" s="19">
        <f t="shared" si="14"/>
        <v>0.3119893396921134</v>
      </c>
      <c r="AW205" s="20" t="str">
        <f t="shared" si="15"/>
        <v>March</v>
      </c>
      <c r="AX205" s="21">
        <f t="shared" si="16"/>
        <v>2024</v>
      </c>
    </row>
    <row r="206" spans="1:50" ht="15.75" customHeight="1">
      <c r="A206" s="10" t="s">
        <v>749</v>
      </c>
      <c r="B206" s="11">
        <v>45858</v>
      </c>
      <c r="C206" s="11">
        <v>45861</v>
      </c>
      <c r="D206" s="10" t="s">
        <v>750</v>
      </c>
      <c r="E206" s="10" t="s">
        <v>65</v>
      </c>
      <c r="F206" s="10" t="s">
        <v>124</v>
      </c>
      <c r="G206" s="10" t="s">
        <v>67</v>
      </c>
      <c r="H206" s="10" t="s">
        <v>128</v>
      </c>
      <c r="I206" s="10" t="s">
        <v>129</v>
      </c>
      <c r="J206" s="10" t="s">
        <v>70</v>
      </c>
      <c r="K206" s="10" t="s">
        <v>71</v>
      </c>
      <c r="L206" s="10" t="s">
        <v>751</v>
      </c>
      <c r="M206" s="10" t="s">
        <v>60</v>
      </c>
      <c r="N206" s="12">
        <v>4</v>
      </c>
      <c r="O206" s="12">
        <v>477.69</v>
      </c>
      <c r="P206" s="12">
        <v>0.15</v>
      </c>
      <c r="Q206" s="12">
        <v>1624.15</v>
      </c>
      <c r="R206" s="12">
        <v>1217.99</v>
      </c>
      <c r="S206" s="12">
        <v>406.16</v>
      </c>
      <c r="T206" s="10" t="s">
        <v>61</v>
      </c>
      <c r="U206" s="13" t="s">
        <v>62</v>
      </c>
      <c r="V206" s="14" t="e">
        <f t="shared" ca="1" si="0"/>
        <v>#NAME?</v>
      </c>
      <c r="W206" s="10" t="str">
        <f ca="1">IFERROR(__xludf.DUMMYFUNCTION("IF(COUNTIF($A:$A,A200)=1,
""Unique"",
IF(COUNTUNIQUE(FILTER($V$2:$V$934,$A$2:$A$934=A200))&gt;1,
""Conflicting Duplicate"",
""Exact Duplicate""))"),"Unique")</f>
        <v>Unique</v>
      </c>
      <c r="X206" s="10" t="b">
        <f t="shared" ca="1" si="1"/>
        <v>1</v>
      </c>
      <c r="Y206" s="10" t="str">
        <f t="shared" si="2"/>
        <v>Unique</v>
      </c>
      <c r="Z206" s="10"/>
      <c r="AA206" s="10" t="str">
        <f t="shared" si="3"/>
        <v>Clean</v>
      </c>
      <c r="AB206" s="15" t="str">
        <f t="shared" si="4"/>
        <v>Valid</v>
      </c>
      <c r="AC206" s="15">
        <v>3</v>
      </c>
      <c r="AD206" s="16" t="str">
        <f t="shared" si="5"/>
        <v>Valid</v>
      </c>
      <c r="AE206" s="16" t="str">
        <f t="shared" si="6"/>
        <v>Valid</v>
      </c>
      <c r="AF206" s="16" t="str">
        <f t="shared" ref="AF206:AG206" si="423">IF(ISNUMBER(B206),"Valid","Invalid")</f>
        <v>Valid</v>
      </c>
      <c r="AG206" s="16" t="str">
        <f t="shared" si="423"/>
        <v>Valid</v>
      </c>
      <c r="AH206" s="16" t="str">
        <f t="shared" ref="AH206:AI206" si="424">IF(OR(B206="",ISBLANK(B206)),"Missing","Valid")</f>
        <v>Valid</v>
      </c>
      <c r="AI206" s="16" t="str">
        <f t="shared" si="424"/>
        <v>Valid</v>
      </c>
      <c r="AJ206" s="16" t="b">
        <v>0</v>
      </c>
      <c r="AK206" s="16" t="b">
        <v>0</v>
      </c>
      <c r="AL206" s="16" t="b">
        <v>0</v>
      </c>
      <c r="AM206" s="16" t="b">
        <v>0</v>
      </c>
      <c r="AN206" s="16" t="b">
        <v>0</v>
      </c>
      <c r="AO206" s="16" t="b">
        <v>0</v>
      </c>
      <c r="AP206" s="16" t="b">
        <v>0</v>
      </c>
      <c r="AQ206" s="17">
        <f t="shared" si="9"/>
        <v>0.15</v>
      </c>
      <c r="AR206" s="12">
        <f t="shared" si="10"/>
        <v>1624.146</v>
      </c>
      <c r="AS206" s="18">
        <f t="shared" si="11"/>
        <v>4.0000000001327862E-3</v>
      </c>
      <c r="AT206" s="12">
        <f t="shared" si="12"/>
        <v>406.15599999999995</v>
      </c>
      <c r="AU206" s="18">
        <f t="shared" si="13"/>
        <v>4.0000000000759428E-3</v>
      </c>
      <c r="AV206" s="19">
        <f t="shared" si="14"/>
        <v>0.25007357712914968</v>
      </c>
      <c r="AW206" s="20" t="str">
        <f t="shared" si="15"/>
        <v>July</v>
      </c>
      <c r="AX206" s="21">
        <f t="shared" si="16"/>
        <v>2025</v>
      </c>
    </row>
    <row r="207" spans="1:50" ht="15.75" customHeight="1">
      <c r="A207" s="10" t="s">
        <v>752</v>
      </c>
      <c r="B207" s="11">
        <v>45768</v>
      </c>
      <c r="C207" s="11">
        <v>45773</v>
      </c>
      <c r="D207" s="10" t="s">
        <v>753</v>
      </c>
      <c r="E207" s="10" t="s">
        <v>91</v>
      </c>
      <c r="F207" s="10" t="s">
        <v>53</v>
      </c>
      <c r="G207" s="10" t="s">
        <v>92</v>
      </c>
      <c r="H207" s="10" t="s">
        <v>93</v>
      </c>
      <c r="I207" s="10" t="s">
        <v>94</v>
      </c>
      <c r="J207" s="10" t="s">
        <v>57</v>
      </c>
      <c r="K207" s="10" t="s">
        <v>120</v>
      </c>
      <c r="L207" s="10" t="s">
        <v>754</v>
      </c>
      <c r="M207" s="10" t="s">
        <v>73</v>
      </c>
      <c r="N207" s="12">
        <v>6</v>
      </c>
      <c r="O207" s="12">
        <v>873.59</v>
      </c>
      <c r="P207" s="12">
        <v>0.2</v>
      </c>
      <c r="Q207" s="12">
        <v>4193.2299999999996</v>
      </c>
      <c r="R207" s="12">
        <v>3329.99</v>
      </c>
      <c r="S207" s="12">
        <v>863.24</v>
      </c>
      <c r="T207" s="10" t="s">
        <v>61</v>
      </c>
      <c r="U207" s="13" t="s">
        <v>62</v>
      </c>
      <c r="V207" s="14" t="e">
        <f t="shared" ca="1" si="0"/>
        <v>#NAME?</v>
      </c>
      <c r="W207" s="10" t="str">
        <f ca="1">IFERROR(__xludf.DUMMYFUNCTION("IF(COUNTIF($A:$A,A201)=1,
""Unique"",
IF(COUNTUNIQUE(FILTER($V$2:$V$934,$A$2:$A$934=A201))&gt;1,
""Conflicting Duplicate"",
""Exact Duplicate""))"),"Unique")</f>
        <v>Unique</v>
      </c>
      <c r="X207" s="10" t="b">
        <f t="shared" ca="1" si="1"/>
        <v>1</v>
      </c>
      <c r="Y207" s="10" t="str">
        <f t="shared" si="2"/>
        <v>Unique</v>
      </c>
      <c r="Z207" s="10"/>
      <c r="AA207" s="10" t="str">
        <f t="shared" si="3"/>
        <v>Clean</v>
      </c>
      <c r="AB207" s="15" t="str">
        <f t="shared" si="4"/>
        <v>Valid</v>
      </c>
      <c r="AC207" s="15">
        <v>5</v>
      </c>
      <c r="AD207" s="16" t="str">
        <f t="shared" si="5"/>
        <v>Valid</v>
      </c>
      <c r="AE207" s="16" t="str">
        <f t="shared" si="6"/>
        <v>Valid</v>
      </c>
      <c r="AF207" s="16" t="str">
        <f t="shared" ref="AF207:AG207" si="425">IF(ISNUMBER(B207),"Valid","Invalid")</f>
        <v>Valid</v>
      </c>
      <c r="AG207" s="16" t="str">
        <f t="shared" si="425"/>
        <v>Valid</v>
      </c>
      <c r="AH207" s="16" t="str">
        <f t="shared" ref="AH207:AI207" si="426">IF(OR(B207="",ISBLANK(B207)),"Missing","Valid")</f>
        <v>Valid</v>
      </c>
      <c r="AI207" s="16" t="str">
        <f t="shared" si="426"/>
        <v>Valid</v>
      </c>
      <c r="AJ207" s="16" t="b">
        <v>0</v>
      </c>
      <c r="AK207" s="16" t="b">
        <v>0</v>
      </c>
      <c r="AL207" s="16" t="b">
        <v>0</v>
      </c>
      <c r="AM207" s="16" t="b">
        <v>0</v>
      </c>
      <c r="AN207" s="16" t="b">
        <v>0</v>
      </c>
      <c r="AO207" s="16" t="b">
        <v>0</v>
      </c>
      <c r="AP207" s="16" t="b">
        <v>0</v>
      </c>
      <c r="AQ207" s="17">
        <f t="shared" si="9"/>
        <v>0.2</v>
      </c>
      <c r="AR207" s="12">
        <f t="shared" si="10"/>
        <v>4193.232</v>
      </c>
      <c r="AS207" s="18">
        <f t="shared" si="11"/>
        <v>-2.0000000004074536E-3</v>
      </c>
      <c r="AT207" s="12">
        <f t="shared" si="12"/>
        <v>863.24200000000019</v>
      </c>
      <c r="AU207" s="18">
        <f t="shared" si="13"/>
        <v>-2.00000000018008E-3</v>
      </c>
      <c r="AV207" s="19">
        <f t="shared" si="14"/>
        <v>0.2058655471483572</v>
      </c>
      <c r="AW207" s="20" t="str">
        <f t="shared" si="15"/>
        <v>April</v>
      </c>
      <c r="AX207" s="21">
        <f t="shared" si="16"/>
        <v>2025</v>
      </c>
    </row>
    <row r="208" spans="1:50" ht="15.75" customHeight="1">
      <c r="A208" s="10" t="s">
        <v>755</v>
      </c>
      <c r="B208" s="11">
        <v>45795</v>
      </c>
      <c r="C208" s="11">
        <v>45797</v>
      </c>
      <c r="D208" s="10" t="s">
        <v>756</v>
      </c>
      <c r="E208" s="10" t="s">
        <v>191</v>
      </c>
      <c r="F208" s="10" t="s">
        <v>66</v>
      </c>
      <c r="G208" s="10" t="s">
        <v>54</v>
      </c>
      <c r="H208" s="10" t="s">
        <v>165</v>
      </c>
      <c r="I208" s="10" t="s">
        <v>166</v>
      </c>
      <c r="J208" s="10" t="s">
        <v>70</v>
      </c>
      <c r="K208" s="10" t="s">
        <v>86</v>
      </c>
      <c r="L208" s="10" t="s">
        <v>757</v>
      </c>
      <c r="M208" s="10" t="s">
        <v>79</v>
      </c>
      <c r="N208" s="12">
        <v>2</v>
      </c>
      <c r="O208" s="12">
        <v>215.13</v>
      </c>
      <c r="P208" s="12">
        <v>0</v>
      </c>
      <c r="Q208" s="12">
        <v>430.26</v>
      </c>
      <c r="R208" s="12">
        <v>286.38</v>
      </c>
      <c r="S208" s="12">
        <v>143.88</v>
      </c>
      <c r="T208" s="10" t="s">
        <v>61</v>
      </c>
      <c r="U208" s="13" t="s">
        <v>62</v>
      </c>
      <c r="V208" s="14" t="e">
        <f t="shared" ca="1" si="0"/>
        <v>#NAME?</v>
      </c>
      <c r="W208" s="10" t="str">
        <f ca="1">IFERROR(__xludf.DUMMYFUNCTION("IF(COUNTIF($A:$A,A202)=1,
""Unique"",
IF(COUNTUNIQUE(FILTER($V$2:$V$934,$A$2:$A$934=A202))&gt;1,
""Conflicting Duplicate"",
""Exact Duplicate""))"),"Unique")</f>
        <v>Unique</v>
      </c>
      <c r="X208" s="10" t="b">
        <f t="shared" ca="1" si="1"/>
        <v>1</v>
      </c>
      <c r="Y208" s="10" t="str">
        <f t="shared" si="2"/>
        <v>Unique</v>
      </c>
      <c r="Z208" s="10"/>
      <c r="AA208" s="10" t="str">
        <f t="shared" si="3"/>
        <v>Clean</v>
      </c>
      <c r="AB208" s="15" t="str">
        <f t="shared" si="4"/>
        <v>Valid</v>
      </c>
      <c r="AC208" s="15">
        <v>2</v>
      </c>
      <c r="AD208" s="16" t="str">
        <f t="shared" si="5"/>
        <v>Valid</v>
      </c>
      <c r="AE208" s="16" t="str">
        <f t="shared" si="6"/>
        <v>Valid</v>
      </c>
      <c r="AF208" s="16" t="str">
        <f t="shared" ref="AF208:AG208" si="427">IF(ISNUMBER(B208),"Valid","Invalid")</f>
        <v>Valid</v>
      </c>
      <c r="AG208" s="16" t="str">
        <f t="shared" si="427"/>
        <v>Valid</v>
      </c>
      <c r="AH208" s="16" t="str">
        <f t="shared" ref="AH208:AI208" si="428">IF(OR(B208="",ISBLANK(B208)),"Missing","Valid")</f>
        <v>Valid</v>
      </c>
      <c r="AI208" s="16" t="str">
        <f t="shared" si="428"/>
        <v>Valid</v>
      </c>
      <c r="AJ208" s="16" t="b">
        <v>0</v>
      </c>
      <c r="AK208" s="16" t="b">
        <v>0</v>
      </c>
      <c r="AL208" s="16" t="b">
        <v>0</v>
      </c>
      <c r="AM208" s="16" t="b">
        <v>0</v>
      </c>
      <c r="AN208" s="16" t="b">
        <v>0</v>
      </c>
      <c r="AO208" s="16" t="b">
        <v>0</v>
      </c>
      <c r="AP208" s="16" t="b">
        <v>0</v>
      </c>
      <c r="AQ208" s="17">
        <f t="shared" si="9"/>
        <v>0</v>
      </c>
      <c r="AR208" s="12">
        <f t="shared" si="10"/>
        <v>430.26</v>
      </c>
      <c r="AS208" s="18">
        <f t="shared" si="11"/>
        <v>0</v>
      </c>
      <c r="AT208" s="12">
        <f t="shared" si="12"/>
        <v>143.88</v>
      </c>
      <c r="AU208" s="18">
        <f t="shared" si="13"/>
        <v>0</v>
      </c>
      <c r="AV208" s="19">
        <f t="shared" si="14"/>
        <v>0.33440245432994004</v>
      </c>
      <c r="AW208" s="20" t="str">
        <f t="shared" si="15"/>
        <v>May</v>
      </c>
      <c r="AX208" s="21">
        <f t="shared" si="16"/>
        <v>2025</v>
      </c>
    </row>
    <row r="209" spans="1:50" ht="15.75" customHeight="1">
      <c r="A209" s="10" t="s">
        <v>758</v>
      </c>
      <c r="B209" s="11">
        <v>45483</v>
      </c>
      <c r="C209" s="11">
        <v>45489</v>
      </c>
      <c r="D209" s="10" t="s">
        <v>759</v>
      </c>
      <c r="E209" s="10" t="s">
        <v>157</v>
      </c>
      <c r="F209" s="10" t="s">
        <v>124</v>
      </c>
      <c r="G209" s="10" t="s">
        <v>92</v>
      </c>
      <c r="H209" s="10" t="s">
        <v>219</v>
      </c>
      <c r="I209" s="10" t="s">
        <v>220</v>
      </c>
      <c r="J209" s="10" t="s">
        <v>70</v>
      </c>
      <c r="K209" s="10" t="s">
        <v>187</v>
      </c>
      <c r="L209" s="10" t="s">
        <v>760</v>
      </c>
      <c r="M209" s="10" t="s">
        <v>60</v>
      </c>
      <c r="N209" s="12">
        <v>2</v>
      </c>
      <c r="O209" s="12">
        <v>1095.45</v>
      </c>
      <c r="P209" s="12">
        <v>0.2</v>
      </c>
      <c r="Q209" s="12">
        <v>1752.72</v>
      </c>
      <c r="R209" s="12">
        <v>996.41</v>
      </c>
      <c r="S209" s="12">
        <v>756.31</v>
      </c>
      <c r="T209" s="10" t="s">
        <v>61</v>
      </c>
      <c r="U209" s="13" t="s">
        <v>62</v>
      </c>
      <c r="V209" s="14" t="e">
        <f t="shared" ca="1" si="0"/>
        <v>#NAME?</v>
      </c>
      <c r="W209" s="10" t="str">
        <f ca="1">IFERROR(__xludf.DUMMYFUNCTION("IF(COUNTIF($A:$A,A203)=1,
""Unique"",
IF(COUNTUNIQUE(FILTER($V$2:$V$934,$A$2:$A$934=A203))&gt;1,
""Conflicting Duplicate"",
""Exact Duplicate""))"),"Unique")</f>
        <v>Unique</v>
      </c>
      <c r="X209" s="10" t="b">
        <f t="shared" ca="1" si="1"/>
        <v>1</v>
      </c>
      <c r="Y209" s="10" t="str">
        <f t="shared" si="2"/>
        <v>Unique</v>
      </c>
      <c r="Z209" s="10"/>
      <c r="AA209" s="10" t="str">
        <f t="shared" si="3"/>
        <v>Clean</v>
      </c>
      <c r="AB209" s="15" t="str">
        <f t="shared" si="4"/>
        <v>Valid</v>
      </c>
      <c r="AC209" s="15">
        <v>6</v>
      </c>
      <c r="AD209" s="16" t="str">
        <f t="shared" si="5"/>
        <v>Valid</v>
      </c>
      <c r="AE209" s="16" t="str">
        <f t="shared" si="6"/>
        <v>Valid</v>
      </c>
      <c r="AF209" s="16" t="str">
        <f t="shared" ref="AF209:AG209" si="429">IF(ISNUMBER(B209),"Valid","Invalid")</f>
        <v>Valid</v>
      </c>
      <c r="AG209" s="16" t="str">
        <f t="shared" si="429"/>
        <v>Valid</v>
      </c>
      <c r="AH209" s="16" t="str">
        <f t="shared" ref="AH209:AI209" si="430">IF(OR(B209="",ISBLANK(B209)),"Missing","Valid")</f>
        <v>Valid</v>
      </c>
      <c r="AI209" s="16" t="str">
        <f t="shared" si="430"/>
        <v>Valid</v>
      </c>
      <c r="AJ209" s="16" t="b">
        <v>0</v>
      </c>
      <c r="AK209" s="16" t="b">
        <v>0</v>
      </c>
      <c r="AL209" s="16" t="b">
        <v>0</v>
      </c>
      <c r="AM209" s="16" t="b">
        <v>0</v>
      </c>
      <c r="AN209" s="16" t="b">
        <v>0</v>
      </c>
      <c r="AO209" s="16" t="b">
        <v>0</v>
      </c>
      <c r="AP209" s="16" t="b">
        <v>0</v>
      </c>
      <c r="AQ209" s="17">
        <f t="shared" si="9"/>
        <v>0.2</v>
      </c>
      <c r="AR209" s="12">
        <f t="shared" si="10"/>
        <v>1752.7200000000003</v>
      </c>
      <c r="AS209" s="18">
        <f t="shared" si="11"/>
        <v>0</v>
      </c>
      <c r="AT209" s="12">
        <f t="shared" si="12"/>
        <v>756.31000000000029</v>
      </c>
      <c r="AU209" s="18">
        <f t="shared" si="13"/>
        <v>0</v>
      </c>
      <c r="AV209" s="19">
        <f t="shared" si="14"/>
        <v>0.43150645853302305</v>
      </c>
      <c r="AW209" s="20" t="str">
        <f t="shared" si="15"/>
        <v>July</v>
      </c>
      <c r="AX209" s="21">
        <f t="shared" si="16"/>
        <v>2024</v>
      </c>
    </row>
    <row r="210" spans="1:50" ht="15.75" customHeight="1">
      <c r="A210" s="10" t="s">
        <v>761</v>
      </c>
      <c r="B210" s="11">
        <v>45837</v>
      </c>
      <c r="C210" s="11">
        <v>45843</v>
      </c>
      <c r="D210" s="10" t="s">
        <v>762</v>
      </c>
      <c r="E210" s="10" t="s">
        <v>191</v>
      </c>
      <c r="F210" s="10" t="s">
        <v>53</v>
      </c>
      <c r="G210" s="10" t="s">
        <v>54</v>
      </c>
      <c r="H210" s="10" t="s">
        <v>151</v>
      </c>
      <c r="I210" s="10" t="s">
        <v>152</v>
      </c>
      <c r="J210" s="10" t="s">
        <v>70</v>
      </c>
      <c r="K210" s="10" t="s">
        <v>95</v>
      </c>
      <c r="L210" s="10" t="s">
        <v>763</v>
      </c>
      <c r="M210" s="10" t="s">
        <v>73</v>
      </c>
      <c r="N210" s="12">
        <v>1</v>
      </c>
      <c r="O210" s="12">
        <v>999.83</v>
      </c>
      <c r="P210" s="12">
        <v>0</v>
      </c>
      <c r="Q210" s="12">
        <v>999.83</v>
      </c>
      <c r="R210" s="12">
        <v>634.91</v>
      </c>
      <c r="S210" s="12">
        <v>364.92</v>
      </c>
      <c r="T210" s="10" t="s">
        <v>61</v>
      </c>
      <c r="U210" s="13" t="s">
        <v>62</v>
      </c>
      <c r="V210" s="14" t="e">
        <f t="shared" ca="1" si="0"/>
        <v>#NAME?</v>
      </c>
      <c r="W210" s="10" t="str">
        <f ca="1">IFERROR(__xludf.DUMMYFUNCTION("IF(COUNTIF($A:$A,A204)=1,
""Unique"",
IF(COUNTUNIQUE(FILTER($V$2:$V$934,$A$2:$A$934=A204))&gt;1,
""Conflicting Duplicate"",
""Exact Duplicate""))"),"Unique")</f>
        <v>Unique</v>
      </c>
      <c r="X210" s="10" t="b">
        <f t="shared" ca="1" si="1"/>
        <v>1</v>
      </c>
      <c r="Y210" s="10" t="str">
        <f t="shared" si="2"/>
        <v>Unique</v>
      </c>
      <c r="Z210" s="10"/>
      <c r="AA210" s="10" t="str">
        <f t="shared" si="3"/>
        <v>Clean</v>
      </c>
      <c r="AB210" s="15" t="str">
        <f t="shared" si="4"/>
        <v>Valid</v>
      </c>
      <c r="AC210" s="15">
        <v>6</v>
      </c>
      <c r="AD210" s="16" t="str">
        <f t="shared" si="5"/>
        <v>Valid</v>
      </c>
      <c r="AE210" s="16" t="str">
        <f t="shared" si="6"/>
        <v>Valid</v>
      </c>
      <c r="AF210" s="16" t="str">
        <f t="shared" ref="AF210:AG210" si="431">IF(ISNUMBER(B210),"Valid","Invalid")</f>
        <v>Valid</v>
      </c>
      <c r="AG210" s="16" t="str">
        <f t="shared" si="431"/>
        <v>Valid</v>
      </c>
      <c r="AH210" s="16" t="str">
        <f t="shared" ref="AH210:AI210" si="432">IF(OR(B210="",ISBLANK(B210)),"Missing","Valid")</f>
        <v>Valid</v>
      </c>
      <c r="AI210" s="16" t="str">
        <f t="shared" si="432"/>
        <v>Valid</v>
      </c>
      <c r="AJ210" s="16" t="b">
        <v>0</v>
      </c>
      <c r="AK210" s="16" t="b">
        <v>0</v>
      </c>
      <c r="AL210" s="16" t="b">
        <v>0</v>
      </c>
      <c r="AM210" s="16" t="b">
        <v>0</v>
      </c>
      <c r="AN210" s="16" t="b">
        <v>0</v>
      </c>
      <c r="AO210" s="16" t="b">
        <v>0</v>
      </c>
      <c r="AP210" s="16" t="b">
        <v>0</v>
      </c>
      <c r="AQ210" s="17">
        <f t="shared" si="9"/>
        <v>0</v>
      </c>
      <c r="AR210" s="12">
        <f t="shared" si="10"/>
        <v>999.83</v>
      </c>
      <c r="AS210" s="18">
        <f t="shared" si="11"/>
        <v>0</v>
      </c>
      <c r="AT210" s="12">
        <f t="shared" si="12"/>
        <v>364.92000000000007</v>
      </c>
      <c r="AU210" s="18">
        <f t="shared" si="13"/>
        <v>0</v>
      </c>
      <c r="AV210" s="19">
        <f t="shared" si="14"/>
        <v>0.3649820469479812</v>
      </c>
      <c r="AW210" s="20" t="str">
        <f t="shared" si="15"/>
        <v>June</v>
      </c>
      <c r="AX210" s="21">
        <f t="shared" si="16"/>
        <v>2025</v>
      </c>
    </row>
    <row r="211" spans="1:50" ht="15.75" customHeight="1">
      <c r="A211" s="10" t="s">
        <v>764</v>
      </c>
      <c r="B211" s="11">
        <v>45882</v>
      </c>
      <c r="C211" s="11">
        <v>45883</v>
      </c>
      <c r="D211" s="10" t="s">
        <v>765</v>
      </c>
      <c r="E211" s="10" t="s">
        <v>170</v>
      </c>
      <c r="F211" s="10" t="s">
        <v>66</v>
      </c>
      <c r="G211" s="10" t="s">
        <v>83</v>
      </c>
      <c r="H211" s="10" t="s">
        <v>113</v>
      </c>
      <c r="I211" s="10" t="s">
        <v>114</v>
      </c>
      <c r="J211" s="10" t="s">
        <v>57</v>
      </c>
      <c r="K211" s="10" t="s">
        <v>58</v>
      </c>
      <c r="L211" s="10" t="s">
        <v>766</v>
      </c>
      <c r="M211" s="10" t="s">
        <v>79</v>
      </c>
      <c r="N211" s="12">
        <v>9</v>
      </c>
      <c r="O211" s="12">
        <v>864.98</v>
      </c>
      <c r="P211" s="12">
        <v>0.1</v>
      </c>
      <c r="Q211" s="12">
        <v>7006.34</v>
      </c>
      <c r="R211" s="12">
        <v>4640.88</v>
      </c>
      <c r="S211" s="12">
        <v>2365.46</v>
      </c>
      <c r="T211" s="10" t="s">
        <v>61</v>
      </c>
      <c r="U211" s="13" t="s">
        <v>62</v>
      </c>
      <c r="V211" s="14" t="e">
        <f t="shared" ca="1" si="0"/>
        <v>#NAME?</v>
      </c>
      <c r="W211" s="10" t="str">
        <f ca="1">IFERROR(__xludf.DUMMYFUNCTION("IF(COUNTIF($A:$A,A205)=1,
""Unique"",
IF(COUNTUNIQUE(FILTER($V$2:$V$934,$A$2:$A$934=A205))&gt;1,
""Conflicting Duplicate"",
""Exact Duplicate""))"),"Unique")</f>
        <v>Unique</v>
      </c>
      <c r="X211" s="10" t="b">
        <f t="shared" ca="1" si="1"/>
        <v>1</v>
      </c>
      <c r="Y211" s="10" t="str">
        <f t="shared" si="2"/>
        <v>Unique</v>
      </c>
      <c r="Z211" s="10"/>
      <c r="AA211" s="10" t="str">
        <f t="shared" si="3"/>
        <v>Clean</v>
      </c>
      <c r="AB211" s="15" t="str">
        <f t="shared" si="4"/>
        <v>Valid</v>
      </c>
      <c r="AC211" s="15">
        <v>1</v>
      </c>
      <c r="AD211" s="16" t="str">
        <f t="shared" si="5"/>
        <v>Valid</v>
      </c>
      <c r="AE211" s="16" t="str">
        <f t="shared" si="6"/>
        <v>Valid</v>
      </c>
      <c r="AF211" s="16" t="str">
        <f t="shared" ref="AF211:AG211" si="433">IF(ISNUMBER(B211),"Valid","Invalid")</f>
        <v>Valid</v>
      </c>
      <c r="AG211" s="16" t="str">
        <f t="shared" si="433"/>
        <v>Valid</v>
      </c>
      <c r="AH211" s="16" t="str">
        <f t="shared" ref="AH211:AI211" si="434">IF(OR(B211="",ISBLANK(B211)),"Missing","Valid")</f>
        <v>Valid</v>
      </c>
      <c r="AI211" s="16" t="str">
        <f t="shared" si="434"/>
        <v>Valid</v>
      </c>
      <c r="AJ211" s="16" t="b">
        <v>0</v>
      </c>
      <c r="AK211" s="16" t="b">
        <v>0</v>
      </c>
      <c r="AL211" s="16" t="b">
        <v>0</v>
      </c>
      <c r="AM211" s="16" t="b">
        <v>0</v>
      </c>
      <c r="AN211" s="16" t="b">
        <v>0</v>
      </c>
      <c r="AO211" s="16" t="b">
        <v>0</v>
      </c>
      <c r="AP211" s="16" t="b">
        <v>0</v>
      </c>
      <c r="AQ211" s="17">
        <f t="shared" si="9"/>
        <v>0.1</v>
      </c>
      <c r="AR211" s="12">
        <f t="shared" si="10"/>
        <v>7006.3379999999997</v>
      </c>
      <c r="AS211" s="18">
        <f t="shared" si="11"/>
        <v>2.0000000004074536E-3</v>
      </c>
      <c r="AT211" s="12">
        <f t="shared" si="12"/>
        <v>2365.4579999999996</v>
      </c>
      <c r="AU211" s="18">
        <f t="shared" si="13"/>
        <v>2.0000000004074536E-3</v>
      </c>
      <c r="AV211" s="19">
        <f t="shared" si="14"/>
        <v>0.33761688345609359</v>
      </c>
      <c r="AW211" s="20" t="str">
        <f t="shared" si="15"/>
        <v>August</v>
      </c>
      <c r="AX211" s="21">
        <f t="shared" si="16"/>
        <v>2025</v>
      </c>
    </row>
    <row r="212" spans="1:50" ht="15.75" customHeight="1">
      <c r="A212" s="10" t="s">
        <v>767</v>
      </c>
      <c r="B212" s="11">
        <v>45366</v>
      </c>
      <c r="C212" s="11">
        <v>45369</v>
      </c>
      <c r="D212" s="10" t="s">
        <v>768</v>
      </c>
      <c r="E212" s="10" t="s">
        <v>294</v>
      </c>
      <c r="F212" s="10" t="s">
        <v>124</v>
      </c>
      <c r="G212" s="10" t="s">
        <v>83</v>
      </c>
      <c r="H212" s="10" t="s">
        <v>204</v>
      </c>
      <c r="I212" s="10" t="s">
        <v>205</v>
      </c>
      <c r="J212" s="10" t="s">
        <v>103</v>
      </c>
      <c r="K212" s="10" t="s">
        <v>304</v>
      </c>
      <c r="L212" s="10" t="s">
        <v>769</v>
      </c>
      <c r="M212" s="10" t="s">
        <v>60</v>
      </c>
      <c r="N212" s="12">
        <v>1</v>
      </c>
      <c r="O212" s="12">
        <v>4131.3599999999997</v>
      </c>
      <c r="P212" s="12">
        <v>0</v>
      </c>
      <c r="Q212" s="12">
        <v>4131.3599999999997</v>
      </c>
      <c r="R212" s="12">
        <v>2937.07</v>
      </c>
      <c r="S212" s="12">
        <v>1194.29</v>
      </c>
      <c r="T212" s="10" t="s">
        <v>184</v>
      </c>
      <c r="U212" s="13" t="s">
        <v>132</v>
      </c>
      <c r="V212" s="14" t="e">
        <f t="shared" ca="1" si="0"/>
        <v>#NAME?</v>
      </c>
      <c r="W212" s="10" t="str">
        <f ca="1">IFERROR(__xludf.DUMMYFUNCTION("IF(COUNTIF($A:$A,A206)=1,
""Unique"",
IF(COUNTUNIQUE(FILTER($V$2:$V$934,$A$2:$A$934=A206))&gt;1,
""Conflicting Duplicate"",
""Exact Duplicate""))"),"Unique")</f>
        <v>Unique</v>
      </c>
      <c r="X212" s="10" t="b">
        <f t="shared" ca="1" si="1"/>
        <v>1</v>
      </c>
      <c r="Y212" s="10" t="str">
        <f t="shared" si="2"/>
        <v>Unique</v>
      </c>
      <c r="Z212" s="10"/>
      <c r="AA212" s="10" t="str">
        <f t="shared" si="3"/>
        <v>Clean</v>
      </c>
      <c r="AB212" s="15" t="str">
        <f t="shared" si="4"/>
        <v>Valid</v>
      </c>
      <c r="AC212" s="15">
        <v>3</v>
      </c>
      <c r="AD212" s="16" t="str">
        <f t="shared" si="5"/>
        <v>Valid</v>
      </c>
      <c r="AE212" s="16" t="str">
        <f t="shared" si="6"/>
        <v>Valid</v>
      </c>
      <c r="AF212" s="16" t="str">
        <f t="shared" ref="AF212:AG212" si="435">IF(ISNUMBER(B212),"Valid","Invalid")</f>
        <v>Valid</v>
      </c>
      <c r="AG212" s="16" t="str">
        <f t="shared" si="435"/>
        <v>Valid</v>
      </c>
      <c r="AH212" s="16" t="str">
        <f t="shared" ref="AH212:AI212" si="436">IF(OR(B212="",ISBLANK(B212)),"Missing","Valid")</f>
        <v>Valid</v>
      </c>
      <c r="AI212" s="16" t="str">
        <f t="shared" si="436"/>
        <v>Valid</v>
      </c>
      <c r="AJ212" s="16" t="b">
        <v>0</v>
      </c>
      <c r="AK212" s="16" t="b">
        <v>0</v>
      </c>
      <c r="AL212" s="16" t="b">
        <v>0</v>
      </c>
      <c r="AM212" s="16" t="b">
        <v>0</v>
      </c>
      <c r="AN212" s="16" t="b">
        <v>0</v>
      </c>
      <c r="AO212" s="16" t="b">
        <v>0</v>
      </c>
      <c r="AP212" s="16" t="b">
        <v>0</v>
      </c>
      <c r="AQ212" s="17">
        <f t="shared" si="9"/>
        <v>0</v>
      </c>
      <c r="AR212" s="12">
        <f t="shared" si="10"/>
        <v>4131.3599999999997</v>
      </c>
      <c r="AS212" s="18">
        <f t="shared" si="11"/>
        <v>0</v>
      </c>
      <c r="AT212" s="12">
        <f t="shared" si="12"/>
        <v>1194.2899999999995</v>
      </c>
      <c r="AU212" s="18">
        <f t="shared" si="13"/>
        <v>0</v>
      </c>
      <c r="AV212" s="19">
        <f t="shared" si="14"/>
        <v>0.28907914100925591</v>
      </c>
      <c r="AW212" s="20" t="str">
        <f t="shared" si="15"/>
        <v>March</v>
      </c>
      <c r="AX212" s="21">
        <f t="shared" si="16"/>
        <v>2024</v>
      </c>
    </row>
    <row r="213" spans="1:50" ht="15.75" customHeight="1">
      <c r="A213" s="10" t="s">
        <v>770</v>
      </c>
      <c r="B213" s="11">
        <v>45428</v>
      </c>
      <c r="C213" s="11">
        <v>45429</v>
      </c>
      <c r="D213" s="10" t="s">
        <v>771</v>
      </c>
      <c r="E213" s="10" t="s">
        <v>170</v>
      </c>
      <c r="F213" s="10" t="s">
        <v>119</v>
      </c>
      <c r="G213" s="10" t="s">
        <v>67</v>
      </c>
      <c r="H213" s="10" t="s">
        <v>128</v>
      </c>
      <c r="I213" s="10" t="s">
        <v>129</v>
      </c>
      <c r="J213" s="10" t="s">
        <v>103</v>
      </c>
      <c r="K213" s="10" t="s">
        <v>109</v>
      </c>
      <c r="L213" s="10" t="s">
        <v>772</v>
      </c>
      <c r="M213" s="10" t="s">
        <v>60</v>
      </c>
      <c r="N213" s="12">
        <v>8</v>
      </c>
      <c r="O213" s="12">
        <v>4221.95</v>
      </c>
      <c r="P213" s="12">
        <v>0.2</v>
      </c>
      <c r="Q213" s="12">
        <v>27020.48</v>
      </c>
      <c r="R213" s="12">
        <v>22885.24</v>
      </c>
      <c r="S213" s="12">
        <v>4135.24</v>
      </c>
      <c r="T213" s="10" t="s">
        <v>61</v>
      </c>
      <c r="U213" s="13" t="s">
        <v>62</v>
      </c>
      <c r="V213" s="14" t="e">
        <f t="shared" ca="1" si="0"/>
        <v>#NAME?</v>
      </c>
      <c r="W213" s="10" t="str">
        <f ca="1">IFERROR(__xludf.DUMMYFUNCTION("IF(COUNTIF($A:$A,A207)=1,
""Unique"",
IF(COUNTUNIQUE(FILTER($V$2:$V$934,$A$2:$A$934=A207))&gt;1,
""Conflicting Duplicate"",
""Exact Duplicate""))"),"Unique")</f>
        <v>Unique</v>
      </c>
      <c r="X213" s="10" t="b">
        <f t="shared" ca="1" si="1"/>
        <v>1</v>
      </c>
      <c r="Y213" s="10" t="str">
        <f t="shared" si="2"/>
        <v>Unique</v>
      </c>
      <c r="Z213" s="10"/>
      <c r="AA213" s="10" t="str">
        <f t="shared" si="3"/>
        <v>Clean</v>
      </c>
      <c r="AB213" s="15" t="str">
        <f t="shared" si="4"/>
        <v>Valid</v>
      </c>
      <c r="AC213" s="15">
        <v>1</v>
      </c>
      <c r="AD213" s="16" t="str">
        <f t="shared" si="5"/>
        <v>Valid</v>
      </c>
      <c r="AE213" s="16" t="str">
        <f t="shared" si="6"/>
        <v>Valid</v>
      </c>
      <c r="AF213" s="16" t="str">
        <f t="shared" ref="AF213:AG213" si="437">IF(ISNUMBER(B213),"Valid","Invalid")</f>
        <v>Valid</v>
      </c>
      <c r="AG213" s="16" t="str">
        <f t="shared" si="437"/>
        <v>Valid</v>
      </c>
      <c r="AH213" s="16" t="str">
        <f t="shared" ref="AH213:AI213" si="438">IF(OR(B213="",ISBLANK(B213)),"Missing","Valid")</f>
        <v>Valid</v>
      </c>
      <c r="AI213" s="16" t="str">
        <f t="shared" si="438"/>
        <v>Valid</v>
      </c>
      <c r="AJ213" s="16" t="b">
        <v>0</v>
      </c>
      <c r="AK213" s="16" t="b">
        <v>0</v>
      </c>
      <c r="AL213" s="16" t="b">
        <v>0</v>
      </c>
      <c r="AM213" s="16" t="b">
        <v>0</v>
      </c>
      <c r="AN213" s="16" t="b">
        <v>0</v>
      </c>
      <c r="AO213" s="16" t="b">
        <v>0</v>
      </c>
      <c r="AP213" s="16" t="b">
        <v>0</v>
      </c>
      <c r="AQ213" s="17">
        <f t="shared" si="9"/>
        <v>0.2</v>
      </c>
      <c r="AR213" s="12">
        <f t="shared" si="10"/>
        <v>27020.48</v>
      </c>
      <c r="AS213" s="18">
        <f t="shared" si="11"/>
        <v>0</v>
      </c>
      <c r="AT213" s="12">
        <f t="shared" si="12"/>
        <v>4135.239999999998</v>
      </c>
      <c r="AU213" s="18">
        <f t="shared" si="13"/>
        <v>0</v>
      </c>
      <c r="AV213" s="19">
        <f t="shared" si="14"/>
        <v>0.15304095264036752</v>
      </c>
      <c r="AW213" s="20" t="str">
        <f t="shared" si="15"/>
        <v>May</v>
      </c>
      <c r="AX213" s="21">
        <f t="shared" si="16"/>
        <v>2024</v>
      </c>
    </row>
    <row r="214" spans="1:50" ht="15.75" customHeight="1">
      <c r="A214" s="10" t="s">
        <v>773</v>
      </c>
      <c r="B214" s="11">
        <v>45556</v>
      </c>
      <c r="C214" s="11">
        <v>45556</v>
      </c>
      <c r="D214" s="10" t="s">
        <v>774</v>
      </c>
      <c r="E214" s="10" t="s">
        <v>91</v>
      </c>
      <c r="F214" s="10" t="s">
        <v>66</v>
      </c>
      <c r="G214" s="10" t="s">
        <v>67</v>
      </c>
      <c r="H214" s="10" t="s">
        <v>68</v>
      </c>
      <c r="I214" s="10" t="s">
        <v>69</v>
      </c>
      <c r="J214" s="10" t="s">
        <v>103</v>
      </c>
      <c r="K214" s="10" t="s">
        <v>200</v>
      </c>
      <c r="L214" s="10" t="s">
        <v>775</v>
      </c>
      <c r="M214" s="10" t="s">
        <v>73</v>
      </c>
      <c r="N214" s="12">
        <v>2</v>
      </c>
      <c r="O214" s="12">
        <v>214.5</v>
      </c>
      <c r="P214" s="12">
        <v>0.15</v>
      </c>
      <c r="Q214" s="12">
        <v>364.65</v>
      </c>
      <c r="R214" s="12">
        <v>280.74</v>
      </c>
      <c r="S214" s="12">
        <v>83.91</v>
      </c>
      <c r="T214" s="10" t="s">
        <v>61</v>
      </c>
      <c r="U214" s="13" t="s">
        <v>62</v>
      </c>
      <c r="V214" s="14" t="e">
        <f t="shared" ca="1" si="0"/>
        <v>#NAME?</v>
      </c>
      <c r="W214" s="10" t="str">
        <f ca="1">IFERROR(__xludf.DUMMYFUNCTION("IF(COUNTIF($A:$A,A208)=1,
""Unique"",
IF(COUNTUNIQUE(FILTER($V$2:$V$934,$A$2:$A$934=A208))&gt;1,
""Conflicting Duplicate"",
""Exact Duplicate""))"),"Unique")</f>
        <v>Unique</v>
      </c>
      <c r="X214" s="10" t="b">
        <f t="shared" ca="1" si="1"/>
        <v>1</v>
      </c>
      <c r="Y214" s="10" t="str">
        <f t="shared" si="2"/>
        <v>Unique</v>
      </c>
      <c r="Z214" s="10"/>
      <c r="AA214" s="10" t="str">
        <f t="shared" si="3"/>
        <v>Clean</v>
      </c>
      <c r="AB214" s="15" t="str">
        <f t="shared" si="4"/>
        <v>Valid</v>
      </c>
      <c r="AC214" s="15">
        <v>0</v>
      </c>
      <c r="AD214" s="16" t="str">
        <f t="shared" si="5"/>
        <v>Valid</v>
      </c>
      <c r="AE214" s="16" t="str">
        <f t="shared" si="6"/>
        <v>Valid</v>
      </c>
      <c r="AF214" s="16" t="str">
        <f t="shared" ref="AF214:AG214" si="439">IF(ISNUMBER(B214),"Valid","Invalid")</f>
        <v>Valid</v>
      </c>
      <c r="AG214" s="16" t="str">
        <f t="shared" si="439"/>
        <v>Valid</v>
      </c>
      <c r="AH214" s="16" t="str">
        <f t="shared" ref="AH214:AI214" si="440">IF(OR(B214="",ISBLANK(B214)),"Missing","Valid")</f>
        <v>Valid</v>
      </c>
      <c r="AI214" s="16" t="str">
        <f t="shared" si="440"/>
        <v>Valid</v>
      </c>
      <c r="AJ214" s="16" t="b">
        <v>0</v>
      </c>
      <c r="AK214" s="16" t="b">
        <v>0</v>
      </c>
      <c r="AL214" s="16" t="b">
        <v>0</v>
      </c>
      <c r="AM214" s="16" t="b">
        <v>0</v>
      </c>
      <c r="AN214" s="16" t="b">
        <v>0</v>
      </c>
      <c r="AO214" s="16" t="b">
        <v>0</v>
      </c>
      <c r="AP214" s="16" t="b">
        <v>0</v>
      </c>
      <c r="AQ214" s="17">
        <f t="shared" si="9"/>
        <v>0.15</v>
      </c>
      <c r="AR214" s="12">
        <f t="shared" si="10"/>
        <v>364.65</v>
      </c>
      <c r="AS214" s="18">
        <f t="shared" si="11"/>
        <v>0</v>
      </c>
      <c r="AT214" s="12">
        <f t="shared" si="12"/>
        <v>83.909999999999968</v>
      </c>
      <c r="AU214" s="18">
        <f t="shared" si="13"/>
        <v>0</v>
      </c>
      <c r="AV214" s="19">
        <f t="shared" si="14"/>
        <v>0.23011106540518297</v>
      </c>
      <c r="AW214" s="20" t="str">
        <f t="shared" si="15"/>
        <v>September</v>
      </c>
      <c r="AX214" s="21">
        <f t="shared" si="16"/>
        <v>2024</v>
      </c>
    </row>
    <row r="215" spans="1:50" ht="15.75" customHeight="1">
      <c r="A215" s="10" t="s">
        <v>776</v>
      </c>
      <c r="B215" s="11">
        <v>45427</v>
      </c>
      <c r="C215" s="11">
        <v>45433</v>
      </c>
      <c r="D215" s="10" t="s">
        <v>777</v>
      </c>
      <c r="E215" s="10" t="s">
        <v>76</v>
      </c>
      <c r="F215" s="10" t="s">
        <v>66</v>
      </c>
      <c r="G215" s="10" t="s">
        <v>67</v>
      </c>
      <c r="H215" s="10" t="s">
        <v>174</v>
      </c>
      <c r="I215" s="10" t="s">
        <v>175</v>
      </c>
      <c r="J215" s="10" t="s">
        <v>103</v>
      </c>
      <c r="K215" s="10" t="s">
        <v>104</v>
      </c>
      <c r="L215" s="10" t="s">
        <v>778</v>
      </c>
      <c r="M215" s="10" t="s">
        <v>60</v>
      </c>
      <c r="N215" s="12">
        <v>4</v>
      </c>
      <c r="O215" s="12">
        <v>4332.7299999999996</v>
      </c>
      <c r="P215" s="12">
        <v>0.2</v>
      </c>
      <c r="Q215" s="12">
        <v>13864.74</v>
      </c>
      <c r="R215" s="12">
        <v>11294.06</v>
      </c>
      <c r="S215" s="12">
        <v>2570.6799999999998</v>
      </c>
      <c r="T215" s="10" t="s">
        <v>61</v>
      </c>
      <c r="U215" s="13" t="s">
        <v>62</v>
      </c>
      <c r="V215" s="14" t="e">
        <f t="shared" ca="1" si="0"/>
        <v>#NAME?</v>
      </c>
      <c r="W215" s="10" t="str">
        <f ca="1">IFERROR(__xludf.DUMMYFUNCTION("IF(COUNTIF($A:$A,A209)=1,
""Unique"",
IF(COUNTUNIQUE(FILTER($V$2:$V$934,$A$2:$A$934=A209))&gt;1,
""Conflicting Duplicate"",
""Exact Duplicate""))"),"Unique")</f>
        <v>Unique</v>
      </c>
      <c r="X215" s="10" t="b">
        <f t="shared" ca="1" si="1"/>
        <v>1</v>
      </c>
      <c r="Y215" s="10" t="str">
        <f t="shared" si="2"/>
        <v>Unique</v>
      </c>
      <c r="Z215" s="10"/>
      <c r="AA215" s="10" t="str">
        <f t="shared" si="3"/>
        <v>Clean</v>
      </c>
      <c r="AB215" s="15" t="str">
        <f t="shared" si="4"/>
        <v>Valid</v>
      </c>
      <c r="AC215" s="15">
        <v>6</v>
      </c>
      <c r="AD215" s="16" t="str">
        <f t="shared" si="5"/>
        <v>Valid</v>
      </c>
      <c r="AE215" s="16" t="str">
        <f t="shared" si="6"/>
        <v>Valid</v>
      </c>
      <c r="AF215" s="16" t="str">
        <f t="shared" ref="AF215:AG215" si="441">IF(ISNUMBER(B215),"Valid","Invalid")</f>
        <v>Valid</v>
      </c>
      <c r="AG215" s="16" t="str">
        <f t="shared" si="441"/>
        <v>Valid</v>
      </c>
      <c r="AH215" s="16" t="str">
        <f t="shared" ref="AH215:AI215" si="442">IF(OR(B215="",ISBLANK(B215)),"Missing","Valid")</f>
        <v>Valid</v>
      </c>
      <c r="AI215" s="16" t="str">
        <f t="shared" si="442"/>
        <v>Valid</v>
      </c>
      <c r="AJ215" s="16" t="b">
        <v>0</v>
      </c>
      <c r="AK215" s="16" t="b">
        <v>0</v>
      </c>
      <c r="AL215" s="16" t="b">
        <v>0</v>
      </c>
      <c r="AM215" s="16" t="b">
        <v>0</v>
      </c>
      <c r="AN215" s="16" t="b">
        <v>0</v>
      </c>
      <c r="AO215" s="16" t="b">
        <v>0</v>
      </c>
      <c r="AP215" s="16" t="b">
        <v>0</v>
      </c>
      <c r="AQ215" s="17">
        <f t="shared" si="9"/>
        <v>0.2</v>
      </c>
      <c r="AR215" s="12">
        <f t="shared" si="10"/>
        <v>13864.735999999999</v>
      </c>
      <c r="AS215" s="18">
        <f t="shared" si="11"/>
        <v>4.0000000008149073E-3</v>
      </c>
      <c r="AT215" s="12">
        <f t="shared" si="12"/>
        <v>2570.6759999999995</v>
      </c>
      <c r="AU215" s="18">
        <f t="shared" si="13"/>
        <v>4.0000000003601599E-3</v>
      </c>
      <c r="AV215" s="19">
        <f t="shared" si="14"/>
        <v>0.18541110339208763</v>
      </c>
      <c r="AW215" s="20" t="str">
        <f t="shared" si="15"/>
        <v>May</v>
      </c>
      <c r="AX215" s="21">
        <f t="shared" si="16"/>
        <v>2024</v>
      </c>
    </row>
    <row r="216" spans="1:50" ht="15.75" customHeight="1">
      <c r="A216" s="10" t="s">
        <v>779</v>
      </c>
      <c r="B216" s="11">
        <v>45368</v>
      </c>
      <c r="C216" s="11">
        <v>45374</v>
      </c>
      <c r="D216" s="10" t="s">
        <v>780</v>
      </c>
      <c r="E216" s="10" t="s">
        <v>147</v>
      </c>
      <c r="F216" s="10" t="s">
        <v>53</v>
      </c>
      <c r="G216" s="10" t="s">
        <v>54</v>
      </c>
      <c r="H216" s="10" t="s">
        <v>266</v>
      </c>
      <c r="I216" s="10" t="s">
        <v>267</v>
      </c>
      <c r="J216" s="10" t="s">
        <v>103</v>
      </c>
      <c r="K216" s="10" t="s">
        <v>104</v>
      </c>
      <c r="L216" s="10" t="s">
        <v>781</v>
      </c>
      <c r="M216" s="10" t="s">
        <v>79</v>
      </c>
      <c r="N216" s="12">
        <v>3</v>
      </c>
      <c r="O216" s="12">
        <v>248.18</v>
      </c>
      <c r="P216" s="12">
        <v>0.05</v>
      </c>
      <c r="Q216" s="12">
        <v>707.31</v>
      </c>
      <c r="R216" s="12">
        <v>569</v>
      </c>
      <c r="S216" s="12">
        <v>138.31</v>
      </c>
      <c r="T216" s="10" t="s">
        <v>61</v>
      </c>
      <c r="U216" s="13" t="s">
        <v>62</v>
      </c>
      <c r="V216" s="14" t="e">
        <f t="shared" ca="1" si="0"/>
        <v>#NAME?</v>
      </c>
      <c r="W216" s="10" t="str">
        <f ca="1">IFERROR(__xludf.DUMMYFUNCTION("IF(COUNTIF($A:$A,A210)=1,
""Unique"",
IF(COUNTUNIQUE(FILTER($V$2:$V$934,$A$2:$A$934=A210))&gt;1,
""Conflicting Duplicate"",
""Exact Duplicate""))"),"Unique")</f>
        <v>Unique</v>
      </c>
      <c r="X216" s="10" t="b">
        <f t="shared" ca="1" si="1"/>
        <v>1</v>
      </c>
      <c r="Y216" s="10" t="str">
        <f t="shared" si="2"/>
        <v>Unique</v>
      </c>
      <c r="Z216" s="10"/>
      <c r="AA216" s="10" t="str">
        <f t="shared" si="3"/>
        <v>Clean</v>
      </c>
      <c r="AB216" s="15" t="str">
        <f t="shared" si="4"/>
        <v>Valid</v>
      </c>
      <c r="AC216" s="15">
        <v>6</v>
      </c>
      <c r="AD216" s="16" t="str">
        <f t="shared" si="5"/>
        <v>Valid</v>
      </c>
      <c r="AE216" s="16" t="str">
        <f t="shared" si="6"/>
        <v>Valid</v>
      </c>
      <c r="AF216" s="16" t="str">
        <f t="shared" ref="AF216:AG216" si="443">IF(ISNUMBER(B216),"Valid","Invalid")</f>
        <v>Valid</v>
      </c>
      <c r="AG216" s="16" t="str">
        <f t="shared" si="443"/>
        <v>Valid</v>
      </c>
      <c r="AH216" s="16" t="str">
        <f t="shared" ref="AH216:AI216" si="444">IF(OR(B216="",ISBLANK(B216)),"Missing","Valid")</f>
        <v>Valid</v>
      </c>
      <c r="AI216" s="16" t="str">
        <f t="shared" si="444"/>
        <v>Valid</v>
      </c>
      <c r="AJ216" s="16" t="b">
        <v>0</v>
      </c>
      <c r="AK216" s="16" t="b">
        <v>0</v>
      </c>
      <c r="AL216" s="16" t="b">
        <v>0</v>
      </c>
      <c r="AM216" s="16" t="b">
        <v>0</v>
      </c>
      <c r="AN216" s="16" t="b">
        <v>0</v>
      </c>
      <c r="AO216" s="16" t="b">
        <v>0</v>
      </c>
      <c r="AP216" s="16" t="b">
        <v>0</v>
      </c>
      <c r="AQ216" s="17">
        <f t="shared" si="9"/>
        <v>0.05</v>
      </c>
      <c r="AR216" s="12">
        <f t="shared" si="10"/>
        <v>707.31299999999999</v>
      </c>
      <c r="AS216" s="18">
        <f t="shared" si="11"/>
        <v>-3.0000000000427463E-3</v>
      </c>
      <c r="AT216" s="12">
        <f t="shared" si="12"/>
        <v>138.31299999999999</v>
      </c>
      <c r="AU216" s="18">
        <f t="shared" si="13"/>
        <v>-2.9999999999859028E-3</v>
      </c>
      <c r="AV216" s="19">
        <f t="shared" si="14"/>
        <v>0.19554709159876885</v>
      </c>
      <c r="AW216" s="20" t="str">
        <f t="shared" si="15"/>
        <v>March</v>
      </c>
      <c r="AX216" s="21">
        <f t="shared" si="16"/>
        <v>2024</v>
      </c>
    </row>
    <row r="217" spans="1:50" ht="15.75" customHeight="1">
      <c r="A217" s="10" t="s">
        <v>782</v>
      </c>
      <c r="B217" s="11">
        <v>45352</v>
      </c>
      <c r="C217" s="11">
        <v>45355</v>
      </c>
      <c r="D217" s="10" t="s">
        <v>783</v>
      </c>
      <c r="E217" s="10" t="s">
        <v>65</v>
      </c>
      <c r="F217" s="10" t="s">
        <v>53</v>
      </c>
      <c r="G217" s="10" t="s">
        <v>92</v>
      </c>
      <c r="H217" s="10" t="s">
        <v>101</v>
      </c>
      <c r="I217" s="10" t="s">
        <v>102</v>
      </c>
      <c r="J217" s="10" t="s">
        <v>57</v>
      </c>
      <c r="K217" s="10" t="s">
        <v>58</v>
      </c>
      <c r="L217" s="10" t="s">
        <v>784</v>
      </c>
      <c r="M217" s="10" t="s">
        <v>79</v>
      </c>
      <c r="N217" s="12">
        <v>8</v>
      </c>
      <c r="O217" s="12">
        <v>3202.4</v>
      </c>
      <c r="P217" s="12">
        <v>0.25</v>
      </c>
      <c r="Q217" s="12">
        <v>19214.400000000001</v>
      </c>
      <c r="R217" s="12">
        <v>10916.01</v>
      </c>
      <c r="S217" s="12">
        <v>8298.39</v>
      </c>
      <c r="T217" s="10" t="s">
        <v>61</v>
      </c>
      <c r="U217" s="13" t="s">
        <v>62</v>
      </c>
      <c r="V217" s="14" t="e">
        <f t="shared" ca="1" si="0"/>
        <v>#NAME?</v>
      </c>
      <c r="W217" s="10" t="str">
        <f ca="1">IFERROR(__xludf.DUMMYFUNCTION("IF(COUNTIF($A:$A,A211)=1,
""Unique"",
IF(COUNTUNIQUE(FILTER($V$2:$V$934,$A$2:$A$934=A211))&gt;1,
""Conflicting Duplicate"",
""Exact Duplicate""))"),"Unique")</f>
        <v>Unique</v>
      </c>
      <c r="X217" s="10" t="b">
        <f t="shared" ca="1" si="1"/>
        <v>1</v>
      </c>
      <c r="Y217" s="10" t="str">
        <f t="shared" si="2"/>
        <v>Unique</v>
      </c>
      <c r="Z217" s="10"/>
      <c r="AA217" s="10" t="str">
        <f t="shared" si="3"/>
        <v>Clean</v>
      </c>
      <c r="AB217" s="15" t="str">
        <f t="shared" si="4"/>
        <v>Valid</v>
      </c>
      <c r="AC217" s="15">
        <v>3</v>
      </c>
      <c r="AD217" s="16" t="str">
        <f t="shared" si="5"/>
        <v>Valid</v>
      </c>
      <c r="AE217" s="16" t="str">
        <f t="shared" si="6"/>
        <v>Valid</v>
      </c>
      <c r="AF217" s="16" t="str">
        <f t="shared" ref="AF217:AG217" si="445">IF(ISNUMBER(B217),"Valid","Invalid")</f>
        <v>Valid</v>
      </c>
      <c r="AG217" s="16" t="str">
        <f t="shared" si="445"/>
        <v>Valid</v>
      </c>
      <c r="AH217" s="16" t="str">
        <f t="shared" ref="AH217:AI217" si="446">IF(OR(B217="",ISBLANK(B217)),"Missing","Valid")</f>
        <v>Valid</v>
      </c>
      <c r="AI217" s="16" t="str">
        <f t="shared" si="446"/>
        <v>Valid</v>
      </c>
      <c r="AJ217" s="16" t="b">
        <v>0</v>
      </c>
      <c r="AK217" s="16" t="b">
        <v>0</v>
      </c>
      <c r="AL217" s="16" t="b">
        <v>0</v>
      </c>
      <c r="AM217" s="16" t="b">
        <v>0</v>
      </c>
      <c r="AN217" s="16" t="b">
        <v>0</v>
      </c>
      <c r="AO217" s="16" t="b">
        <v>0</v>
      </c>
      <c r="AP217" s="16" t="b">
        <v>0</v>
      </c>
      <c r="AQ217" s="17">
        <f t="shared" si="9"/>
        <v>0.25</v>
      </c>
      <c r="AR217" s="12">
        <f t="shared" si="10"/>
        <v>19214.400000000001</v>
      </c>
      <c r="AS217" s="18">
        <f t="shared" si="11"/>
        <v>0</v>
      </c>
      <c r="AT217" s="12">
        <f t="shared" si="12"/>
        <v>8298.3900000000012</v>
      </c>
      <c r="AU217" s="18">
        <f t="shared" si="13"/>
        <v>0</v>
      </c>
      <c r="AV217" s="19">
        <f t="shared" si="14"/>
        <v>0.43188389957531853</v>
      </c>
      <c r="AW217" s="20" t="str">
        <f t="shared" si="15"/>
        <v>March</v>
      </c>
      <c r="AX217" s="21">
        <f t="shared" si="16"/>
        <v>2024</v>
      </c>
    </row>
    <row r="218" spans="1:50" ht="15.75" customHeight="1">
      <c r="A218" s="10" t="s">
        <v>785</v>
      </c>
      <c r="B218" s="11">
        <v>45757</v>
      </c>
      <c r="C218" s="11">
        <v>45762</v>
      </c>
      <c r="D218" s="10" t="s">
        <v>786</v>
      </c>
      <c r="E218" s="10" t="s">
        <v>76</v>
      </c>
      <c r="F218" s="10" t="s">
        <v>53</v>
      </c>
      <c r="G218" s="10" t="s">
        <v>92</v>
      </c>
      <c r="H218" s="10" t="s">
        <v>209</v>
      </c>
      <c r="I218" s="10" t="s">
        <v>210</v>
      </c>
      <c r="J218" s="10" t="s">
        <v>70</v>
      </c>
      <c r="K218" s="10" t="s">
        <v>71</v>
      </c>
      <c r="L218" s="10" t="s">
        <v>787</v>
      </c>
      <c r="M218" s="10" t="s">
        <v>88</v>
      </c>
      <c r="N218" s="12">
        <v>8</v>
      </c>
      <c r="O218" s="12">
        <v>1839.87</v>
      </c>
      <c r="P218" s="12">
        <v>0.25</v>
      </c>
      <c r="Q218" s="12">
        <v>11039.22</v>
      </c>
      <c r="R218" s="12">
        <v>7642.91</v>
      </c>
      <c r="S218" s="12">
        <v>3396.31</v>
      </c>
      <c r="T218" s="10" t="s">
        <v>184</v>
      </c>
      <c r="U218" s="13" t="s">
        <v>132</v>
      </c>
      <c r="V218" s="14" t="e">
        <f t="shared" ca="1" si="0"/>
        <v>#NAME?</v>
      </c>
      <c r="W218" s="10" t="str">
        <f ca="1">IFERROR(__xludf.DUMMYFUNCTION("IF(COUNTIF($A:$A,A212)=1,
""Unique"",
IF(COUNTUNIQUE(FILTER($V$2:$V$934,$A$2:$A$934=A212))&gt;1,
""Conflicting Duplicate"",
""Exact Duplicate""))"),"Unique")</f>
        <v>Unique</v>
      </c>
      <c r="X218" s="10" t="b">
        <f t="shared" ca="1" si="1"/>
        <v>1</v>
      </c>
      <c r="Y218" s="10" t="str">
        <f t="shared" si="2"/>
        <v>Unique</v>
      </c>
      <c r="Z218" s="10"/>
      <c r="AA218" s="10" t="str">
        <f t="shared" si="3"/>
        <v>Clean</v>
      </c>
      <c r="AB218" s="15" t="str">
        <f t="shared" si="4"/>
        <v>Valid</v>
      </c>
      <c r="AC218" s="15">
        <v>5</v>
      </c>
      <c r="AD218" s="16" t="str">
        <f t="shared" si="5"/>
        <v>Valid</v>
      </c>
      <c r="AE218" s="16" t="str">
        <f t="shared" si="6"/>
        <v>Valid</v>
      </c>
      <c r="AF218" s="16" t="str">
        <f t="shared" ref="AF218:AG218" si="447">IF(ISNUMBER(B218),"Valid","Invalid")</f>
        <v>Valid</v>
      </c>
      <c r="AG218" s="16" t="str">
        <f t="shared" si="447"/>
        <v>Valid</v>
      </c>
      <c r="AH218" s="16" t="str">
        <f t="shared" ref="AH218:AI218" si="448">IF(OR(B218="",ISBLANK(B218)),"Missing","Valid")</f>
        <v>Valid</v>
      </c>
      <c r="AI218" s="16" t="str">
        <f t="shared" si="448"/>
        <v>Valid</v>
      </c>
      <c r="AJ218" s="16" t="b">
        <v>0</v>
      </c>
      <c r="AK218" s="16" t="b">
        <v>0</v>
      </c>
      <c r="AL218" s="16" t="b">
        <v>0</v>
      </c>
      <c r="AM218" s="16" t="b">
        <v>0</v>
      </c>
      <c r="AN218" s="16" t="b">
        <v>0</v>
      </c>
      <c r="AO218" s="16" t="b">
        <v>0</v>
      </c>
      <c r="AP218" s="16" t="b">
        <v>0</v>
      </c>
      <c r="AQ218" s="17">
        <f t="shared" si="9"/>
        <v>0.25</v>
      </c>
      <c r="AR218" s="12">
        <f t="shared" si="10"/>
        <v>11039.22</v>
      </c>
      <c r="AS218" s="18">
        <f t="shared" si="11"/>
        <v>0</v>
      </c>
      <c r="AT218" s="12">
        <f t="shared" si="12"/>
        <v>3396.3099999999995</v>
      </c>
      <c r="AU218" s="18">
        <f t="shared" si="13"/>
        <v>0</v>
      </c>
      <c r="AV218" s="19">
        <f t="shared" si="14"/>
        <v>0.30765851210502188</v>
      </c>
      <c r="AW218" s="20" t="str">
        <f t="shared" si="15"/>
        <v>April</v>
      </c>
      <c r="AX218" s="21">
        <f t="shared" si="16"/>
        <v>2025</v>
      </c>
    </row>
    <row r="219" spans="1:50" ht="15.75" customHeight="1">
      <c r="A219" s="10" t="s">
        <v>788</v>
      </c>
      <c r="B219" s="11">
        <v>45748</v>
      </c>
      <c r="C219" s="11">
        <v>45755</v>
      </c>
      <c r="D219" s="10" t="s">
        <v>789</v>
      </c>
      <c r="E219" s="10" t="s">
        <v>118</v>
      </c>
      <c r="F219" s="10" t="s">
        <v>53</v>
      </c>
      <c r="G219" s="10" t="s">
        <v>67</v>
      </c>
      <c r="H219" s="10" t="s">
        <v>68</v>
      </c>
      <c r="I219" s="10" t="s">
        <v>69</v>
      </c>
      <c r="J219" s="10" t="s">
        <v>70</v>
      </c>
      <c r="K219" s="10" t="s">
        <v>187</v>
      </c>
      <c r="L219" s="10" t="s">
        <v>790</v>
      </c>
      <c r="M219" s="10" t="s">
        <v>60</v>
      </c>
      <c r="N219" s="12">
        <v>5</v>
      </c>
      <c r="O219" s="12">
        <v>1021.28</v>
      </c>
      <c r="P219" s="12">
        <v>0.1</v>
      </c>
      <c r="Q219" s="12">
        <v>4595.76</v>
      </c>
      <c r="R219" s="12">
        <v>3396.8</v>
      </c>
      <c r="S219" s="12">
        <v>1198.96</v>
      </c>
      <c r="T219" s="10" t="s">
        <v>131</v>
      </c>
      <c r="U219" s="13" t="s">
        <v>97</v>
      </c>
      <c r="V219" s="14" t="e">
        <f t="shared" ca="1" si="0"/>
        <v>#NAME?</v>
      </c>
      <c r="W219" s="10" t="str">
        <f ca="1">IFERROR(__xludf.DUMMYFUNCTION("IF(COUNTIF($A:$A,A213)=1,
""Unique"",
IF(COUNTUNIQUE(FILTER($V$2:$V$934,$A$2:$A$934=A213))&gt;1,
""Conflicting Duplicate"",
""Exact Duplicate""))"),"Unique")</f>
        <v>Unique</v>
      </c>
      <c r="X219" s="10" t="b">
        <f t="shared" ca="1" si="1"/>
        <v>1</v>
      </c>
      <c r="Y219" s="10" t="str">
        <f t="shared" si="2"/>
        <v>Unique</v>
      </c>
      <c r="Z219" s="10"/>
      <c r="AA219" s="10" t="str">
        <f t="shared" si="3"/>
        <v>Clean</v>
      </c>
      <c r="AB219" s="15" t="str">
        <f t="shared" si="4"/>
        <v>Valid</v>
      </c>
      <c r="AC219" s="15">
        <v>7</v>
      </c>
      <c r="AD219" s="16" t="str">
        <f t="shared" si="5"/>
        <v>Valid</v>
      </c>
      <c r="AE219" s="16" t="str">
        <f t="shared" si="6"/>
        <v>Valid</v>
      </c>
      <c r="AF219" s="16" t="str">
        <f t="shared" ref="AF219:AG219" si="449">IF(ISNUMBER(B219),"Valid","Invalid")</f>
        <v>Valid</v>
      </c>
      <c r="AG219" s="16" t="str">
        <f t="shared" si="449"/>
        <v>Valid</v>
      </c>
      <c r="AH219" s="16" t="str">
        <f t="shared" ref="AH219:AI219" si="450">IF(OR(B219="",ISBLANK(B219)),"Missing","Valid")</f>
        <v>Valid</v>
      </c>
      <c r="AI219" s="16" t="str">
        <f t="shared" si="450"/>
        <v>Valid</v>
      </c>
      <c r="AJ219" s="16" t="b">
        <v>0</v>
      </c>
      <c r="AK219" s="16" t="b">
        <v>0</v>
      </c>
      <c r="AL219" s="16" t="b">
        <v>0</v>
      </c>
      <c r="AM219" s="16" t="b">
        <v>0</v>
      </c>
      <c r="AN219" s="16" t="b">
        <v>0</v>
      </c>
      <c r="AO219" s="16" t="b">
        <v>0</v>
      </c>
      <c r="AP219" s="16" t="b">
        <v>0</v>
      </c>
      <c r="AQ219" s="17">
        <f t="shared" si="9"/>
        <v>0.1</v>
      </c>
      <c r="AR219" s="12">
        <f t="shared" si="10"/>
        <v>4595.76</v>
      </c>
      <c r="AS219" s="18">
        <f t="shared" si="11"/>
        <v>0</v>
      </c>
      <c r="AT219" s="12">
        <f t="shared" si="12"/>
        <v>1198.96</v>
      </c>
      <c r="AU219" s="18">
        <f t="shared" si="13"/>
        <v>0</v>
      </c>
      <c r="AV219" s="19">
        <f t="shared" si="14"/>
        <v>0.26088394520166414</v>
      </c>
      <c r="AW219" s="20" t="str">
        <f t="shared" si="15"/>
        <v>April</v>
      </c>
      <c r="AX219" s="21">
        <f t="shared" si="16"/>
        <v>2025</v>
      </c>
    </row>
    <row r="220" spans="1:50" ht="15.75" customHeight="1">
      <c r="A220" s="10" t="s">
        <v>791</v>
      </c>
      <c r="B220" s="11">
        <v>45714</v>
      </c>
      <c r="C220" s="11">
        <v>45715</v>
      </c>
      <c r="D220" s="10" t="s">
        <v>792</v>
      </c>
      <c r="E220" s="10" t="s">
        <v>143</v>
      </c>
      <c r="F220" s="10" t="s">
        <v>119</v>
      </c>
      <c r="G220" s="10" t="s">
        <v>92</v>
      </c>
      <c r="H220" s="10" t="s">
        <v>209</v>
      </c>
      <c r="I220" s="10" t="s">
        <v>210</v>
      </c>
      <c r="J220" s="10" t="s">
        <v>70</v>
      </c>
      <c r="K220" s="10" t="s">
        <v>187</v>
      </c>
      <c r="L220" s="10" t="s">
        <v>793</v>
      </c>
      <c r="M220" s="10" t="s">
        <v>88</v>
      </c>
      <c r="N220" s="12">
        <v>5</v>
      </c>
      <c r="O220" s="12">
        <v>258.27999999999997</v>
      </c>
      <c r="P220" s="12">
        <v>0</v>
      </c>
      <c r="Q220" s="12">
        <v>1291.4000000000001</v>
      </c>
      <c r="R220" s="12">
        <v>756.93</v>
      </c>
      <c r="S220" s="12">
        <v>534.47</v>
      </c>
      <c r="T220" s="10" t="s">
        <v>61</v>
      </c>
      <c r="U220" s="13" t="s">
        <v>62</v>
      </c>
      <c r="V220" s="14" t="e">
        <f t="shared" ca="1" si="0"/>
        <v>#NAME?</v>
      </c>
      <c r="W220" s="10" t="str">
        <f ca="1">IFERROR(__xludf.DUMMYFUNCTION("IF(COUNTIF($A:$A,A214)=1,
""Unique"",
IF(COUNTUNIQUE(FILTER($V$2:$V$934,$A$2:$A$934=A214))&gt;1,
""Conflicting Duplicate"",
""Exact Duplicate""))"),"Unique")</f>
        <v>Unique</v>
      </c>
      <c r="X220" s="10" t="b">
        <f t="shared" ca="1" si="1"/>
        <v>1</v>
      </c>
      <c r="Y220" s="10" t="str">
        <f t="shared" si="2"/>
        <v>Unique</v>
      </c>
      <c r="Z220" s="10"/>
      <c r="AA220" s="10" t="str">
        <f t="shared" si="3"/>
        <v>Clean</v>
      </c>
      <c r="AB220" s="15" t="str">
        <f t="shared" si="4"/>
        <v>Valid</v>
      </c>
      <c r="AC220" s="15">
        <v>1</v>
      </c>
      <c r="AD220" s="16" t="str">
        <f t="shared" si="5"/>
        <v>Valid</v>
      </c>
      <c r="AE220" s="16" t="str">
        <f t="shared" si="6"/>
        <v>Valid</v>
      </c>
      <c r="AF220" s="16" t="str">
        <f t="shared" ref="AF220:AG220" si="451">IF(ISNUMBER(B220),"Valid","Invalid")</f>
        <v>Valid</v>
      </c>
      <c r="AG220" s="16" t="str">
        <f t="shared" si="451"/>
        <v>Valid</v>
      </c>
      <c r="AH220" s="16" t="str">
        <f t="shared" ref="AH220:AI220" si="452">IF(OR(B220="",ISBLANK(B220)),"Missing","Valid")</f>
        <v>Valid</v>
      </c>
      <c r="AI220" s="16" t="str">
        <f t="shared" si="452"/>
        <v>Valid</v>
      </c>
      <c r="AJ220" s="16" t="b">
        <v>0</v>
      </c>
      <c r="AK220" s="16" t="b">
        <v>0</v>
      </c>
      <c r="AL220" s="16" t="b">
        <v>0</v>
      </c>
      <c r="AM220" s="16" t="b">
        <v>0</v>
      </c>
      <c r="AN220" s="16" t="b">
        <v>0</v>
      </c>
      <c r="AO220" s="16" t="b">
        <v>0</v>
      </c>
      <c r="AP220" s="16" t="b">
        <v>0</v>
      </c>
      <c r="AQ220" s="17">
        <f t="shared" si="9"/>
        <v>0</v>
      </c>
      <c r="AR220" s="12">
        <f t="shared" si="10"/>
        <v>1291.3999999999999</v>
      </c>
      <c r="AS220" s="18">
        <f t="shared" si="11"/>
        <v>0</v>
      </c>
      <c r="AT220" s="12">
        <f t="shared" si="12"/>
        <v>534.46999999999991</v>
      </c>
      <c r="AU220" s="18">
        <f t="shared" si="13"/>
        <v>0</v>
      </c>
      <c r="AV220" s="19">
        <f t="shared" si="14"/>
        <v>0.41386866966083319</v>
      </c>
      <c r="AW220" s="20" t="str">
        <f t="shared" si="15"/>
        <v>February</v>
      </c>
      <c r="AX220" s="21">
        <f t="shared" si="16"/>
        <v>2025</v>
      </c>
    </row>
    <row r="221" spans="1:50" ht="15.75" customHeight="1">
      <c r="A221" s="10" t="s">
        <v>794</v>
      </c>
      <c r="B221" s="11">
        <v>45461</v>
      </c>
      <c r="C221" s="11">
        <v>45462</v>
      </c>
      <c r="D221" s="10" t="s">
        <v>795</v>
      </c>
      <c r="E221" s="10" t="s">
        <v>147</v>
      </c>
      <c r="F221" s="10" t="s">
        <v>53</v>
      </c>
      <c r="G221" s="10" t="s">
        <v>67</v>
      </c>
      <c r="H221" s="10" t="s">
        <v>174</v>
      </c>
      <c r="I221" s="10" t="s">
        <v>175</v>
      </c>
      <c r="J221" s="10" t="s">
        <v>103</v>
      </c>
      <c r="K221" s="10" t="s">
        <v>304</v>
      </c>
      <c r="L221" s="10" t="s">
        <v>796</v>
      </c>
      <c r="M221" s="10" t="s">
        <v>79</v>
      </c>
      <c r="N221" s="12">
        <v>2</v>
      </c>
      <c r="O221" s="12">
        <v>121.49</v>
      </c>
      <c r="P221" s="10" t="s">
        <v>797</v>
      </c>
      <c r="Q221" s="12">
        <v>242.98</v>
      </c>
      <c r="R221" s="12">
        <v>161.41999999999999</v>
      </c>
      <c r="S221" s="12">
        <v>81.56</v>
      </c>
      <c r="T221" s="10" t="s">
        <v>61</v>
      </c>
      <c r="U221" s="13" t="s">
        <v>62</v>
      </c>
      <c r="V221" s="14" t="e">
        <f t="shared" ca="1" si="0"/>
        <v>#NAME?</v>
      </c>
      <c r="W221" s="10" t="str">
        <f ca="1">IFERROR(__xludf.DUMMYFUNCTION("IF(COUNTIF($A:$A,A215)=1,
""Unique"",
IF(COUNTUNIQUE(FILTER($V$2:$V$934,$A$2:$A$934=A215))&gt;1,
""Conflicting Duplicate"",
""Exact Duplicate""))"),"Unique")</f>
        <v>Unique</v>
      </c>
      <c r="X221" s="10" t="b">
        <f t="shared" ca="1" si="1"/>
        <v>1</v>
      </c>
      <c r="Y221" s="10" t="str">
        <f t="shared" si="2"/>
        <v>Unique</v>
      </c>
      <c r="Z221" s="10"/>
      <c r="AA221" s="10" t="str">
        <f t="shared" si="3"/>
        <v>Invalid</v>
      </c>
      <c r="AB221" s="15" t="str">
        <f t="shared" si="4"/>
        <v>Valid</v>
      </c>
      <c r="AC221" s="15">
        <v>1</v>
      </c>
      <c r="AD221" s="16" t="str">
        <f t="shared" si="5"/>
        <v>Valid</v>
      </c>
      <c r="AE221" s="16" t="str">
        <f t="shared" si="6"/>
        <v>Valid</v>
      </c>
      <c r="AF221" s="16" t="str">
        <f t="shared" ref="AF221:AG221" si="453">IF(ISNUMBER(B221),"Valid","Invalid")</f>
        <v>Valid</v>
      </c>
      <c r="AG221" s="16" t="str">
        <f t="shared" si="453"/>
        <v>Valid</v>
      </c>
      <c r="AH221" s="16" t="str">
        <f t="shared" ref="AH221:AI221" si="454">IF(OR(B221="",ISBLANK(B221)),"Missing","Valid")</f>
        <v>Valid</v>
      </c>
      <c r="AI221" s="16" t="str">
        <f t="shared" si="454"/>
        <v>Valid</v>
      </c>
      <c r="AJ221" s="16" t="b">
        <v>0</v>
      </c>
      <c r="AK221" s="16" t="b">
        <v>0</v>
      </c>
      <c r="AL221" s="16" t="b">
        <v>0</v>
      </c>
      <c r="AM221" s="16" t="b">
        <v>0</v>
      </c>
      <c r="AN221" s="16" t="b">
        <v>0</v>
      </c>
      <c r="AO221" s="16" t="b">
        <v>0</v>
      </c>
      <c r="AP221" s="16" t="b">
        <v>0</v>
      </c>
      <c r="AQ221" s="17" t="str">
        <f t="shared" si="9"/>
        <v>85%</v>
      </c>
      <c r="AR221" s="12">
        <f t="shared" si="10"/>
        <v>36.447000000000003</v>
      </c>
      <c r="AS221" s="18">
        <f t="shared" si="11"/>
        <v>206.53299999999999</v>
      </c>
      <c r="AT221" s="12">
        <f t="shared" si="12"/>
        <v>-124.97299999999998</v>
      </c>
      <c r="AU221" s="18">
        <f t="shared" si="13"/>
        <v>206.53299999999999</v>
      </c>
      <c r="AV221" s="19">
        <f t="shared" si="14"/>
        <v>-3.4288967541910162</v>
      </c>
      <c r="AW221" s="20" t="str">
        <f t="shared" si="15"/>
        <v>June</v>
      </c>
      <c r="AX221" s="21">
        <f t="shared" si="16"/>
        <v>2024</v>
      </c>
    </row>
    <row r="222" spans="1:50" ht="15.75" customHeight="1">
      <c r="A222" s="10" t="s">
        <v>798</v>
      </c>
      <c r="B222" s="11">
        <v>45538</v>
      </c>
      <c r="C222" s="11">
        <v>45538</v>
      </c>
      <c r="D222" s="10" t="s">
        <v>799</v>
      </c>
      <c r="E222" s="10" t="s">
        <v>161</v>
      </c>
      <c r="F222" s="10" t="s">
        <v>53</v>
      </c>
      <c r="G222" s="10" t="s">
        <v>83</v>
      </c>
      <c r="H222" s="10" t="s">
        <v>214</v>
      </c>
      <c r="I222" s="10" t="s">
        <v>215</v>
      </c>
      <c r="J222" s="10" t="s">
        <v>57</v>
      </c>
      <c r="K222" s="10" t="s">
        <v>153</v>
      </c>
      <c r="L222" s="10" t="s">
        <v>800</v>
      </c>
      <c r="M222" s="10" t="s">
        <v>79</v>
      </c>
      <c r="N222" s="12">
        <v>4</v>
      </c>
      <c r="O222" s="12">
        <v>2810.17</v>
      </c>
      <c r="P222" s="12">
        <v>0.15</v>
      </c>
      <c r="Q222" s="12">
        <v>9554.58</v>
      </c>
      <c r="R222" s="12">
        <v>6068.47</v>
      </c>
      <c r="S222" s="12">
        <v>3486.11</v>
      </c>
      <c r="T222" s="10" t="s">
        <v>131</v>
      </c>
      <c r="U222" s="13" t="s">
        <v>97</v>
      </c>
      <c r="V222" s="14" t="e">
        <f t="shared" ca="1" si="0"/>
        <v>#NAME?</v>
      </c>
      <c r="W222" s="10" t="str">
        <f ca="1">IFERROR(__xludf.DUMMYFUNCTION("IF(COUNTIF($A:$A,A216)=1,
""Unique"",
IF(COUNTUNIQUE(FILTER($V$2:$V$934,$A$2:$A$934=A216))&gt;1,
""Conflicting Duplicate"",
""Exact Duplicate""))"),"Unique")</f>
        <v>Unique</v>
      </c>
      <c r="X222" s="10" t="b">
        <f t="shared" ca="1" si="1"/>
        <v>1</v>
      </c>
      <c r="Y222" s="10" t="str">
        <f t="shared" si="2"/>
        <v>Unique</v>
      </c>
      <c r="Z222" s="10"/>
      <c r="AA222" s="10" t="str">
        <f t="shared" si="3"/>
        <v>Clean</v>
      </c>
      <c r="AB222" s="15" t="str">
        <f t="shared" si="4"/>
        <v>Valid</v>
      </c>
      <c r="AC222" s="15">
        <v>0</v>
      </c>
      <c r="AD222" s="16" t="str">
        <f t="shared" si="5"/>
        <v>Valid</v>
      </c>
      <c r="AE222" s="16" t="str">
        <f t="shared" si="6"/>
        <v>Valid</v>
      </c>
      <c r="AF222" s="16" t="str">
        <f t="shared" ref="AF222:AG222" si="455">IF(ISNUMBER(B222),"Valid","Invalid")</f>
        <v>Valid</v>
      </c>
      <c r="AG222" s="16" t="str">
        <f t="shared" si="455"/>
        <v>Valid</v>
      </c>
      <c r="AH222" s="16" t="str">
        <f t="shared" ref="AH222:AI222" si="456">IF(OR(B222="",ISBLANK(B222)),"Missing","Valid")</f>
        <v>Valid</v>
      </c>
      <c r="AI222" s="16" t="str">
        <f t="shared" si="456"/>
        <v>Valid</v>
      </c>
      <c r="AJ222" s="16" t="b">
        <v>0</v>
      </c>
      <c r="AK222" s="16" t="b">
        <v>0</v>
      </c>
      <c r="AL222" s="16" t="b">
        <v>0</v>
      </c>
      <c r="AM222" s="16" t="b">
        <v>0</v>
      </c>
      <c r="AN222" s="16" t="b">
        <v>0</v>
      </c>
      <c r="AO222" s="16" t="b">
        <v>0</v>
      </c>
      <c r="AP222" s="16" t="b">
        <v>0</v>
      </c>
      <c r="AQ222" s="17">
        <f t="shared" si="9"/>
        <v>0.15</v>
      </c>
      <c r="AR222" s="12">
        <f t="shared" si="10"/>
        <v>9554.5779999999995</v>
      </c>
      <c r="AS222" s="18">
        <f t="shared" si="11"/>
        <v>2.0000000004074536E-3</v>
      </c>
      <c r="AT222" s="12">
        <f t="shared" si="12"/>
        <v>3486.1079999999993</v>
      </c>
      <c r="AU222" s="18">
        <f t="shared" si="13"/>
        <v>2.000000000862201E-3</v>
      </c>
      <c r="AV222" s="19">
        <f t="shared" si="14"/>
        <v>0.36486258210462036</v>
      </c>
      <c r="AW222" s="20" t="str">
        <f t="shared" si="15"/>
        <v>September</v>
      </c>
      <c r="AX222" s="21">
        <f t="shared" si="16"/>
        <v>2024</v>
      </c>
    </row>
    <row r="223" spans="1:50" ht="15.75" customHeight="1">
      <c r="A223" s="10" t="s">
        <v>801</v>
      </c>
      <c r="B223" s="11">
        <v>45669</v>
      </c>
      <c r="C223" s="11">
        <v>45672</v>
      </c>
      <c r="D223" s="10" t="s">
        <v>802</v>
      </c>
      <c r="E223" s="10" t="s">
        <v>65</v>
      </c>
      <c r="F223" s="10" t="s">
        <v>119</v>
      </c>
      <c r="G223" s="10" t="s">
        <v>83</v>
      </c>
      <c r="H223" s="10" t="s">
        <v>204</v>
      </c>
      <c r="I223" s="10" t="s">
        <v>205</v>
      </c>
      <c r="J223" s="10" t="s">
        <v>70</v>
      </c>
      <c r="K223" s="10" t="s">
        <v>95</v>
      </c>
      <c r="L223" s="10" t="s">
        <v>803</v>
      </c>
      <c r="M223" s="10" t="s">
        <v>73</v>
      </c>
      <c r="N223" s="12">
        <v>4</v>
      </c>
      <c r="O223" s="12">
        <v>1531.53</v>
      </c>
      <c r="P223" s="12">
        <v>0.2</v>
      </c>
      <c r="Q223" s="12">
        <v>4900.8999999999996</v>
      </c>
      <c r="R223" s="12">
        <v>3552.69</v>
      </c>
      <c r="S223" s="12">
        <v>1348.21</v>
      </c>
      <c r="T223" s="10" t="s">
        <v>61</v>
      </c>
      <c r="U223" s="13" t="s">
        <v>62</v>
      </c>
      <c r="V223" s="14" t="e">
        <f t="shared" ca="1" si="0"/>
        <v>#NAME?</v>
      </c>
      <c r="W223" s="10" t="str">
        <f ca="1">IFERROR(__xludf.DUMMYFUNCTION("IF(COUNTIF($A:$A,A217)=1,
""Unique"",
IF(COUNTUNIQUE(FILTER($V$2:$V$934,$A$2:$A$934=A217))&gt;1,
""Conflicting Duplicate"",
""Exact Duplicate""))"),"Unique")</f>
        <v>Unique</v>
      </c>
      <c r="X223" s="10" t="b">
        <f t="shared" ca="1" si="1"/>
        <v>1</v>
      </c>
      <c r="Y223" s="10" t="str">
        <f t="shared" si="2"/>
        <v>Unique</v>
      </c>
      <c r="Z223" s="10"/>
      <c r="AA223" s="10" t="str">
        <f t="shared" si="3"/>
        <v>Clean</v>
      </c>
      <c r="AB223" s="15" t="str">
        <f t="shared" si="4"/>
        <v>Valid</v>
      </c>
      <c r="AC223" s="15">
        <v>3</v>
      </c>
      <c r="AD223" s="16" t="str">
        <f t="shared" si="5"/>
        <v>Valid</v>
      </c>
      <c r="AE223" s="16" t="str">
        <f t="shared" si="6"/>
        <v>Valid</v>
      </c>
      <c r="AF223" s="16" t="str">
        <f t="shared" ref="AF223:AG223" si="457">IF(ISNUMBER(B223),"Valid","Invalid")</f>
        <v>Valid</v>
      </c>
      <c r="AG223" s="16" t="str">
        <f t="shared" si="457"/>
        <v>Valid</v>
      </c>
      <c r="AH223" s="16" t="str">
        <f t="shared" ref="AH223:AI223" si="458">IF(OR(B223="",ISBLANK(B223)),"Missing","Valid")</f>
        <v>Valid</v>
      </c>
      <c r="AI223" s="16" t="str">
        <f t="shared" si="458"/>
        <v>Valid</v>
      </c>
      <c r="AJ223" s="16" t="b">
        <v>0</v>
      </c>
      <c r="AK223" s="16" t="b">
        <v>0</v>
      </c>
      <c r="AL223" s="16" t="b">
        <v>0</v>
      </c>
      <c r="AM223" s="16" t="b">
        <v>0</v>
      </c>
      <c r="AN223" s="16" t="b">
        <v>0</v>
      </c>
      <c r="AO223" s="16" t="b">
        <v>0</v>
      </c>
      <c r="AP223" s="16" t="b">
        <v>0</v>
      </c>
      <c r="AQ223" s="17">
        <f t="shared" si="9"/>
        <v>0.2</v>
      </c>
      <c r="AR223" s="12">
        <f t="shared" si="10"/>
        <v>4900.8959999999997</v>
      </c>
      <c r="AS223" s="18">
        <f t="shared" si="11"/>
        <v>3.9999999999054126E-3</v>
      </c>
      <c r="AT223" s="12">
        <f t="shared" si="12"/>
        <v>1348.2059999999997</v>
      </c>
      <c r="AU223" s="18">
        <f t="shared" si="13"/>
        <v>4.0000000003601599E-3</v>
      </c>
      <c r="AV223" s="19">
        <f t="shared" si="14"/>
        <v>0.27509377877024932</v>
      </c>
      <c r="AW223" s="20" t="str">
        <f t="shared" si="15"/>
        <v>January</v>
      </c>
      <c r="AX223" s="21">
        <f t="shared" si="16"/>
        <v>2025</v>
      </c>
    </row>
    <row r="224" spans="1:50" ht="15.75" customHeight="1">
      <c r="A224" s="10" t="s">
        <v>804</v>
      </c>
      <c r="B224" s="11">
        <v>45776</v>
      </c>
      <c r="C224" s="11">
        <v>45779</v>
      </c>
      <c r="D224" s="10" t="s">
        <v>805</v>
      </c>
      <c r="E224" s="10" t="s">
        <v>100</v>
      </c>
      <c r="F224" s="10" t="s">
        <v>66</v>
      </c>
      <c r="G224" s="10" t="s">
        <v>92</v>
      </c>
      <c r="H224" s="10" t="s">
        <v>219</v>
      </c>
      <c r="I224" s="10" t="s">
        <v>220</v>
      </c>
      <c r="J224" s="10" t="s">
        <v>57</v>
      </c>
      <c r="K224" s="10" t="s">
        <v>153</v>
      </c>
      <c r="L224" s="10" t="s">
        <v>806</v>
      </c>
      <c r="M224" s="10" t="s">
        <v>79</v>
      </c>
      <c r="N224" s="12">
        <v>6</v>
      </c>
      <c r="O224" s="12">
        <v>4308.09</v>
      </c>
      <c r="P224" s="12">
        <v>0</v>
      </c>
      <c r="Q224" s="12">
        <v>25848.54</v>
      </c>
      <c r="R224" s="12">
        <v>17729.09</v>
      </c>
      <c r="S224" s="12">
        <v>8119.45</v>
      </c>
      <c r="T224" s="10" t="s">
        <v>61</v>
      </c>
      <c r="U224" s="13" t="s">
        <v>62</v>
      </c>
      <c r="V224" s="14" t="e">
        <f t="shared" ca="1" si="0"/>
        <v>#NAME?</v>
      </c>
      <c r="W224" s="10" t="str">
        <f ca="1">IFERROR(__xludf.DUMMYFUNCTION("IF(COUNTIF($A:$A,A218)=1,
""Unique"",
IF(COUNTUNIQUE(FILTER($V$2:$V$934,$A$2:$A$934=A218))&gt;1,
""Conflicting Duplicate"",
""Exact Duplicate""))"),"Unique")</f>
        <v>Unique</v>
      </c>
      <c r="X224" s="10" t="b">
        <f t="shared" ca="1" si="1"/>
        <v>1</v>
      </c>
      <c r="Y224" s="10" t="str">
        <f t="shared" si="2"/>
        <v>Unique</v>
      </c>
      <c r="Z224" s="10"/>
      <c r="AA224" s="10" t="str">
        <f t="shared" si="3"/>
        <v>Clean</v>
      </c>
      <c r="AB224" s="15" t="str">
        <f t="shared" si="4"/>
        <v>Valid</v>
      </c>
      <c r="AC224" s="15">
        <v>3</v>
      </c>
      <c r="AD224" s="16" t="str">
        <f t="shared" si="5"/>
        <v>Valid</v>
      </c>
      <c r="AE224" s="16" t="str">
        <f t="shared" si="6"/>
        <v>Valid</v>
      </c>
      <c r="AF224" s="16" t="str">
        <f t="shared" ref="AF224:AG224" si="459">IF(ISNUMBER(B224),"Valid","Invalid")</f>
        <v>Valid</v>
      </c>
      <c r="AG224" s="16" t="str">
        <f t="shared" si="459"/>
        <v>Valid</v>
      </c>
      <c r="AH224" s="16" t="str">
        <f t="shared" ref="AH224:AI224" si="460">IF(OR(B224="",ISBLANK(B224)),"Missing","Valid")</f>
        <v>Valid</v>
      </c>
      <c r="AI224" s="16" t="str">
        <f t="shared" si="460"/>
        <v>Valid</v>
      </c>
      <c r="AJ224" s="16" t="b">
        <v>0</v>
      </c>
      <c r="AK224" s="16" t="b">
        <v>0</v>
      </c>
      <c r="AL224" s="16" t="b">
        <v>0</v>
      </c>
      <c r="AM224" s="16" t="b">
        <v>0</v>
      </c>
      <c r="AN224" s="16" t="b">
        <v>0</v>
      </c>
      <c r="AO224" s="16" t="b">
        <v>0</v>
      </c>
      <c r="AP224" s="16" t="b">
        <v>0</v>
      </c>
      <c r="AQ224" s="17">
        <f t="shared" si="9"/>
        <v>0</v>
      </c>
      <c r="AR224" s="12">
        <f t="shared" si="10"/>
        <v>25848.54</v>
      </c>
      <c r="AS224" s="18">
        <f t="shared" si="11"/>
        <v>0</v>
      </c>
      <c r="AT224" s="12">
        <f t="shared" si="12"/>
        <v>8119.4500000000007</v>
      </c>
      <c r="AU224" s="18">
        <f t="shared" si="13"/>
        <v>0</v>
      </c>
      <c r="AV224" s="19">
        <f t="shared" si="14"/>
        <v>0.31411638723115504</v>
      </c>
      <c r="AW224" s="20" t="str">
        <f t="shared" si="15"/>
        <v>April</v>
      </c>
      <c r="AX224" s="21">
        <f t="shared" si="16"/>
        <v>2025</v>
      </c>
    </row>
    <row r="225" spans="1:50" ht="15.75" customHeight="1">
      <c r="A225" s="10" t="s">
        <v>807</v>
      </c>
      <c r="B225" s="11">
        <v>45707</v>
      </c>
      <c r="C225" s="11">
        <v>45714</v>
      </c>
      <c r="D225" s="10" t="s">
        <v>808</v>
      </c>
      <c r="E225" s="10" t="s">
        <v>65</v>
      </c>
      <c r="F225" s="10" t="s">
        <v>119</v>
      </c>
      <c r="G225" s="10" t="s">
        <v>92</v>
      </c>
      <c r="H225" s="10" t="s">
        <v>93</v>
      </c>
      <c r="I225" s="10" t="s">
        <v>94</v>
      </c>
      <c r="J225" s="10" t="s">
        <v>70</v>
      </c>
      <c r="K225" s="10" t="s">
        <v>86</v>
      </c>
      <c r="L225" s="10" t="s">
        <v>809</v>
      </c>
      <c r="M225" s="10" t="s">
        <v>79</v>
      </c>
      <c r="N225" s="12">
        <v>3</v>
      </c>
      <c r="O225" s="12">
        <v>490.3</v>
      </c>
      <c r="P225" s="12">
        <v>0.2</v>
      </c>
      <c r="Q225" s="12">
        <v>1176.72</v>
      </c>
      <c r="R225" s="12">
        <v>654.33000000000004</v>
      </c>
      <c r="S225" s="12">
        <v>522.39</v>
      </c>
      <c r="T225" s="10" t="s">
        <v>140</v>
      </c>
      <c r="U225" s="13" t="s">
        <v>132</v>
      </c>
      <c r="V225" s="14" t="e">
        <f t="shared" ca="1" si="0"/>
        <v>#NAME?</v>
      </c>
      <c r="W225" s="10" t="str">
        <f ca="1">IFERROR(__xludf.DUMMYFUNCTION("IF(COUNTIF($A:$A,A219)=1,
""Unique"",
IF(COUNTUNIQUE(FILTER($V$2:$V$934,$A$2:$A$934=A219))&gt;1,
""Conflicting Duplicate"",
""Exact Duplicate""))"),"Unique")</f>
        <v>Unique</v>
      </c>
      <c r="X225" s="10" t="b">
        <f t="shared" ca="1" si="1"/>
        <v>1</v>
      </c>
      <c r="Y225" s="10" t="str">
        <f t="shared" si="2"/>
        <v>Unique</v>
      </c>
      <c r="Z225" s="10"/>
      <c r="AA225" s="10" t="str">
        <f t="shared" si="3"/>
        <v>Clean</v>
      </c>
      <c r="AB225" s="15" t="str">
        <f t="shared" si="4"/>
        <v>Valid</v>
      </c>
      <c r="AC225" s="15">
        <v>7</v>
      </c>
      <c r="AD225" s="16" t="str">
        <f t="shared" si="5"/>
        <v>Valid</v>
      </c>
      <c r="AE225" s="16" t="str">
        <f t="shared" si="6"/>
        <v>Valid</v>
      </c>
      <c r="AF225" s="16" t="str">
        <f t="shared" ref="AF225:AG225" si="461">IF(ISNUMBER(B225),"Valid","Invalid")</f>
        <v>Valid</v>
      </c>
      <c r="AG225" s="16" t="str">
        <f t="shared" si="461"/>
        <v>Valid</v>
      </c>
      <c r="AH225" s="16" t="str">
        <f t="shared" ref="AH225:AI225" si="462">IF(OR(B225="",ISBLANK(B225)),"Missing","Valid")</f>
        <v>Valid</v>
      </c>
      <c r="AI225" s="16" t="str">
        <f t="shared" si="462"/>
        <v>Valid</v>
      </c>
      <c r="AJ225" s="16" t="b">
        <v>0</v>
      </c>
      <c r="AK225" s="16" t="b">
        <v>0</v>
      </c>
      <c r="AL225" s="16" t="b">
        <v>0</v>
      </c>
      <c r="AM225" s="16" t="b">
        <v>0</v>
      </c>
      <c r="AN225" s="16" t="b">
        <v>0</v>
      </c>
      <c r="AO225" s="16" t="b">
        <v>0</v>
      </c>
      <c r="AP225" s="16" t="b">
        <v>0</v>
      </c>
      <c r="AQ225" s="17">
        <f t="shared" si="9"/>
        <v>0.2</v>
      </c>
      <c r="AR225" s="12">
        <f t="shared" si="10"/>
        <v>1176.72</v>
      </c>
      <c r="AS225" s="18">
        <f t="shared" si="11"/>
        <v>0</v>
      </c>
      <c r="AT225" s="12">
        <f t="shared" si="12"/>
        <v>522.39</v>
      </c>
      <c r="AU225" s="18">
        <f t="shared" si="13"/>
        <v>0</v>
      </c>
      <c r="AV225" s="19">
        <f t="shared" si="14"/>
        <v>0.44393738527432181</v>
      </c>
      <c r="AW225" s="20" t="str">
        <f t="shared" si="15"/>
        <v>February</v>
      </c>
      <c r="AX225" s="21">
        <f t="shared" si="16"/>
        <v>2025</v>
      </c>
    </row>
    <row r="226" spans="1:50" ht="15.75" customHeight="1">
      <c r="A226" s="10" t="s">
        <v>810</v>
      </c>
      <c r="B226" s="11">
        <v>45932</v>
      </c>
      <c r="C226" s="11">
        <v>45938</v>
      </c>
      <c r="D226" s="10" t="s">
        <v>811</v>
      </c>
      <c r="E226" s="10" t="s">
        <v>76</v>
      </c>
      <c r="F226" s="10" t="s">
        <v>66</v>
      </c>
      <c r="G226" s="10" t="s">
        <v>54</v>
      </c>
      <c r="H226" s="10" t="s">
        <v>151</v>
      </c>
      <c r="I226" s="10" t="s">
        <v>152</v>
      </c>
      <c r="J226" s="10" t="s">
        <v>70</v>
      </c>
      <c r="K226" s="10" t="s">
        <v>86</v>
      </c>
      <c r="L226" s="10" t="s">
        <v>812</v>
      </c>
      <c r="M226" s="10" t="s">
        <v>88</v>
      </c>
      <c r="N226" s="12">
        <v>4</v>
      </c>
      <c r="O226" s="12">
        <v>3944.64</v>
      </c>
      <c r="P226" s="12">
        <v>0.25</v>
      </c>
      <c r="Q226" s="12">
        <v>11833.92</v>
      </c>
      <c r="R226" s="12">
        <v>6682.92</v>
      </c>
      <c r="S226" s="12">
        <v>5151</v>
      </c>
      <c r="T226" s="10" t="s">
        <v>61</v>
      </c>
      <c r="U226" s="13" t="s">
        <v>97</v>
      </c>
      <c r="V226" s="14" t="e">
        <f t="shared" ca="1" si="0"/>
        <v>#NAME?</v>
      </c>
      <c r="W226" s="10" t="str">
        <f ca="1">IFERROR(__xludf.DUMMYFUNCTION("IF(COUNTIF($A:$A,A220)=1,
""Unique"",
IF(COUNTUNIQUE(FILTER($V$2:$V$934,$A$2:$A$934=A220))&gt;1,
""Conflicting Duplicate"",
""Exact Duplicate""))"),"Unique")</f>
        <v>Unique</v>
      </c>
      <c r="X226" s="10" t="b">
        <f t="shared" ca="1" si="1"/>
        <v>1</v>
      </c>
      <c r="Y226" s="10" t="str">
        <f t="shared" si="2"/>
        <v>Duplicate Order ID</v>
      </c>
      <c r="Z226" s="10"/>
      <c r="AA226" s="10" t="str">
        <f t="shared" si="3"/>
        <v>Clean</v>
      </c>
      <c r="AB226" s="15" t="str">
        <f t="shared" si="4"/>
        <v>Valid</v>
      </c>
      <c r="AC226" s="15">
        <v>6</v>
      </c>
      <c r="AD226" s="16" t="str">
        <f t="shared" si="5"/>
        <v>Valid</v>
      </c>
      <c r="AE226" s="16" t="str">
        <f t="shared" si="6"/>
        <v>Valid</v>
      </c>
      <c r="AF226" s="16" t="str">
        <f t="shared" ref="AF226:AG226" si="463">IF(ISNUMBER(B226),"Valid","Invalid")</f>
        <v>Valid</v>
      </c>
      <c r="AG226" s="16" t="str">
        <f t="shared" si="463"/>
        <v>Valid</v>
      </c>
      <c r="AH226" s="16" t="str">
        <f t="shared" ref="AH226:AI226" si="464">IF(OR(B226="",ISBLANK(B226)),"Missing","Valid")</f>
        <v>Valid</v>
      </c>
      <c r="AI226" s="16" t="str">
        <f t="shared" si="464"/>
        <v>Valid</v>
      </c>
      <c r="AJ226" s="16" t="b">
        <v>0</v>
      </c>
      <c r="AK226" s="16" t="b">
        <v>0</v>
      </c>
      <c r="AL226" s="16" t="b">
        <v>0</v>
      </c>
      <c r="AM226" s="16" t="b">
        <v>0</v>
      </c>
      <c r="AN226" s="16" t="b">
        <v>0</v>
      </c>
      <c r="AO226" s="16" t="b">
        <v>0</v>
      </c>
      <c r="AP226" s="16" t="b">
        <v>0</v>
      </c>
      <c r="AQ226" s="17">
        <f t="shared" si="9"/>
        <v>0.25</v>
      </c>
      <c r="AR226" s="12">
        <f t="shared" si="10"/>
        <v>11833.92</v>
      </c>
      <c r="AS226" s="18">
        <f t="shared" si="11"/>
        <v>0</v>
      </c>
      <c r="AT226" s="12">
        <f t="shared" si="12"/>
        <v>5151</v>
      </c>
      <c r="AU226" s="18">
        <f t="shared" si="13"/>
        <v>0</v>
      </c>
      <c r="AV226" s="19">
        <f t="shared" si="14"/>
        <v>0.43527419485681834</v>
      </c>
      <c r="AW226" s="20" t="str">
        <f t="shared" si="15"/>
        <v>October</v>
      </c>
      <c r="AX226" s="21">
        <f t="shared" si="16"/>
        <v>2025</v>
      </c>
    </row>
    <row r="227" spans="1:50" ht="15.75" customHeight="1">
      <c r="A227" s="10" t="s">
        <v>813</v>
      </c>
      <c r="B227" s="11">
        <v>45537</v>
      </c>
      <c r="C227" s="11">
        <v>45545</v>
      </c>
      <c r="D227" s="10" t="s">
        <v>814</v>
      </c>
      <c r="E227" s="10" t="s">
        <v>65</v>
      </c>
      <c r="F227" s="10" t="s">
        <v>119</v>
      </c>
      <c r="G227" s="10" t="s">
        <v>92</v>
      </c>
      <c r="H227" s="10" t="s">
        <v>219</v>
      </c>
      <c r="I227" s="10" t="s">
        <v>220</v>
      </c>
      <c r="J227" s="10" t="s">
        <v>103</v>
      </c>
      <c r="K227" s="10" t="s">
        <v>200</v>
      </c>
      <c r="L227" s="10" t="s">
        <v>815</v>
      </c>
      <c r="M227" s="10" t="s">
        <v>88</v>
      </c>
      <c r="N227" s="12">
        <v>6</v>
      </c>
      <c r="O227" s="12">
        <v>1032.47</v>
      </c>
      <c r="P227" s="12">
        <v>0.15</v>
      </c>
      <c r="Q227" s="12">
        <v>5265.6</v>
      </c>
      <c r="R227" s="12">
        <v>4293.1099999999997</v>
      </c>
      <c r="S227" s="12">
        <v>787.57</v>
      </c>
      <c r="T227" s="10" t="s">
        <v>61</v>
      </c>
      <c r="U227" s="13" t="s">
        <v>62</v>
      </c>
      <c r="V227" s="14" t="e">
        <f t="shared" ca="1" si="0"/>
        <v>#NAME?</v>
      </c>
      <c r="W227" s="10" t="str">
        <f ca="1">IFERROR(__xludf.DUMMYFUNCTION("IF(COUNTIF($A:$A,A221)=1,
""Unique"",
IF(COUNTUNIQUE(FILTER($V$2:$V$934,$A$2:$A$934=A221))&gt;1,
""Conflicting Duplicate"",
""Exact Duplicate""))"),"Unique")</f>
        <v>Unique</v>
      </c>
      <c r="X227" s="10" t="b">
        <f t="shared" ca="1" si="1"/>
        <v>1</v>
      </c>
      <c r="Y227" s="10" t="str">
        <f t="shared" si="2"/>
        <v>Unique</v>
      </c>
      <c r="Z227" s="10"/>
      <c r="AA227" s="10" t="str">
        <f t="shared" si="3"/>
        <v>Clean</v>
      </c>
      <c r="AB227" s="15" t="str">
        <f t="shared" si="4"/>
        <v>Valid</v>
      </c>
      <c r="AC227" s="15">
        <v>8</v>
      </c>
      <c r="AD227" s="16" t="str">
        <f t="shared" si="5"/>
        <v>Valid</v>
      </c>
      <c r="AE227" s="16" t="str">
        <f t="shared" si="6"/>
        <v>Valid</v>
      </c>
      <c r="AF227" s="16" t="str">
        <f t="shared" ref="AF227:AG227" si="465">IF(ISNUMBER(B227),"Valid","Invalid")</f>
        <v>Valid</v>
      </c>
      <c r="AG227" s="16" t="str">
        <f t="shared" si="465"/>
        <v>Valid</v>
      </c>
      <c r="AH227" s="16" t="str">
        <f t="shared" ref="AH227:AI227" si="466">IF(OR(B227="",ISBLANK(B227)),"Missing","Valid")</f>
        <v>Valid</v>
      </c>
      <c r="AI227" s="16" t="str">
        <f t="shared" si="466"/>
        <v>Valid</v>
      </c>
      <c r="AJ227" s="16" t="b">
        <v>0</v>
      </c>
      <c r="AK227" s="16" t="b">
        <v>0</v>
      </c>
      <c r="AL227" s="16" t="b">
        <v>0</v>
      </c>
      <c r="AM227" s="16" t="b">
        <v>0</v>
      </c>
      <c r="AN227" s="16" t="b">
        <v>0</v>
      </c>
      <c r="AO227" s="16" t="b">
        <v>0</v>
      </c>
      <c r="AP227" s="16" t="b">
        <v>0</v>
      </c>
      <c r="AQ227" s="17">
        <f t="shared" si="9"/>
        <v>0.15</v>
      </c>
      <c r="AR227" s="12">
        <f t="shared" si="10"/>
        <v>5265.5969999999998</v>
      </c>
      <c r="AS227" s="18">
        <f t="shared" si="11"/>
        <v>3.0000000006111804E-3</v>
      </c>
      <c r="AT227" s="12">
        <f t="shared" si="12"/>
        <v>972.48700000000008</v>
      </c>
      <c r="AU227" s="18">
        <f t="shared" si="13"/>
        <v>-184.91700000000003</v>
      </c>
      <c r="AV227" s="19">
        <f t="shared" si="14"/>
        <v>0.18468694053114967</v>
      </c>
      <c r="AW227" s="20" t="str">
        <f t="shared" si="15"/>
        <v>September</v>
      </c>
      <c r="AX227" s="21">
        <f t="shared" si="16"/>
        <v>2024</v>
      </c>
    </row>
    <row r="228" spans="1:50" ht="15.75" customHeight="1">
      <c r="A228" s="10" t="s">
        <v>816</v>
      </c>
      <c r="B228" s="11">
        <v>45757</v>
      </c>
      <c r="C228" s="11">
        <v>45762</v>
      </c>
      <c r="D228" s="10" t="s">
        <v>817</v>
      </c>
      <c r="E228" s="10" t="s">
        <v>191</v>
      </c>
      <c r="F228" s="10" t="s">
        <v>124</v>
      </c>
      <c r="G228" s="10" t="s">
        <v>234</v>
      </c>
      <c r="H228" s="10" t="s">
        <v>214</v>
      </c>
      <c r="I228" s="10" t="s">
        <v>215</v>
      </c>
      <c r="J228" s="10" t="s">
        <v>103</v>
      </c>
      <c r="K228" s="10" t="s">
        <v>109</v>
      </c>
      <c r="L228" s="10" t="s">
        <v>818</v>
      </c>
      <c r="M228" s="10" t="s">
        <v>73</v>
      </c>
      <c r="N228" s="12">
        <v>1</v>
      </c>
      <c r="O228" s="12">
        <v>2208.27</v>
      </c>
      <c r="P228" s="12">
        <v>0.1</v>
      </c>
      <c r="Q228" s="12">
        <v>1987.44</v>
      </c>
      <c r="R228" s="12">
        <v>1110.23</v>
      </c>
      <c r="S228" s="12">
        <v>877.21</v>
      </c>
      <c r="T228" s="10" t="s">
        <v>61</v>
      </c>
      <c r="U228" s="13" t="s">
        <v>62</v>
      </c>
      <c r="V228" s="14" t="e">
        <f t="shared" ca="1" si="0"/>
        <v>#NAME?</v>
      </c>
      <c r="W228" s="10" t="str">
        <f ca="1">IFERROR(__xludf.DUMMYFUNCTION("IF(COUNTIF($A:$A,A222)=1,
""Unique"",
IF(COUNTUNIQUE(FILTER($V$2:$V$934,$A$2:$A$934=A222))&gt;1,
""Conflicting Duplicate"",
""Exact Duplicate""))"),"Unique")</f>
        <v>Unique</v>
      </c>
      <c r="X228" s="10" t="b">
        <f t="shared" ca="1" si="1"/>
        <v>1</v>
      </c>
      <c r="Y228" s="10" t="str">
        <f t="shared" si="2"/>
        <v>Unique</v>
      </c>
      <c r="Z228" s="10"/>
      <c r="AA228" s="10" t="str">
        <f t="shared" si="3"/>
        <v>Warning</v>
      </c>
      <c r="AB228" s="15" t="str">
        <f t="shared" si="4"/>
        <v>Valid</v>
      </c>
      <c r="AC228" s="15">
        <v>5</v>
      </c>
      <c r="AD228" s="16" t="str">
        <f t="shared" si="5"/>
        <v>Valid</v>
      </c>
      <c r="AE228" s="16" t="str">
        <f t="shared" si="6"/>
        <v>Valid</v>
      </c>
      <c r="AF228" s="16" t="str">
        <f t="shared" ref="AF228:AG228" si="467">IF(ISNUMBER(B228),"Valid","Invalid")</f>
        <v>Valid</v>
      </c>
      <c r="AG228" s="16" t="str">
        <f t="shared" si="467"/>
        <v>Valid</v>
      </c>
      <c r="AH228" s="16" t="str">
        <f t="shared" ref="AH228:AI228" si="468">IF(OR(B228="",ISBLANK(B228)),"Missing","Valid")</f>
        <v>Valid</v>
      </c>
      <c r="AI228" s="16" t="str">
        <f t="shared" si="468"/>
        <v>Valid</v>
      </c>
      <c r="AJ228" s="16" t="b">
        <v>1</v>
      </c>
      <c r="AK228" s="16" t="b">
        <v>0</v>
      </c>
      <c r="AL228" s="16" t="b">
        <v>0</v>
      </c>
      <c r="AM228" s="16" t="b">
        <v>0</v>
      </c>
      <c r="AN228" s="16" t="b">
        <v>0</v>
      </c>
      <c r="AO228" s="16" t="b">
        <v>0</v>
      </c>
      <c r="AP228" s="16" t="b">
        <v>1</v>
      </c>
      <c r="AQ228" s="17">
        <f t="shared" si="9"/>
        <v>0.1</v>
      </c>
      <c r="AR228" s="12">
        <f t="shared" si="10"/>
        <v>1987.443</v>
      </c>
      <c r="AS228" s="18">
        <f t="shared" si="11"/>
        <v>-2.9999999999290594E-3</v>
      </c>
      <c r="AT228" s="12">
        <f t="shared" si="12"/>
        <v>877.21299999999997</v>
      </c>
      <c r="AU228" s="18">
        <f t="shared" si="13"/>
        <v>-2.9999999999290594E-3</v>
      </c>
      <c r="AV228" s="19">
        <f t="shared" si="14"/>
        <v>0.44137768982556985</v>
      </c>
      <c r="AW228" s="20" t="str">
        <f t="shared" si="15"/>
        <v>April</v>
      </c>
      <c r="AX228" s="21">
        <f t="shared" si="16"/>
        <v>2025</v>
      </c>
    </row>
    <row r="229" spans="1:50" ht="15.75" customHeight="1">
      <c r="A229" s="10" t="s">
        <v>819</v>
      </c>
      <c r="B229" s="11">
        <v>45478</v>
      </c>
      <c r="C229" s="11">
        <v>45485</v>
      </c>
      <c r="D229" s="10" t="s">
        <v>820</v>
      </c>
      <c r="E229" s="10" t="s">
        <v>91</v>
      </c>
      <c r="F229" s="10" t="s">
        <v>66</v>
      </c>
      <c r="G229" s="10" t="s">
        <v>92</v>
      </c>
      <c r="H229" s="10" t="s">
        <v>219</v>
      </c>
      <c r="I229" s="10" t="s">
        <v>220</v>
      </c>
      <c r="J229" s="10" t="s">
        <v>57</v>
      </c>
      <c r="K229" s="10" t="s">
        <v>182</v>
      </c>
      <c r="L229" s="10" t="s">
        <v>821</v>
      </c>
      <c r="M229" s="10" t="s">
        <v>79</v>
      </c>
      <c r="N229" s="12">
        <v>3</v>
      </c>
      <c r="O229" s="12">
        <v>577.75</v>
      </c>
      <c r="P229" s="12">
        <v>0.15</v>
      </c>
      <c r="Q229" s="12">
        <v>1473.26</v>
      </c>
      <c r="R229" s="12">
        <v>899.86</v>
      </c>
      <c r="S229" s="12">
        <v>573.4</v>
      </c>
      <c r="T229" s="10" t="s">
        <v>61</v>
      </c>
      <c r="U229" s="13" t="s">
        <v>62</v>
      </c>
      <c r="V229" s="14" t="e">
        <f t="shared" ca="1" si="0"/>
        <v>#NAME?</v>
      </c>
      <c r="W229" s="10" t="str">
        <f ca="1">IFERROR(__xludf.DUMMYFUNCTION("IF(COUNTIF($A:$A,A223)=1,
""Unique"",
IF(COUNTUNIQUE(FILTER($V$2:$V$934,$A$2:$A$934=A223))&gt;1,
""Conflicting Duplicate"",
""Exact Duplicate""))"),"Unique")</f>
        <v>Unique</v>
      </c>
      <c r="X229" s="10" t="b">
        <f t="shared" ca="1" si="1"/>
        <v>1</v>
      </c>
      <c r="Y229" s="10" t="str">
        <f t="shared" si="2"/>
        <v>Unique</v>
      </c>
      <c r="Z229" s="10"/>
      <c r="AA229" s="10" t="str">
        <f t="shared" si="3"/>
        <v>Clean</v>
      </c>
      <c r="AB229" s="15" t="str">
        <f t="shared" si="4"/>
        <v>Valid</v>
      </c>
      <c r="AC229" s="15">
        <v>7</v>
      </c>
      <c r="AD229" s="16" t="str">
        <f t="shared" si="5"/>
        <v>Valid</v>
      </c>
      <c r="AE229" s="16" t="str">
        <f t="shared" si="6"/>
        <v>Valid</v>
      </c>
      <c r="AF229" s="16" t="str">
        <f t="shared" ref="AF229:AG229" si="469">IF(ISNUMBER(B229),"Valid","Invalid")</f>
        <v>Valid</v>
      </c>
      <c r="AG229" s="16" t="str">
        <f t="shared" si="469"/>
        <v>Valid</v>
      </c>
      <c r="AH229" s="16" t="str">
        <f t="shared" ref="AH229:AI229" si="470">IF(OR(B229="",ISBLANK(B229)),"Missing","Valid")</f>
        <v>Valid</v>
      </c>
      <c r="AI229" s="16" t="str">
        <f t="shared" si="470"/>
        <v>Valid</v>
      </c>
      <c r="AJ229" s="16" t="b">
        <v>0</v>
      </c>
      <c r="AK229" s="16" t="b">
        <v>0</v>
      </c>
      <c r="AL229" s="16" t="b">
        <v>0</v>
      </c>
      <c r="AM229" s="16" t="b">
        <v>0</v>
      </c>
      <c r="AN229" s="16" t="b">
        <v>0</v>
      </c>
      <c r="AO229" s="16" t="b">
        <v>0</v>
      </c>
      <c r="AP229" s="16" t="b">
        <v>0</v>
      </c>
      <c r="AQ229" s="17">
        <f t="shared" si="9"/>
        <v>0.15</v>
      </c>
      <c r="AR229" s="12">
        <f t="shared" si="10"/>
        <v>1473.2625</v>
      </c>
      <c r="AS229" s="18">
        <f t="shared" si="11"/>
        <v>-2.5000000000545697E-3</v>
      </c>
      <c r="AT229" s="12">
        <f t="shared" si="12"/>
        <v>573.40250000000003</v>
      </c>
      <c r="AU229" s="18">
        <f t="shared" si="13"/>
        <v>-2.5000000000545697E-3</v>
      </c>
      <c r="AV229" s="19">
        <f t="shared" si="14"/>
        <v>0.38920592901808065</v>
      </c>
      <c r="AW229" s="20" t="str">
        <f t="shared" si="15"/>
        <v>July</v>
      </c>
      <c r="AX229" s="21">
        <f t="shared" si="16"/>
        <v>2024</v>
      </c>
    </row>
    <row r="230" spans="1:50" ht="15.75" customHeight="1">
      <c r="A230" s="10" t="s">
        <v>822</v>
      </c>
      <c r="B230" s="11">
        <v>45406</v>
      </c>
      <c r="C230" s="11">
        <v>45410</v>
      </c>
      <c r="D230" s="10" t="s">
        <v>823</v>
      </c>
      <c r="E230" s="10" t="s">
        <v>52</v>
      </c>
      <c r="F230" s="10" t="s">
        <v>66</v>
      </c>
      <c r="G230" s="10" t="s">
        <v>83</v>
      </c>
      <c r="H230" s="10" t="s">
        <v>84</v>
      </c>
      <c r="I230" s="10" t="s">
        <v>85</v>
      </c>
      <c r="J230" s="10" t="s">
        <v>57</v>
      </c>
      <c r="K230" s="10" t="s">
        <v>120</v>
      </c>
      <c r="L230" s="10" t="s">
        <v>824</v>
      </c>
      <c r="M230" s="10" t="s">
        <v>60</v>
      </c>
      <c r="N230" s="12">
        <v>1</v>
      </c>
      <c r="O230" s="12">
        <v>3194.37</v>
      </c>
      <c r="P230" s="12">
        <v>0.15</v>
      </c>
      <c r="Q230" s="12">
        <v>2715.21</v>
      </c>
      <c r="R230" s="12">
        <v>1551.55</v>
      </c>
      <c r="S230" s="12">
        <v>1163.6600000000001</v>
      </c>
      <c r="T230" s="10" t="s">
        <v>61</v>
      </c>
      <c r="U230" s="13" t="s">
        <v>62</v>
      </c>
      <c r="V230" s="14" t="e">
        <f t="shared" ca="1" si="0"/>
        <v>#NAME?</v>
      </c>
      <c r="W230" s="10" t="str">
        <f ca="1">IFERROR(__xludf.DUMMYFUNCTION("IF(COUNTIF($A:$A,A224)=1,
""Unique"",
IF(COUNTUNIQUE(FILTER($V$2:$V$934,$A$2:$A$934=A224))&gt;1,
""Conflicting Duplicate"",
""Exact Duplicate""))"),"Unique")</f>
        <v>Unique</v>
      </c>
      <c r="X230" s="10" t="b">
        <f t="shared" ca="1" si="1"/>
        <v>1</v>
      </c>
      <c r="Y230" s="10" t="str">
        <f t="shared" si="2"/>
        <v>Unique</v>
      </c>
      <c r="Z230" s="10"/>
      <c r="AA230" s="10" t="str">
        <f t="shared" si="3"/>
        <v>Clean</v>
      </c>
      <c r="AB230" s="15" t="str">
        <f t="shared" si="4"/>
        <v>Valid</v>
      </c>
      <c r="AC230" s="15">
        <v>4</v>
      </c>
      <c r="AD230" s="16" t="str">
        <f t="shared" si="5"/>
        <v>Valid</v>
      </c>
      <c r="AE230" s="16" t="str">
        <f t="shared" si="6"/>
        <v>Valid</v>
      </c>
      <c r="AF230" s="16" t="str">
        <f t="shared" ref="AF230:AG230" si="471">IF(ISNUMBER(B230),"Valid","Invalid")</f>
        <v>Valid</v>
      </c>
      <c r="AG230" s="16" t="str">
        <f t="shared" si="471"/>
        <v>Valid</v>
      </c>
      <c r="AH230" s="16" t="str">
        <f t="shared" ref="AH230:AI230" si="472">IF(OR(B230="",ISBLANK(B230)),"Missing","Valid")</f>
        <v>Valid</v>
      </c>
      <c r="AI230" s="16" t="str">
        <f t="shared" si="472"/>
        <v>Valid</v>
      </c>
      <c r="AJ230" s="16" t="b">
        <v>0</v>
      </c>
      <c r="AK230" s="16" t="b">
        <v>0</v>
      </c>
      <c r="AL230" s="16" t="b">
        <v>0</v>
      </c>
      <c r="AM230" s="16" t="b">
        <v>0</v>
      </c>
      <c r="AN230" s="16" t="b">
        <v>0</v>
      </c>
      <c r="AO230" s="16" t="b">
        <v>0</v>
      </c>
      <c r="AP230" s="16" t="b">
        <v>0</v>
      </c>
      <c r="AQ230" s="17">
        <f t="shared" si="9"/>
        <v>0.15</v>
      </c>
      <c r="AR230" s="12">
        <f t="shared" si="10"/>
        <v>2715.2145</v>
      </c>
      <c r="AS230" s="18">
        <f t="shared" si="11"/>
        <v>-4.500000000007276E-3</v>
      </c>
      <c r="AT230" s="12">
        <f t="shared" si="12"/>
        <v>1163.6645000000001</v>
      </c>
      <c r="AU230" s="18">
        <f t="shared" si="13"/>
        <v>-4.500000000007276E-3</v>
      </c>
      <c r="AV230" s="19">
        <f t="shared" si="14"/>
        <v>0.42857184948003191</v>
      </c>
      <c r="AW230" s="20" t="str">
        <f t="shared" si="15"/>
        <v>April</v>
      </c>
      <c r="AX230" s="21">
        <f t="shared" si="16"/>
        <v>2024</v>
      </c>
    </row>
    <row r="231" spans="1:50" ht="15.75" customHeight="1">
      <c r="A231" s="10" t="s">
        <v>825</v>
      </c>
      <c r="B231" s="11">
        <v>45836</v>
      </c>
      <c r="C231" s="11">
        <v>45842</v>
      </c>
      <c r="D231" s="10" t="s">
        <v>826</v>
      </c>
      <c r="E231" s="10" t="s">
        <v>170</v>
      </c>
      <c r="F231" s="10" t="s">
        <v>53</v>
      </c>
      <c r="G231" s="10" t="s">
        <v>83</v>
      </c>
      <c r="H231" s="10" t="s">
        <v>84</v>
      </c>
      <c r="I231" s="10" t="s">
        <v>85</v>
      </c>
      <c r="J231" s="10" t="s">
        <v>70</v>
      </c>
      <c r="K231" s="10" t="s">
        <v>187</v>
      </c>
      <c r="L231" s="10" t="s">
        <v>827</v>
      </c>
      <c r="M231" s="10" t="s">
        <v>79</v>
      </c>
      <c r="N231" s="12">
        <v>3</v>
      </c>
      <c r="O231" s="12">
        <v>2886.23</v>
      </c>
      <c r="P231" s="12">
        <v>0</v>
      </c>
      <c r="Q231" s="12">
        <v>8658.69</v>
      </c>
      <c r="R231" s="12">
        <v>5535.94</v>
      </c>
      <c r="S231" s="12">
        <v>3122.75</v>
      </c>
      <c r="T231" s="10" t="s">
        <v>131</v>
      </c>
      <c r="U231" s="13" t="s">
        <v>132</v>
      </c>
      <c r="V231" s="14" t="e">
        <f t="shared" ca="1" si="0"/>
        <v>#NAME?</v>
      </c>
      <c r="W231" s="10" t="str">
        <f ca="1">IFERROR(__xludf.DUMMYFUNCTION("IF(COUNTIF($A:$A,A225)=1,
""Unique"",
IF(COUNTUNIQUE(FILTER($V$2:$V$934,$A$2:$A$934=A225))&gt;1,
""Conflicting Duplicate"",
""Exact Duplicate""))"),"Unique")</f>
        <v>Unique</v>
      </c>
      <c r="X231" s="10" t="b">
        <f t="shared" ca="1" si="1"/>
        <v>1</v>
      </c>
      <c r="Y231" s="10" t="str">
        <f t="shared" si="2"/>
        <v>Unique</v>
      </c>
      <c r="Z231" s="10"/>
      <c r="AA231" s="10" t="str">
        <f t="shared" si="3"/>
        <v>Clean</v>
      </c>
      <c r="AB231" s="15" t="str">
        <f t="shared" si="4"/>
        <v>Valid</v>
      </c>
      <c r="AC231" s="15">
        <v>6</v>
      </c>
      <c r="AD231" s="16" t="str">
        <f t="shared" si="5"/>
        <v>Valid</v>
      </c>
      <c r="AE231" s="16" t="str">
        <f t="shared" si="6"/>
        <v>Valid</v>
      </c>
      <c r="AF231" s="16" t="str">
        <f t="shared" ref="AF231:AG231" si="473">IF(ISNUMBER(B231),"Valid","Invalid")</f>
        <v>Valid</v>
      </c>
      <c r="AG231" s="16" t="str">
        <f t="shared" si="473"/>
        <v>Valid</v>
      </c>
      <c r="AH231" s="16" t="str">
        <f t="shared" ref="AH231:AI231" si="474">IF(OR(B231="",ISBLANK(B231)),"Missing","Valid")</f>
        <v>Valid</v>
      </c>
      <c r="AI231" s="16" t="str">
        <f t="shared" si="474"/>
        <v>Valid</v>
      </c>
      <c r="AJ231" s="16" t="b">
        <v>0</v>
      </c>
      <c r="AK231" s="16" t="b">
        <v>0</v>
      </c>
      <c r="AL231" s="16" t="b">
        <v>0</v>
      </c>
      <c r="AM231" s="16" t="b">
        <v>0</v>
      </c>
      <c r="AN231" s="16" t="b">
        <v>0</v>
      </c>
      <c r="AO231" s="16" t="b">
        <v>0</v>
      </c>
      <c r="AP231" s="16" t="b">
        <v>0</v>
      </c>
      <c r="AQ231" s="17">
        <f t="shared" si="9"/>
        <v>0</v>
      </c>
      <c r="AR231" s="12">
        <f t="shared" si="10"/>
        <v>8658.69</v>
      </c>
      <c r="AS231" s="18">
        <f t="shared" si="11"/>
        <v>0</v>
      </c>
      <c r="AT231" s="12">
        <f t="shared" si="12"/>
        <v>3122.7500000000009</v>
      </c>
      <c r="AU231" s="18">
        <f t="shared" si="13"/>
        <v>0</v>
      </c>
      <c r="AV231" s="19">
        <f t="shared" si="14"/>
        <v>0.36064924370776652</v>
      </c>
      <c r="AW231" s="20" t="str">
        <f t="shared" si="15"/>
        <v>June</v>
      </c>
      <c r="AX231" s="21">
        <f t="shared" si="16"/>
        <v>2025</v>
      </c>
    </row>
    <row r="232" spans="1:50" ht="15.75" customHeight="1">
      <c r="A232" s="10" t="s">
        <v>828</v>
      </c>
      <c r="B232" s="11">
        <v>45440</v>
      </c>
      <c r="C232" s="11">
        <v>45446</v>
      </c>
      <c r="D232" s="10" t="s">
        <v>829</v>
      </c>
      <c r="E232" s="10" t="s">
        <v>108</v>
      </c>
      <c r="F232" s="10" t="s">
        <v>66</v>
      </c>
      <c r="G232" s="10" t="s">
        <v>54</v>
      </c>
      <c r="H232" s="10" t="s">
        <v>55</v>
      </c>
      <c r="I232" s="10" t="s">
        <v>56</v>
      </c>
      <c r="J232" s="10" t="s">
        <v>57</v>
      </c>
      <c r="K232" s="10" t="s">
        <v>58</v>
      </c>
      <c r="L232" s="10" t="s">
        <v>830</v>
      </c>
      <c r="M232" s="10" t="s">
        <v>88</v>
      </c>
      <c r="N232" s="12">
        <v>8</v>
      </c>
      <c r="O232" s="12">
        <v>1540.33</v>
      </c>
      <c r="P232" s="12">
        <v>0.1</v>
      </c>
      <c r="Q232" s="12">
        <v>11090.38</v>
      </c>
      <c r="R232" s="12">
        <v>8840.9500000000007</v>
      </c>
      <c r="S232" s="12">
        <v>2249.4299999999998</v>
      </c>
      <c r="T232" s="10" t="s">
        <v>61</v>
      </c>
      <c r="U232" s="13" t="s">
        <v>62</v>
      </c>
      <c r="V232" s="14" t="e">
        <f t="shared" ca="1" si="0"/>
        <v>#NAME?</v>
      </c>
      <c r="W232" s="10" t="str">
        <f ca="1">IFERROR(__xludf.DUMMYFUNCTION("IF(COUNTIF($A:$A,A226)=1,
""Unique"",
IF(COUNTUNIQUE(FILTER($V$2:$V$934,$A$2:$A$934=A226))&gt;1,
""Conflicting Duplicate"",
""Exact Duplicate""))"),"Conflicting Duplicate")</f>
        <v>Conflicting Duplicate</v>
      </c>
      <c r="X232" s="10" t="b">
        <f t="shared" ca="1" si="1"/>
        <v>1</v>
      </c>
      <c r="Y232" s="10" t="str">
        <f t="shared" si="2"/>
        <v>Unique</v>
      </c>
      <c r="Z232" s="10"/>
      <c r="AA232" s="10" t="str">
        <f t="shared" si="3"/>
        <v>Clean</v>
      </c>
      <c r="AB232" s="15" t="str">
        <f t="shared" si="4"/>
        <v>Valid</v>
      </c>
      <c r="AC232" s="15">
        <v>6</v>
      </c>
      <c r="AD232" s="16" t="str">
        <f t="shared" si="5"/>
        <v>Valid</v>
      </c>
      <c r="AE232" s="16" t="str">
        <f t="shared" si="6"/>
        <v>Valid</v>
      </c>
      <c r="AF232" s="16" t="str">
        <f t="shared" ref="AF232:AG232" si="475">IF(ISNUMBER(B232),"Valid","Invalid")</f>
        <v>Valid</v>
      </c>
      <c r="AG232" s="16" t="str">
        <f t="shared" si="475"/>
        <v>Valid</v>
      </c>
      <c r="AH232" s="16" t="str">
        <f t="shared" ref="AH232:AI232" si="476">IF(OR(B232="",ISBLANK(B232)),"Missing","Valid")</f>
        <v>Valid</v>
      </c>
      <c r="AI232" s="16" t="str">
        <f t="shared" si="476"/>
        <v>Valid</v>
      </c>
      <c r="AJ232" s="16" t="b">
        <v>0</v>
      </c>
      <c r="AK232" s="16" t="b">
        <v>0</v>
      </c>
      <c r="AL232" s="16" t="b">
        <v>0</v>
      </c>
      <c r="AM232" s="16" t="b">
        <v>0</v>
      </c>
      <c r="AN232" s="16" t="b">
        <v>0</v>
      </c>
      <c r="AO232" s="16" t="b">
        <v>0</v>
      </c>
      <c r="AP232" s="16" t="b">
        <v>0</v>
      </c>
      <c r="AQ232" s="17">
        <f t="shared" si="9"/>
        <v>0.1</v>
      </c>
      <c r="AR232" s="12">
        <f t="shared" si="10"/>
        <v>11090.376</v>
      </c>
      <c r="AS232" s="18">
        <f t="shared" si="11"/>
        <v>3.9999999989959178E-3</v>
      </c>
      <c r="AT232" s="12">
        <f t="shared" si="12"/>
        <v>2249.4259999999995</v>
      </c>
      <c r="AU232" s="18">
        <f t="shared" si="13"/>
        <v>4.0000000003601599E-3</v>
      </c>
      <c r="AV232" s="19">
        <f t="shared" si="14"/>
        <v>0.20282684734944958</v>
      </c>
      <c r="AW232" s="20" t="str">
        <f t="shared" si="15"/>
        <v>May</v>
      </c>
      <c r="AX232" s="21">
        <f t="shared" si="16"/>
        <v>2024</v>
      </c>
    </row>
    <row r="233" spans="1:50" ht="15.75" customHeight="1">
      <c r="A233" s="10" t="s">
        <v>831</v>
      </c>
      <c r="B233" s="11">
        <v>45414</v>
      </c>
      <c r="C233" s="11">
        <v>45414</v>
      </c>
      <c r="D233" s="10" t="s">
        <v>832</v>
      </c>
      <c r="E233" s="10" t="s">
        <v>91</v>
      </c>
      <c r="F233" s="10" t="s">
        <v>119</v>
      </c>
      <c r="G233" s="10" t="s">
        <v>54</v>
      </c>
      <c r="H233" s="10" t="s">
        <v>55</v>
      </c>
      <c r="I233" s="10" t="s">
        <v>56</v>
      </c>
      <c r="J233" s="10" t="s">
        <v>57</v>
      </c>
      <c r="K233" s="10" t="s">
        <v>120</v>
      </c>
      <c r="L233" s="10" t="s">
        <v>833</v>
      </c>
      <c r="M233" s="10" t="s">
        <v>79</v>
      </c>
      <c r="N233" s="12">
        <v>7</v>
      </c>
      <c r="O233" s="12">
        <v>2183.38</v>
      </c>
      <c r="P233" s="12">
        <v>0.25</v>
      </c>
      <c r="Q233" s="12">
        <v>11462.74</v>
      </c>
      <c r="R233" s="12">
        <v>7163.54</v>
      </c>
      <c r="S233" s="12">
        <v>4299.2</v>
      </c>
      <c r="T233" s="10" t="s">
        <v>131</v>
      </c>
      <c r="U233" s="13" t="s">
        <v>97</v>
      </c>
      <c r="V233" s="14" t="e">
        <f t="shared" ca="1" si="0"/>
        <v>#NAME?</v>
      </c>
      <c r="W233" s="10" t="str">
        <f ca="1">IFERROR(__xludf.DUMMYFUNCTION("IF(COUNTIF($A:$A,A227)=1,
""Unique"",
IF(COUNTUNIQUE(FILTER($V$2:$V$934,$A$2:$A$934=A227))&gt;1,
""Conflicting Duplicate"",
""Exact Duplicate""))"),"Unique")</f>
        <v>Unique</v>
      </c>
      <c r="X233" s="10" t="b">
        <f t="shared" ca="1" si="1"/>
        <v>1</v>
      </c>
      <c r="Y233" s="10" t="str">
        <f t="shared" si="2"/>
        <v>Unique</v>
      </c>
      <c r="Z233" s="10"/>
      <c r="AA233" s="10" t="str">
        <f t="shared" si="3"/>
        <v>Clean</v>
      </c>
      <c r="AB233" s="15" t="str">
        <f t="shared" si="4"/>
        <v>Valid</v>
      </c>
      <c r="AC233" s="15">
        <v>0</v>
      </c>
      <c r="AD233" s="16" t="str">
        <f t="shared" si="5"/>
        <v>Valid</v>
      </c>
      <c r="AE233" s="16" t="str">
        <f t="shared" si="6"/>
        <v>Valid</v>
      </c>
      <c r="AF233" s="16" t="str">
        <f t="shared" ref="AF233:AG233" si="477">IF(ISNUMBER(B233),"Valid","Invalid")</f>
        <v>Valid</v>
      </c>
      <c r="AG233" s="16" t="str">
        <f t="shared" si="477"/>
        <v>Valid</v>
      </c>
      <c r="AH233" s="16" t="str">
        <f t="shared" ref="AH233:AI233" si="478">IF(OR(B233="",ISBLANK(B233)),"Missing","Valid")</f>
        <v>Valid</v>
      </c>
      <c r="AI233" s="16" t="str">
        <f t="shared" si="478"/>
        <v>Valid</v>
      </c>
      <c r="AJ233" s="16" t="b">
        <v>0</v>
      </c>
      <c r="AK233" s="16" t="b">
        <v>0</v>
      </c>
      <c r="AL233" s="16" t="b">
        <v>0</v>
      </c>
      <c r="AM233" s="16" t="b">
        <v>0</v>
      </c>
      <c r="AN233" s="16" t="b">
        <v>0</v>
      </c>
      <c r="AO233" s="16" t="b">
        <v>0</v>
      </c>
      <c r="AP233" s="16" t="b">
        <v>0</v>
      </c>
      <c r="AQ233" s="17">
        <f t="shared" si="9"/>
        <v>0.25</v>
      </c>
      <c r="AR233" s="12">
        <f t="shared" si="10"/>
        <v>11462.744999999999</v>
      </c>
      <c r="AS233" s="18">
        <f t="shared" si="11"/>
        <v>-4.9999999991996447E-3</v>
      </c>
      <c r="AT233" s="12">
        <f t="shared" si="12"/>
        <v>4299.204999999999</v>
      </c>
      <c r="AU233" s="18">
        <f t="shared" si="13"/>
        <v>-4.9999999991996447E-3</v>
      </c>
      <c r="AV233" s="19">
        <f t="shared" si="14"/>
        <v>0.37505894094302888</v>
      </c>
      <c r="AW233" s="20" t="str">
        <f t="shared" si="15"/>
        <v>May</v>
      </c>
      <c r="AX233" s="21">
        <f t="shared" si="16"/>
        <v>2024</v>
      </c>
    </row>
    <row r="234" spans="1:50" ht="15.75" customHeight="1">
      <c r="A234" s="10" t="s">
        <v>834</v>
      </c>
      <c r="B234" s="11">
        <v>45812</v>
      </c>
      <c r="C234" s="11">
        <v>45818</v>
      </c>
      <c r="D234" s="10" t="s">
        <v>835</v>
      </c>
      <c r="E234" s="10" t="s">
        <v>147</v>
      </c>
      <c r="F234" s="10" t="s">
        <v>53</v>
      </c>
      <c r="G234" s="10" t="s">
        <v>83</v>
      </c>
      <c r="H234" s="10" t="s">
        <v>113</v>
      </c>
      <c r="I234" s="10" t="s">
        <v>114</v>
      </c>
      <c r="J234" s="10" t="s">
        <v>103</v>
      </c>
      <c r="K234" s="10" t="s">
        <v>200</v>
      </c>
      <c r="L234" s="10" t="s">
        <v>836</v>
      </c>
      <c r="M234" s="10" t="s">
        <v>88</v>
      </c>
      <c r="N234" s="12">
        <v>4</v>
      </c>
      <c r="O234" s="12">
        <v>223.37</v>
      </c>
      <c r="P234" s="12">
        <v>0.25</v>
      </c>
      <c r="Q234" s="12">
        <v>670.11</v>
      </c>
      <c r="R234" s="12">
        <v>559.57000000000005</v>
      </c>
      <c r="S234" s="12">
        <v>110.54</v>
      </c>
      <c r="T234" s="10" t="s">
        <v>61</v>
      </c>
      <c r="U234" s="13" t="s">
        <v>62</v>
      </c>
      <c r="V234" s="14" t="e">
        <f t="shared" ca="1" si="0"/>
        <v>#NAME?</v>
      </c>
      <c r="W234" s="10" t="str">
        <f ca="1">IFERROR(__xludf.DUMMYFUNCTION("IF(COUNTIF($A:$A,A228)=1,
""Unique"",
IF(COUNTUNIQUE(FILTER($V$2:$V$934,$A$2:$A$934=A228))&gt;1,
""Conflicting Duplicate"",
""Exact Duplicate""))"),"Unique")</f>
        <v>Unique</v>
      </c>
      <c r="X234" s="10" t="b">
        <f t="shared" ca="1" si="1"/>
        <v>1</v>
      </c>
      <c r="Y234" s="10" t="str">
        <f t="shared" si="2"/>
        <v>Unique</v>
      </c>
      <c r="Z234" s="10"/>
      <c r="AA234" s="10" t="str">
        <f t="shared" si="3"/>
        <v>Clean</v>
      </c>
      <c r="AB234" s="15" t="str">
        <f t="shared" si="4"/>
        <v>Valid</v>
      </c>
      <c r="AC234" s="15">
        <v>6</v>
      </c>
      <c r="AD234" s="16" t="str">
        <f t="shared" si="5"/>
        <v>Valid</v>
      </c>
      <c r="AE234" s="16" t="str">
        <f t="shared" si="6"/>
        <v>Valid</v>
      </c>
      <c r="AF234" s="16" t="str">
        <f t="shared" ref="AF234:AG234" si="479">IF(ISNUMBER(B234),"Valid","Invalid")</f>
        <v>Valid</v>
      </c>
      <c r="AG234" s="16" t="str">
        <f t="shared" si="479"/>
        <v>Valid</v>
      </c>
      <c r="AH234" s="16" t="str">
        <f t="shared" ref="AH234:AI234" si="480">IF(OR(B234="",ISBLANK(B234)),"Missing","Valid")</f>
        <v>Valid</v>
      </c>
      <c r="AI234" s="16" t="str">
        <f t="shared" si="480"/>
        <v>Valid</v>
      </c>
      <c r="AJ234" s="16" t="b">
        <v>0</v>
      </c>
      <c r="AK234" s="16" t="b">
        <v>0</v>
      </c>
      <c r="AL234" s="16" t="b">
        <v>0</v>
      </c>
      <c r="AM234" s="16" t="b">
        <v>0</v>
      </c>
      <c r="AN234" s="16" t="b">
        <v>0</v>
      </c>
      <c r="AO234" s="16" t="b">
        <v>0</v>
      </c>
      <c r="AP234" s="16" t="b">
        <v>0</v>
      </c>
      <c r="AQ234" s="17">
        <f t="shared" si="9"/>
        <v>0.25</v>
      </c>
      <c r="AR234" s="12">
        <f t="shared" si="10"/>
        <v>670.11</v>
      </c>
      <c r="AS234" s="18">
        <f t="shared" si="11"/>
        <v>0</v>
      </c>
      <c r="AT234" s="12">
        <f t="shared" si="12"/>
        <v>110.53999999999996</v>
      </c>
      <c r="AU234" s="18">
        <f t="shared" si="13"/>
        <v>0</v>
      </c>
      <c r="AV234" s="19">
        <f t="shared" si="14"/>
        <v>0.16495799197146732</v>
      </c>
      <c r="AW234" s="20" t="str">
        <f t="shared" si="15"/>
        <v>June</v>
      </c>
      <c r="AX234" s="21">
        <f t="shared" si="16"/>
        <v>2025</v>
      </c>
    </row>
    <row r="235" spans="1:50" ht="15.75" customHeight="1">
      <c r="A235" s="10" t="s">
        <v>837</v>
      </c>
      <c r="B235" s="11">
        <v>45579</v>
      </c>
      <c r="C235" s="11">
        <v>45579</v>
      </c>
      <c r="D235" s="10" t="s">
        <v>838</v>
      </c>
      <c r="E235" s="10" t="s">
        <v>100</v>
      </c>
      <c r="F235" s="10" t="s">
        <v>119</v>
      </c>
      <c r="G235" s="10" t="s">
        <v>83</v>
      </c>
      <c r="H235" s="10" t="s">
        <v>204</v>
      </c>
      <c r="I235" s="10" t="s">
        <v>205</v>
      </c>
      <c r="J235" s="10" t="s">
        <v>70</v>
      </c>
      <c r="K235" s="10" t="s">
        <v>187</v>
      </c>
      <c r="L235" s="10" t="s">
        <v>839</v>
      </c>
      <c r="M235" s="10" t="s">
        <v>234</v>
      </c>
      <c r="N235" s="12">
        <v>8</v>
      </c>
      <c r="O235" s="12">
        <v>3904.59</v>
      </c>
      <c r="P235" s="12">
        <v>0</v>
      </c>
      <c r="Q235" s="12">
        <v>31236.720000000001</v>
      </c>
      <c r="R235" s="12">
        <v>26377.7</v>
      </c>
      <c r="S235" s="12">
        <v>4859.0200000000004</v>
      </c>
      <c r="T235" s="10" t="s">
        <v>61</v>
      </c>
      <c r="U235" s="13" t="s">
        <v>62</v>
      </c>
      <c r="V235" s="14" t="e">
        <f t="shared" ca="1" si="0"/>
        <v>#NAME?</v>
      </c>
      <c r="W235" s="10" t="str">
        <f ca="1">IFERROR(__xludf.DUMMYFUNCTION("IF(COUNTIF($A:$A,A229)=1,
""Unique"",
IF(COUNTUNIQUE(FILTER($V$2:$V$934,$A$2:$A$934=A229))&gt;1,
""Conflicting Duplicate"",
""Exact Duplicate""))"),"Unique")</f>
        <v>Unique</v>
      </c>
      <c r="X235" s="10" t="b">
        <f t="shared" ca="1" si="1"/>
        <v>1</v>
      </c>
      <c r="Y235" s="10" t="str">
        <f t="shared" si="2"/>
        <v>Unique</v>
      </c>
      <c r="Z235" s="10"/>
      <c r="AA235" s="10" t="str">
        <f t="shared" si="3"/>
        <v>Warning</v>
      </c>
      <c r="AB235" s="15" t="str">
        <f t="shared" si="4"/>
        <v>Valid</v>
      </c>
      <c r="AC235" s="15">
        <v>0</v>
      </c>
      <c r="AD235" s="16" t="str">
        <f t="shared" si="5"/>
        <v>Valid</v>
      </c>
      <c r="AE235" s="16" t="str">
        <f t="shared" si="6"/>
        <v>Valid</v>
      </c>
      <c r="AF235" s="16" t="str">
        <f t="shared" ref="AF235:AG235" si="481">IF(ISNUMBER(B235),"Valid","Invalid")</f>
        <v>Valid</v>
      </c>
      <c r="AG235" s="16" t="str">
        <f t="shared" si="481"/>
        <v>Valid</v>
      </c>
      <c r="AH235" s="16" t="str">
        <f t="shared" ref="AH235:AI235" si="482">IF(OR(B235="",ISBLANK(B235)),"Missing","Valid")</f>
        <v>Valid</v>
      </c>
      <c r="AI235" s="16" t="str">
        <f t="shared" si="482"/>
        <v>Valid</v>
      </c>
      <c r="AJ235" s="16" t="b">
        <v>0</v>
      </c>
      <c r="AK235" s="16" t="b">
        <v>1</v>
      </c>
      <c r="AL235" s="16" t="b">
        <v>0</v>
      </c>
      <c r="AM235" s="16" t="b">
        <v>0</v>
      </c>
      <c r="AN235" s="16" t="b">
        <v>0</v>
      </c>
      <c r="AO235" s="16" t="b">
        <v>0</v>
      </c>
      <c r="AP235" s="16" t="b">
        <v>1</v>
      </c>
      <c r="AQ235" s="17">
        <f t="shared" si="9"/>
        <v>0</v>
      </c>
      <c r="AR235" s="12">
        <f t="shared" si="10"/>
        <v>31236.720000000001</v>
      </c>
      <c r="AS235" s="18">
        <f t="shared" si="11"/>
        <v>0</v>
      </c>
      <c r="AT235" s="12">
        <f t="shared" si="12"/>
        <v>4859.0200000000004</v>
      </c>
      <c r="AU235" s="18">
        <f t="shared" si="13"/>
        <v>0</v>
      </c>
      <c r="AV235" s="19">
        <f t="shared" si="14"/>
        <v>0.15555474454424154</v>
      </c>
      <c r="AW235" s="20" t="str">
        <f t="shared" si="15"/>
        <v>October</v>
      </c>
      <c r="AX235" s="21">
        <f t="shared" si="16"/>
        <v>2024</v>
      </c>
    </row>
    <row r="236" spans="1:50" ht="15.75" customHeight="1">
      <c r="A236" s="10" t="s">
        <v>840</v>
      </c>
      <c r="B236" s="11">
        <v>45537</v>
      </c>
      <c r="C236" s="11">
        <v>45538</v>
      </c>
      <c r="D236" s="10" t="s">
        <v>841</v>
      </c>
      <c r="E236" s="10" t="s">
        <v>294</v>
      </c>
      <c r="F236" s="10" t="s">
        <v>124</v>
      </c>
      <c r="G236" s="10" t="s">
        <v>54</v>
      </c>
      <c r="H236" s="10" t="s">
        <v>380</v>
      </c>
      <c r="I236" s="10" t="s">
        <v>381</v>
      </c>
      <c r="J236" s="10" t="s">
        <v>70</v>
      </c>
      <c r="K236" s="10" t="s">
        <v>86</v>
      </c>
      <c r="L236" s="10" t="s">
        <v>842</v>
      </c>
      <c r="M236" s="10" t="s">
        <v>79</v>
      </c>
      <c r="N236" s="12">
        <v>9</v>
      </c>
      <c r="O236" s="12">
        <v>1353.61</v>
      </c>
      <c r="P236" s="12">
        <v>0.1</v>
      </c>
      <c r="Q236" s="12">
        <v>10964.24</v>
      </c>
      <c r="R236" s="12">
        <v>9262.4699999999993</v>
      </c>
      <c r="S236" s="12">
        <v>1701.77</v>
      </c>
      <c r="T236" s="10" t="s">
        <v>61</v>
      </c>
      <c r="U236" s="13" t="s">
        <v>62</v>
      </c>
      <c r="V236" s="14" t="e">
        <f t="shared" ca="1" si="0"/>
        <v>#NAME?</v>
      </c>
      <c r="W236" s="10" t="str">
        <f ca="1">IFERROR(__xludf.DUMMYFUNCTION("IF(COUNTIF($A:$A,A230)=1,
""Unique"",
IF(COUNTUNIQUE(FILTER($V$2:$V$934,$A$2:$A$934=A230))&gt;1,
""Conflicting Duplicate"",
""Exact Duplicate""))"),"Unique")</f>
        <v>Unique</v>
      </c>
      <c r="X236" s="10" t="b">
        <f t="shared" ca="1" si="1"/>
        <v>1</v>
      </c>
      <c r="Y236" s="10" t="str">
        <f t="shared" si="2"/>
        <v>Unique</v>
      </c>
      <c r="Z236" s="10"/>
      <c r="AA236" s="10" t="str">
        <f t="shared" si="3"/>
        <v>Clean</v>
      </c>
      <c r="AB236" s="15" t="str">
        <f t="shared" si="4"/>
        <v>Valid</v>
      </c>
      <c r="AC236" s="15">
        <v>1</v>
      </c>
      <c r="AD236" s="16" t="str">
        <f t="shared" si="5"/>
        <v>Valid</v>
      </c>
      <c r="AE236" s="16" t="str">
        <f t="shared" si="6"/>
        <v>Valid</v>
      </c>
      <c r="AF236" s="16" t="str">
        <f t="shared" ref="AF236:AG236" si="483">IF(ISNUMBER(B236),"Valid","Invalid")</f>
        <v>Valid</v>
      </c>
      <c r="AG236" s="16" t="str">
        <f t="shared" si="483"/>
        <v>Valid</v>
      </c>
      <c r="AH236" s="16" t="str">
        <f t="shared" ref="AH236:AI236" si="484">IF(OR(B236="",ISBLANK(B236)),"Missing","Valid")</f>
        <v>Valid</v>
      </c>
      <c r="AI236" s="16" t="str">
        <f t="shared" si="484"/>
        <v>Valid</v>
      </c>
      <c r="AJ236" s="16" t="b">
        <v>0</v>
      </c>
      <c r="AK236" s="16" t="b">
        <v>0</v>
      </c>
      <c r="AL236" s="16" t="b">
        <v>0</v>
      </c>
      <c r="AM236" s="16" t="b">
        <v>0</v>
      </c>
      <c r="AN236" s="16" t="b">
        <v>0</v>
      </c>
      <c r="AO236" s="16" t="b">
        <v>0</v>
      </c>
      <c r="AP236" s="16" t="b">
        <v>0</v>
      </c>
      <c r="AQ236" s="17">
        <f t="shared" si="9"/>
        <v>0.1</v>
      </c>
      <c r="AR236" s="12">
        <f t="shared" si="10"/>
        <v>10964.241</v>
      </c>
      <c r="AS236" s="18">
        <f t="shared" si="11"/>
        <v>-1.0000000002037268E-3</v>
      </c>
      <c r="AT236" s="12">
        <f t="shared" si="12"/>
        <v>1701.7710000000006</v>
      </c>
      <c r="AU236" s="18">
        <f t="shared" si="13"/>
        <v>-1.0000000006584742E-3</v>
      </c>
      <c r="AV236" s="19">
        <f t="shared" si="14"/>
        <v>0.15521101734265058</v>
      </c>
      <c r="AW236" s="20" t="str">
        <f t="shared" si="15"/>
        <v>September</v>
      </c>
      <c r="AX236" s="21">
        <f t="shared" si="16"/>
        <v>2024</v>
      </c>
    </row>
    <row r="237" spans="1:50" ht="15.75" customHeight="1">
      <c r="A237" s="10" t="s">
        <v>843</v>
      </c>
      <c r="B237" s="11">
        <v>45598</v>
      </c>
      <c r="C237" s="11">
        <v>45599</v>
      </c>
      <c r="D237" s="10" t="s">
        <v>844</v>
      </c>
      <c r="E237" s="10" t="s">
        <v>147</v>
      </c>
      <c r="F237" s="10" t="s">
        <v>66</v>
      </c>
      <c r="G237" s="10" t="s">
        <v>92</v>
      </c>
      <c r="H237" s="10" t="s">
        <v>55</v>
      </c>
      <c r="I237" s="10" t="s">
        <v>138</v>
      </c>
      <c r="J237" s="10" t="s">
        <v>57</v>
      </c>
      <c r="K237" s="10" t="s">
        <v>153</v>
      </c>
      <c r="L237" s="10" t="s">
        <v>845</v>
      </c>
      <c r="M237" s="10" t="s">
        <v>88</v>
      </c>
      <c r="N237" s="12">
        <v>6</v>
      </c>
      <c r="O237" s="12">
        <v>2671.29</v>
      </c>
      <c r="P237" s="12">
        <v>0.05</v>
      </c>
      <c r="Q237" s="12">
        <v>15226.35</v>
      </c>
      <c r="R237" s="12">
        <v>11145.28</v>
      </c>
      <c r="S237" s="12">
        <v>4081.07</v>
      </c>
      <c r="T237" s="10" t="s">
        <v>61</v>
      </c>
      <c r="U237" s="13" t="s">
        <v>62</v>
      </c>
      <c r="V237" s="14" t="e">
        <f t="shared" ca="1" si="0"/>
        <v>#NAME?</v>
      </c>
      <c r="W237" s="10" t="str">
        <f ca="1">IFERROR(__xludf.DUMMYFUNCTION("IF(COUNTIF($A:$A,A231)=1,
""Unique"",
IF(COUNTUNIQUE(FILTER($V$2:$V$934,$A$2:$A$934=A231))&gt;1,
""Conflicting Duplicate"",
""Exact Duplicate""))"),"Unique")</f>
        <v>Unique</v>
      </c>
      <c r="X237" s="10" t="b">
        <f t="shared" ca="1" si="1"/>
        <v>1</v>
      </c>
      <c r="Y237" s="10" t="str">
        <f t="shared" si="2"/>
        <v>Unique</v>
      </c>
      <c r="Z237" s="10"/>
      <c r="AA237" s="10" t="str">
        <f t="shared" si="3"/>
        <v>Clean</v>
      </c>
      <c r="AB237" s="15" t="str">
        <f t="shared" si="4"/>
        <v>Valid</v>
      </c>
      <c r="AC237" s="15">
        <v>1</v>
      </c>
      <c r="AD237" s="16" t="str">
        <f t="shared" si="5"/>
        <v>Valid</v>
      </c>
      <c r="AE237" s="16" t="str">
        <f t="shared" si="6"/>
        <v>Valid</v>
      </c>
      <c r="AF237" s="16" t="str">
        <f t="shared" ref="AF237:AG237" si="485">IF(ISNUMBER(B237),"Valid","Invalid")</f>
        <v>Valid</v>
      </c>
      <c r="AG237" s="16" t="str">
        <f t="shared" si="485"/>
        <v>Valid</v>
      </c>
      <c r="AH237" s="16" t="str">
        <f t="shared" ref="AH237:AI237" si="486">IF(OR(B237="",ISBLANK(B237)),"Missing","Valid")</f>
        <v>Valid</v>
      </c>
      <c r="AI237" s="16" t="str">
        <f t="shared" si="486"/>
        <v>Valid</v>
      </c>
      <c r="AJ237" s="16" t="b">
        <v>0</v>
      </c>
      <c r="AK237" s="16" t="b">
        <v>0</v>
      </c>
      <c r="AL237" s="16" t="b">
        <v>0</v>
      </c>
      <c r="AM237" s="16" t="b">
        <v>0</v>
      </c>
      <c r="AN237" s="16" t="b">
        <v>0</v>
      </c>
      <c r="AO237" s="16" t="b">
        <v>0</v>
      </c>
      <c r="AP237" s="16" t="b">
        <v>0</v>
      </c>
      <c r="AQ237" s="17">
        <f t="shared" si="9"/>
        <v>0.05</v>
      </c>
      <c r="AR237" s="12">
        <f t="shared" si="10"/>
        <v>15226.352999999999</v>
      </c>
      <c r="AS237" s="18">
        <f t="shared" si="11"/>
        <v>-2.999999998792191E-3</v>
      </c>
      <c r="AT237" s="12">
        <f t="shared" si="12"/>
        <v>4081.0729999999985</v>
      </c>
      <c r="AU237" s="18">
        <f t="shared" si="13"/>
        <v>-2.9999999983374437E-3</v>
      </c>
      <c r="AV237" s="19">
        <f t="shared" si="14"/>
        <v>0.26802695300706603</v>
      </c>
      <c r="AW237" s="20" t="str">
        <f t="shared" si="15"/>
        <v>November</v>
      </c>
      <c r="AX237" s="21">
        <f t="shared" si="16"/>
        <v>2024</v>
      </c>
    </row>
    <row r="238" spans="1:50" ht="15.75" customHeight="1">
      <c r="A238" s="10" t="s">
        <v>846</v>
      </c>
      <c r="B238" s="11">
        <v>45579</v>
      </c>
      <c r="C238" s="11">
        <v>45586</v>
      </c>
      <c r="D238" s="10" t="s">
        <v>847</v>
      </c>
      <c r="E238" s="10" t="s">
        <v>143</v>
      </c>
      <c r="F238" s="10" t="s">
        <v>119</v>
      </c>
      <c r="G238" s="10" t="s">
        <v>54</v>
      </c>
      <c r="H238" s="10" t="s">
        <v>165</v>
      </c>
      <c r="I238" s="10" t="s">
        <v>166</v>
      </c>
      <c r="J238" s="10" t="s">
        <v>70</v>
      </c>
      <c r="K238" s="10" t="s">
        <v>187</v>
      </c>
      <c r="L238" s="10" t="s">
        <v>848</v>
      </c>
      <c r="M238" s="10" t="s">
        <v>79</v>
      </c>
      <c r="N238" s="12">
        <v>6</v>
      </c>
      <c r="O238" s="12">
        <v>4062.78</v>
      </c>
      <c r="P238" s="12">
        <v>0</v>
      </c>
      <c r="Q238" s="12">
        <v>24376.68</v>
      </c>
      <c r="R238" s="12">
        <v>18533.39</v>
      </c>
      <c r="S238" s="12">
        <v>5843.29</v>
      </c>
      <c r="T238" s="10" t="s">
        <v>61</v>
      </c>
      <c r="U238" s="13" t="s">
        <v>62</v>
      </c>
      <c r="V238" s="14" t="e">
        <f t="shared" ca="1" si="0"/>
        <v>#NAME?</v>
      </c>
      <c r="W238" s="10" t="str">
        <f ca="1">IFERROR(__xludf.DUMMYFUNCTION("IF(COUNTIF($A:$A,A232)=1,
""Unique"",
IF(COUNTUNIQUE(FILTER($V$2:$V$934,$A$2:$A$934=A232))&gt;1,
""Conflicting Duplicate"",
""Exact Duplicate""))"),"Unique")</f>
        <v>Unique</v>
      </c>
      <c r="X238" s="10" t="b">
        <f t="shared" ca="1" si="1"/>
        <v>1</v>
      </c>
      <c r="Y238" s="10" t="str">
        <f t="shared" si="2"/>
        <v>Unique</v>
      </c>
      <c r="Z238" s="10"/>
      <c r="AA238" s="10" t="str">
        <f t="shared" si="3"/>
        <v>Clean</v>
      </c>
      <c r="AB238" s="15" t="str">
        <f t="shared" si="4"/>
        <v>Valid</v>
      </c>
      <c r="AC238" s="15">
        <v>7</v>
      </c>
      <c r="AD238" s="16" t="str">
        <f t="shared" si="5"/>
        <v>Valid</v>
      </c>
      <c r="AE238" s="16" t="str">
        <f t="shared" si="6"/>
        <v>Valid</v>
      </c>
      <c r="AF238" s="16" t="str">
        <f t="shared" ref="AF238:AG238" si="487">IF(ISNUMBER(B238),"Valid","Invalid")</f>
        <v>Valid</v>
      </c>
      <c r="AG238" s="16" t="str">
        <f t="shared" si="487"/>
        <v>Valid</v>
      </c>
      <c r="AH238" s="16" t="str">
        <f t="shared" ref="AH238:AI238" si="488">IF(OR(B238="",ISBLANK(B238)),"Missing","Valid")</f>
        <v>Valid</v>
      </c>
      <c r="AI238" s="16" t="str">
        <f t="shared" si="488"/>
        <v>Valid</v>
      </c>
      <c r="AJ238" s="16" t="b">
        <v>0</v>
      </c>
      <c r="AK238" s="16" t="b">
        <v>0</v>
      </c>
      <c r="AL238" s="16" t="b">
        <v>0</v>
      </c>
      <c r="AM238" s="16" t="b">
        <v>0</v>
      </c>
      <c r="AN238" s="16" t="b">
        <v>0</v>
      </c>
      <c r="AO238" s="16" t="b">
        <v>0</v>
      </c>
      <c r="AP238" s="16" t="b">
        <v>0</v>
      </c>
      <c r="AQ238" s="17">
        <f t="shared" si="9"/>
        <v>0</v>
      </c>
      <c r="AR238" s="12">
        <f t="shared" si="10"/>
        <v>24376.68</v>
      </c>
      <c r="AS238" s="18">
        <f t="shared" si="11"/>
        <v>0</v>
      </c>
      <c r="AT238" s="12">
        <f t="shared" si="12"/>
        <v>5843.2900000000009</v>
      </c>
      <c r="AU238" s="18">
        <f t="shared" si="13"/>
        <v>0</v>
      </c>
      <c r="AV238" s="19">
        <f t="shared" si="14"/>
        <v>0.23970819652224998</v>
      </c>
      <c r="AW238" s="20" t="str">
        <f t="shared" si="15"/>
        <v>October</v>
      </c>
      <c r="AX238" s="21">
        <f t="shared" si="16"/>
        <v>2024</v>
      </c>
    </row>
    <row r="239" spans="1:50" ht="15.75" customHeight="1">
      <c r="A239" s="10" t="s">
        <v>849</v>
      </c>
      <c r="B239" s="11">
        <v>45531</v>
      </c>
      <c r="C239" s="11">
        <v>45531</v>
      </c>
      <c r="D239" s="10" t="s">
        <v>850</v>
      </c>
      <c r="E239" s="10" t="s">
        <v>65</v>
      </c>
      <c r="F239" s="10" t="s">
        <v>53</v>
      </c>
      <c r="G239" s="10" t="s">
        <v>54</v>
      </c>
      <c r="H239" s="10" t="s">
        <v>266</v>
      </c>
      <c r="I239" s="10" t="s">
        <v>267</v>
      </c>
      <c r="J239" s="10" t="s">
        <v>103</v>
      </c>
      <c r="K239" s="10" t="s">
        <v>109</v>
      </c>
      <c r="L239" s="10" t="s">
        <v>851</v>
      </c>
      <c r="M239" s="10" t="s">
        <v>88</v>
      </c>
      <c r="N239" s="12">
        <v>9</v>
      </c>
      <c r="O239" s="12">
        <v>2330.3000000000002</v>
      </c>
      <c r="P239" s="12">
        <v>0</v>
      </c>
      <c r="Q239" s="12">
        <v>20972.7</v>
      </c>
      <c r="R239" s="12">
        <v>13504.88</v>
      </c>
      <c r="S239" s="12">
        <v>7467.82</v>
      </c>
      <c r="T239" s="10" t="s">
        <v>61</v>
      </c>
      <c r="U239" s="13" t="s">
        <v>62</v>
      </c>
      <c r="V239" s="14" t="e">
        <f t="shared" ca="1" si="0"/>
        <v>#NAME?</v>
      </c>
      <c r="W239" s="10" t="str">
        <f ca="1">IFERROR(__xludf.DUMMYFUNCTION("IF(COUNTIF($A:$A,A233)=1,
""Unique"",
IF(COUNTUNIQUE(FILTER($V$2:$V$934,$A$2:$A$934=A233))&gt;1,
""Conflicting Duplicate"",
""Exact Duplicate""))"),"Unique")</f>
        <v>Unique</v>
      </c>
      <c r="X239" s="10" t="b">
        <f t="shared" ca="1" si="1"/>
        <v>1</v>
      </c>
      <c r="Y239" s="10" t="str">
        <f t="shared" si="2"/>
        <v>Unique</v>
      </c>
      <c r="Z239" s="10"/>
      <c r="AA239" s="10" t="str">
        <f t="shared" si="3"/>
        <v>Clean</v>
      </c>
      <c r="AB239" s="15" t="str">
        <f t="shared" si="4"/>
        <v>Valid</v>
      </c>
      <c r="AC239" s="15">
        <v>0</v>
      </c>
      <c r="AD239" s="16" t="str">
        <f t="shared" si="5"/>
        <v>Valid</v>
      </c>
      <c r="AE239" s="16" t="str">
        <f t="shared" si="6"/>
        <v>Valid</v>
      </c>
      <c r="AF239" s="16" t="str">
        <f t="shared" ref="AF239:AG239" si="489">IF(ISNUMBER(B239),"Valid","Invalid")</f>
        <v>Valid</v>
      </c>
      <c r="AG239" s="16" t="str">
        <f t="shared" si="489"/>
        <v>Valid</v>
      </c>
      <c r="AH239" s="16" t="str">
        <f t="shared" ref="AH239:AI239" si="490">IF(OR(B239="",ISBLANK(B239)),"Missing","Valid")</f>
        <v>Valid</v>
      </c>
      <c r="AI239" s="16" t="str">
        <f t="shared" si="490"/>
        <v>Valid</v>
      </c>
      <c r="AJ239" s="16" t="b">
        <v>0</v>
      </c>
      <c r="AK239" s="16" t="b">
        <v>0</v>
      </c>
      <c r="AL239" s="16" t="b">
        <v>0</v>
      </c>
      <c r="AM239" s="16" t="b">
        <v>0</v>
      </c>
      <c r="AN239" s="16" t="b">
        <v>0</v>
      </c>
      <c r="AO239" s="16" t="b">
        <v>0</v>
      </c>
      <c r="AP239" s="16" t="b">
        <v>0</v>
      </c>
      <c r="AQ239" s="17">
        <f t="shared" si="9"/>
        <v>0</v>
      </c>
      <c r="AR239" s="12">
        <f t="shared" si="10"/>
        <v>20972.7</v>
      </c>
      <c r="AS239" s="18">
        <f t="shared" si="11"/>
        <v>0</v>
      </c>
      <c r="AT239" s="12">
        <f t="shared" si="12"/>
        <v>7467.8200000000015</v>
      </c>
      <c r="AU239" s="18">
        <f t="shared" si="13"/>
        <v>0</v>
      </c>
      <c r="AV239" s="19">
        <f t="shared" si="14"/>
        <v>0.35607337157352181</v>
      </c>
      <c r="AW239" s="20" t="str">
        <f t="shared" si="15"/>
        <v>August</v>
      </c>
      <c r="AX239" s="21">
        <f t="shared" si="16"/>
        <v>2024</v>
      </c>
    </row>
    <row r="240" spans="1:50" ht="15.75" customHeight="1">
      <c r="A240" s="10" t="s">
        <v>852</v>
      </c>
      <c r="B240" s="11">
        <v>45303</v>
      </c>
      <c r="C240" s="11">
        <v>45308</v>
      </c>
      <c r="D240" s="10" t="s">
        <v>853</v>
      </c>
      <c r="E240" s="10" t="s">
        <v>82</v>
      </c>
      <c r="F240" s="10" t="s">
        <v>53</v>
      </c>
      <c r="G240" s="10" t="s">
        <v>83</v>
      </c>
      <c r="H240" s="10" t="s">
        <v>113</v>
      </c>
      <c r="I240" s="10" t="s">
        <v>114</v>
      </c>
      <c r="J240" s="10" t="s">
        <v>57</v>
      </c>
      <c r="K240" s="10" t="s">
        <v>153</v>
      </c>
      <c r="L240" s="10" t="s">
        <v>854</v>
      </c>
      <c r="M240" s="10" t="s">
        <v>79</v>
      </c>
      <c r="N240" s="12">
        <v>7</v>
      </c>
      <c r="O240" s="12">
        <v>4005.05</v>
      </c>
      <c r="P240" s="12">
        <v>0.55000000000000004</v>
      </c>
      <c r="Q240" s="12">
        <v>26633.58</v>
      </c>
      <c r="R240" s="12">
        <v>18838.75</v>
      </c>
      <c r="S240" s="12">
        <v>7794.83</v>
      </c>
      <c r="T240" s="10" t="s">
        <v>61</v>
      </c>
      <c r="U240" s="13" t="s">
        <v>62</v>
      </c>
      <c r="V240" s="14" t="e">
        <f t="shared" ca="1" si="0"/>
        <v>#NAME?</v>
      </c>
      <c r="W240" s="10" t="str">
        <f ca="1">IFERROR(__xludf.DUMMYFUNCTION("IF(COUNTIF($A:$A,A234)=1,
""Unique"",
IF(COUNTUNIQUE(FILTER($V$2:$V$934,$A$2:$A$934=A234))&gt;1,
""Conflicting Duplicate"",
""Exact Duplicate""))"),"Unique")</f>
        <v>Unique</v>
      </c>
      <c r="X240" s="10" t="b">
        <f t="shared" ca="1" si="1"/>
        <v>1</v>
      </c>
      <c r="Y240" s="10" t="str">
        <f t="shared" si="2"/>
        <v>Unique</v>
      </c>
      <c r="Z240" s="10"/>
      <c r="AA240" s="10" t="str">
        <f t="shared" si="3"/>
        <v>Clean</v>
      </c>
      <c r="AB240" s="15" t="str">
        <f t="shared" si="4"/>
        <v>Valid</v>
      </c>
      <c r="AC240" s="15">
        <v>5</v>
      </c>
      <c r="AD240" s="16" t="str">
        <f t="shared" si="5"/>
        <v>Valid</v>
      </c>
      <c r="AE240" s="16" t="str">
        <f t="shared" si="6"/>
        <v>Valid</v>
      </c>
      <c r="AF240" s="16" t="str">
        <f t="shared" ref="AF240:AG240" si="491">IF(ISNUMBER(B240),"Valid","Invalid")</f>
        <v>Valid</v>
      </c>
      <c r="AG240" s="16" t="str">
        <f t="shared" si="491"/>
        <v>Valid</v>
      </c>
      <c r="AH240" s="16" t="str">
        <f t="shared" ref="AH240:AI240" si="492">IF(OR(B240="",ISBLANK(B240)),"Missing","Valid")</f>
        <v>Valid</v>
      </c>
      <c r="AI240" s="16" t="str">
        <f t="shared" si="492"/>
        <v>Valid</v>
      </c>
      <c r="AJ240" s="16" t="b">
        <v>0</v>
      </c>
      <c r="AK240" s="16" t="b">
        <v>0</v>
      </c>
      <c r="AL240" s="16" t="b">
        <v>0</v>
      </c>
      <c r="AM240" s="16" t="b">
        <v>0</v>
      </c>
      <c r="AN240" s="16" t="b">
        <v>0</v>
      </c>
      <c r="AO240" s="16" t="b">
        <v>0</v>
      </c>
      <c r="AP240" s="16" t="b">
        <v>0</v>
      </c>
      <c r="AQ240" s="17">
        <f t="shared" si="9"/>
        <v>0.55000000000000004</v>
      </c>
      <c r="AR240" s="12">
        <f t="shared" si="10"/>
        <v>12615.907499999999</v>
      </c>
      <c r="AS240" s="18">
        <f t="shared" si="11"/>
        <v>14017.672500000002</v>
      </c>
      <c r="AT240" s="12">
        <f t="shared" si="12"/>
        <v>-6222.8425000000007</v>
      </c>
      <c r="AU240" s="18">
        <f t="shared" si="13"/>
        <v>14017.672500000001</v>
      </c>
      <c r="AV240" s="19">
        <f t="shared" si="14"/>
        <v>-0.4932536561480021</v>
      </c>
      <c r="AW240" s="20" t="str">
        <f t="shared" si="15"/>
        <v>January</v>
      </c>
      <c r="AX240" s="21">
        <f t="shared" si="16"/>
        <v>2024</v>
      </c>
    </row>
    <row r="241" spans="1:50" ht="15.75" customHeight="1">
      <c r="A241" s="10" t="s">
        <v>855</v>
      </c>
      <c r="B241" s="11">
        <v>45556</v>
      </c>
      <c r="C241" s="11">
        <v>45556</v>
      </c>
      <c r="D241" s="10" t="s">
        <v>856</v>
      </c>
      <c r="E241" s="10" t="s">
        <v>294</v>
      </c>
      <c r="F241" s="10" t="s">
        <v>119</v>
      </c>
      <c r="G241" s="10" t="s">
        <v>83</v>
      </c>
      <c r="H241" s="10" t="s">
        <v>204</v>
      </c>
      <c r="I241" s="10" t="s">
        <v>205</v>
      </c>
      <c r="J241" s="10" t="s">
        <v>103</v>
      </c>
      <c r="K241" s="10" t="s">
        <v>304</v>
      </c>
      <c r="L241" s="10" t="s">
        <v>857</v>
      </c>
      <c r="M241" s="10" t="s">
        <v>79</v>
      </c>
      <c r="N241" s="12">
        <v>2</v>
      </c>
      <c r="O241" s="12">
        <v>1960.06</v>
      </c>
      <c r="P241" s="12">
        <v>0.2</v>
      </c>
      <c r="Q241" s="12">
        <v>3136.1</v>
      </c>
      <c r="R241" s="12">
        <v>2279.4899999999998</v>
      </c>
      <c r="S241" s="12">
        <v>856.61</v>
      </c>
      <c r="T241" s="10" t="s">
        <v>61</v>
      </c>
      <c r="U241" s="13" t="s">
        <v>62</v>
      </c>
      <c r="V241" s="14" t="e">
        <f t="shared" ca="1" si="0"/>
        <v>#NAME?</v>
      </c>
      <c r="W241" s="10" t="str">
        <f ca="1">IFERROR(__xludf.DUMMYFUNCTION("IF(COUNTIF($A:$A,A235)=1,
""Unique"",
IF(COUNTUNIQUE(FILTER($V$2:$V$934,$A$2:$A$934=A235))&gt;1,
""Conflicting Duplicate"",
""Exact Duplicate""))"),"Unique")</f>
        <v>Unique</v>
      </c>
      <c r="X241" s="10" t="b">
        <f t="shared" ca="1" si="1"/>
        <v>1</v>
      </c>
      <c r="Y241" s="10" t="str">
        <f t="shared" si="2"/>
        <v>Unique</v>
      </c>
      <c r="Z241" s="10"/>
      <c r="AA241" s="10" t="str">
        <f t="shared" si="3"/>
        <v>Clean</v>
      </c>
      <c r="AB241" s="15" t="str">
        <f t="shared" si="4"/>
        <v>Valid</v>
      </c>
      <c r="AC241" s="15">
        <v>0</v>
      </c>
      <c r="AD241" s="16" t="str">
        <f t="shared" si="5"/>
        <v>Valid</v>
      </c>
      <c r="AE241" s="16" t="str">
        <f t="shared" si="6"/>
        <v>Valid</v>
      </c>
      <c r="AF241" s="16" t="str">
        <f t="shared" ref="AF241:AG241" si="493">IF(ISNUMBER(B241),"Valid","Invalid")</f>
        <v>Valid</v>
      </c>
      <c r="AG241" s="16" t="str">
        <f t="shared" si="493"/>
        <v>Valid</v>
      </c>
      <c r="AH241" s="16" t="str">
        <f t="shared" ref="AH241:AI241" si="494">IF(OR(B241="",ISBLANK(B241)),"Missing","Valid")</f>
        <v>Valid</v>
      </c>
      <c r="AI241" s="16" t="str">
        <f t="shared" si="494"/>
        <v>Valid</v>
      </c>
      <c r="AJ241" s="16" t="b">
        <v>0</v>
      </c>
      <c r="AK241" s="16" t="b">
        <v>0</v>
      </c>
      <c r="AL241" s="16" t="b">
        <v>0</v>
      </c>
      <c r="AM241" s="16" t="b">
        <v>0</v>
      </c>
      <c r="AN241" s="16" t="b">
        <v>0</v>
      </c>
      <c r="AO241" s="16" t="b">
        <v>0</v>
      </c>
      <c r="AP241" s="16" t="b">
        <v>0</v>
      </c>
      <c r="AQ241" s="17">
        <f t="shared" si="9"/>
        <v>0.2</v>
      </c>
      <c r="AR241" s="12">
        <f t="shared" si="10"/>
        <v>3136.096</v>
      </c>
      <c r="AS241" s="18">
        <f t="shared" si="11"/>
        <v>3.9999999999054126E-3</v>
      </c>
      <c r="AT241" s="12">
        <f t="shared" si="12"/>
        <v>856.60600000000022</v>
      </c>
      <c r="AU241" s="18">
        <f t="shared" si="13"/>
        <v>3.9999999997917257E-3</v>
      </c>
      <c r="AV241" s="19">
        <f t="shared" si="14"/>
        <v>0.273144061916472</v>
      </c>
      <c r="AW241" s="20" t="str">
        <f t="shared" si="15"/>
        <v>September</v>
      </c>
      <c r="AX241" s="21">
        <f t="shared" si="16"/>
        <v>2024</v>
      </c>
    </row>
    <row r="242" spans="1:50" ht="15.75" customHeight="1">
      <c r="A242" s="10" t="s">
        <v>858</v>
      </c>
      <c r="B242" s="11">
        <v>45643</v>
      </c>
      <c r="C242" s="11">
        <v>45649</v>
      </c>
      <c r="D242" s="10" t="s">
        <v>859</v>
      </c>
      <c r="E242" s="10" t="s">
        <v>157</v>
      </c>
      <c r="F242" s="10" t="s">
        <v>119</v>
      </c>
      <c r="G242" s="10" t="s">
        <v>83</v>
      </c>
      <c r="H242" s="10" t="s">
        <v>84</v>
      </c>
      <c r="I242" s="10" t="s">
        <v>85</v>
      </c>
      <c r="J242" s="10" t="s">
        <v>57</v>
      </c>
      <c r="K242" s="10" t="s">
        <v>182</v>
      </c>
      <c r="L242" s="10" t="s">
        <v>860</v>
      </c>
      <c r="M242" s="10" t="s">
        <v>79</v>
      </c>
      <c r="N242" s="12">
        <v>9</v>
      </c>
      <c r="O242" s="12">
        <v>2315.1</v>
      </c>
      <c r="P242" s="12">
        <v>0</v>
      </c>
      <c r="Q242" s="12">
        <v>20835.900000000001</v>
      </c>
      <c r="R242" s="12">
        <v>13928.19</v>
      </c>
      <c r="S242" s="12">
        <v>6907.71</v>
      </c>
      <c r="T242" s="10" t="s">
        <v>61</v>
      </c>
      <c r="U242" s="13" t="s">
        <v>62</v>
      </c>
      <c r="V242" s="14" t="e">
        <f t="shared" ca="1" si="0"/>
        <v>#NAME?</v>
      </c>
      <c r="W242" s="10" t="str">
        <f ca="1">IFERROR(__xludf.DUMMYFUNCTION("IF(COUNTIF($A:$A,A236)=1,
""Unique"",
IF(COUNTUNIQUE(FILTER($V$2:$V$934,$A$2:$A$934=A236))&gt;1,
""Conflicting Duplicate"",
""Exact Duplicate""))"),"Unique")</f>
        <v>Unique</v>
      </c>
      <c r="X242" s="10" t="b">
        <f t="shared" ca="1" si="1"/>
        <v>1</v>
      </c>
      <c r="Y242" s="10" t="str">
        <f t="shared" si="2"/>
        <v>Unique</v>
      </c>
      <c r="Z242" s="10"/>
      <c r="AA242" s="10" t="str">
        <f t="shared" si="3"/>
        <v>Clean</v>
      </c>
      <c r="AB242" s="15" t="str">
        <f t="shared" si="4"/>
        <v>Valid</v>
      </c>
      <c r="AC242" s="15">
        <v>6</v>
      </c>
      <c r="AD242" s="16" t="str">
        <f t="shared" si="5"/>
        <v>Valid</v>
      </c>
      <c r="AE242" s="16" t="str">
        <f t="shared" si="6"/>
        <v>Valid</v>
      </c>
      <c r="AF242" s="16" t="str">
        <f t="shared" ref="AF242:AG242" si="495">IF(ISNUMBER(B242),"Valid","Invalid")</f>
        <v>Valid</v>
      </c>
      <c r="AG242" s="16" t="str">
        <f t="shared" si="495"/>
        <v>Valid</v>
      </c>
      <c r="AH242" s="16" t="str">
        <f t="shared" ref="AH242:AI242" si="496">IF(OR(B242="",ISBLANK(B242)),"Missing","Valid")</f>
        <v>Valid</v>
      </c>
      <c r="AI242" s="16" t="str">
        <f t="shared" si="496"/>
        <v>Valid</v>
      </c>
      <c r="AJ242" s="16" t="b">
        <v>0</v>
      </c>
      <c r="AK242" s="16" t="b">
        <v>0</v>
      </c>
      <c r="AL242" s="16" t="b">
        <v>0</v>
      </c>
      <c r="AM242" s="16" t="b">
        <v>0</v>
      </c>
      <c r="AN242" s="16" t="b">
        <v>0</v>
      </c>
      <c r="AO242" s="16" t="b">
        <v>0</v>
      </c>
      <c r="AP242" s="16" t="b">
        <v>0</v>
      </c>
      <c r="AQ242" s="17">
        <f t="shared" si="9"/>
        <v>0</v>
      </c>
      <c r="AR242" s="12">
        <f t="shared" si="10"/>
        <v>20835.899999999998</v>
      </c>
      <c r="AS242" s="18">
        <f t="shared" si="11"/>
        <v>0</v>
      </c>
      <c r="AT242" s="12">
        <f t="shared" si="12"/>
        <v>6907.7099999999973</v>
      </c>
      <c r="AU242" s="18">
        <f t="shared" si="13"/>
        <v>0</v>
      </c>
      <c r="AV242" s="19">
        <f t="shared" si="14"/>
        <v>0.33152923559817421</v>
      </c>
      <c r="AW242" s="20" t="str">
        <f t="shared" si="15"/>
        <v>December</v>
      </c>
      <c r="AX242" s="21">
        <f t="shared" si="16"/>
        <v>2024</v>
      </c>
    </row>
    <row r="243" spans="1:50" ht="15.75" customHeight="1">
      <c r="A243" s="10" t="s">
        <v>861</v>
      </c>
      <c r="B243" s="11">
        <v>45844</v>
      </c>
      <c r="C243" s="11">
        <v>45844</v>
      </c>
      <c r="D243" s="10" t="s">
        <v>862</v>
      </c>
      <c r="E243" s="10" t="s">
        <v>161</v>
      </c>
      <c r="F243" s="10" t="s">
        <v>119</v>
      </c>
      <c r="G243" s="10" t="s">
        <v>54</v>
      </c>
      <c r="H243" s="10" t="s">
        <v>266</v>
      </c>
      <c r="I243" s="10" t="s">
        <v>267</v>
      </c>
      <c r="J243" s="10" t="s">
        <v>57</v>
      </c>
      <c r="K243" s="10" t="s">
        <v>153</v>
      </c>
      <c r="L243" s="10" t="s">
        <v>863</v>
      </c>
      <c r="M243" s="10" t="s">
        <v>88</v>
      </c>
      <c r="N243" s="12">
        <v>1</v>
      </c>
      <c r="O243" s="12">
        <v>1617.2</v>
      </c>
      <c r="P243" s="12">
        <v>0.25</v>
      </c>
      <c r="Q243" s="12">
        <v>1212.9000000000001</v>
      </c>
      <c r="R243" s="12">
        <v>690.52</v>
      </c>
      <c r="S243" s="12">
        <v>522.38</v>
      </c>
      <c r="T243" s="10" t="s">
        <v>140</v>
      </c>
      <c r="U243" s="13" t="s">
        <v>132</v>
      </c>
      <c r="V243" s="14" t="e">
        <f t="shared" ca="1" si="0"/>
        <v>#NAME?</v>
      </c>
      <c r="W243" s="10" t="str">
        <f ca="1">IFERROR(__xludf.DUMMYFUNCTION("IF(COUNTIF($A:$A,A237)=1,
""Unique"",
IF(COUNTUNIQUE(FILTER($V$2:$V$934,$A$2:$A$934=A237))&gt;1,
""Conflicting Duplicate"",
""Exact Duplicate""))"),"Unique")</f>
        <v>Unique</v>
      </c>
      <c r="X243" s="10" t="b">
        <f t="shared" ca="1" si="1"/>
        <v>1</v>
      </c>
      <c r="Y243" s="10" t="str">
        <f t="shared" si="2"/>
        <v>Unique</v>
      </c>
      <c r="Z243" s="10"/>
      <c r="AA243" s="10" t="str">
        <f t="shared" si="3"/>
        <v>Clean</v>
      </c>
      <c r="AB243" s="15" t="str">
        <f t="shared" si="4"/>
        <v>Valid</v>
      </c>
      <c r="AC243" s="15">
        <v>0</v>
      </c>
      <c r="AD243" s="16" t="str">
        <f t="shared" si="5"/>
        <v>Valid</v>
      </c>
      <c r="AE243" s="16" t="str">
        <f t="shared" si="6"/>
        <v>Valid</v>
      </c>
      <c r="AF243" s="16" t="str">
        <f t="shared" ref="AF243:AG243" si="497">IF(ISNUMBER(B243),"Valid","Invalid")</f>
        <v>Valid</v>
      </c>
      <c r="AG243" s="16" t="str">
        <f t="shared" si="497"/>
        <v>Valid</v>
      </c>
      <c r="AH243" s="16" t="str">
        <f t="shared" ref="AH243:AI243" si="498">IF(OR(B243="",ISBLANK(B243)),"Missing","Valid")</f>
        <v>Valid</v>
      </c>
      <c r="AI243" s="16" t="str">
        <f t="shared" si="498"/>
        <v>Valid</v>
      </c>
      <c r="AJ243" s="16" t="b">
        <v>0</v>
      </c>
      <c r="AK243" s="16" t="b">
        <v>0</v>
      </c>
      <c r="AL243" s="16" t="b">
        <v>0</v>
      </c>
      <c r="AM243" s="16" t="b">
        <v>0</v>
      </c>
      <c r="AN243" s="16" t="b">
        <v>0</v>
      </c>
      <c r="AO243" s="16" t="b">
        <v>0</v>
      </c>
      <c r="AP243" s="16" t="b">
        <v>0</v>
      </c>
      <c r="AQ243" s="17">
        <f t="shared" si="9"/>
        <v>0.25</v>
      </c>
      <c r="AR243" s="12">
        <f t="shared" si="10"/>
        <v>1212.9000000000001</v>
      </c>
      <c r="AS243" s="18">
        <f t="shared" si="11"/>
        <v>0</v>
      </c>
      <c r="AT243" s="12">
        <f t="shared" si="12"/>
        <v>522.38000000000011</v>
      </c>
      <c r="AU243" s="18">
        <f t="shared" si="13"/>
        <v>0</v>
      </c>
      <c r="AV243" s="19">
        <f t="shared" si="14"/>
        <v>0.4306867837414462</v>
      </c>
      <c r="AW243" s="20" t="str">
        <f t="shared" si="15"/>
        <v>July</v>
      </c>
      <c r="AX243" s="21">
        <f t="shared" si="16"/>
        <v>2025</v>
      </c>
    </row>
    <row r="244" spans="1:50" ht="15.75" customHeight="1">
      <c r="A244" s="10" t="s">
        <v>864</v>
      </c>
      <c r="B244" s="11">
        <v>45695</v>
      </c>
      <c r="C244" s="11">
        <v>45695</v>
      </c>
      <c r="D244" s="10" t="s">
        <v>865</v>
      </c>
      <c r="E244" s="10" t="s">
        <v>82</v>
      </c>
      <c r="F244" s="10" t="s">
        <v>53</v>
      </c>
      <c r="G244" s="10" t="s">
        <v>54</v>
      </c>
      <c r="H244" s="10" t="s">
        <v>165</v>
      </c>
      <c r="I244" s="10" t="s">
        <v>166</v>
      </c>
      <c r="J244" s="10" t="s">
        <v>57</v>
      </c>
      <c r="K244" s="10" t="s">
        <v>77</v>
      </c>
      <c r="L244" s="10" t="s">
        <v>866</v>
      </c>
      <c r="M244" s="10" t="s">
        <v>60</v>
      </c>
      <c r="N244" s="12">
        <v>3</v>
      </c>
      <c r="O244" s="12">
        <v>1999.24</v>
      </c>
      <c r="P244" s="12">
        <v>0.05</v>
      </c>
      <c r="Q244" s="12">
        <v>5697.83</v>
      </c>
      <c r="R244" s="12">
        <v>4251.5</v>
      </c>
      <c r="S244" s="12">
        <v>1446.33</v>
      </c>
      <c r="T244" s="10" t="s">
        <v>61</v>
      </c>
      <c r="U244" s="13" t="s">
        <v>62</v>
      </c>
      <c r="V244" s="14" t="e">
        <f t="shared" ca="1" si="0"/>
        <v>#NAME?</v>
      </c>
      <c r="W244" s="10" t="str">
        <f ca="1">IFERROR(__xludf.DUMMYFUNCTION("IF(COUNTIF($A:$A,A238)=1,
""Unique"",
IF(COUNTUNIQUE(FILTER($V$2:$V$934,$A$2:$A$934=A238))&gt;1,
""Conflicting Duplicate"",
""Exact Duplicate""))"),"Unique")</f>
        <v>Unique</v>
      </c>
      <c r="X244" s="10" t="b">
        <f t="shared" ca="1" si="1"/>
        <v>1</v>
      </c>
      <c r="Y244" s="10" t="str">
        <f t="shared" si="2"/>
        <v>Unique</v>
      </c>
      <c r="Z244" s="10"/>
      <c r="AA244" s="10" t="str">
        <f t="shared" si="3"/>
        <v>Clean</v>
      </c>
      <c r="AB244" s="15" t="str">
        <f t="shared" si="4"/>
        <v>Valid</v>
      </c>
      <c r="AC244" s="15">
        <v>0</v>
      </c>
      <c r="AD244" s="16" t="str">
        <f t="shared" si="5"/>
        <v>Valid</v>
      </c>
      <c r="AE244" s="16" t="str">
        <f t="shared" si="6"/>
        <v>Valid</v>
      </c>
      <c r="AF244" s="16" t="str">
        <f t="shared" ref="AF244:AG244" si="499">IF(ISNUMBER(B244),"Valid","Invalid")</f>
        <v>Valid</v>
      </c>
      <c r="AG244" s="16" t="str">
        <f t="shared" si="499"/>
        <v>Valid</v>
      </c>
      <c r="AH244" s="16" t="str">
        <f t="shared" ref="AH244:AI244" si="500">IF(OR(B244="",ISBLANK(B244)),"Missing","Valid")</f>
        <v>Valid</v>
      </c>
      <c r="AI244" s="16" t="str">
        <f t="shared" si="500"/>
        <v>Valid</v>
      </c>
      <c r="AJ244" s="16" t="b">
        <v>0</v>
      </c>
      <c r="AK244" s="16" t="b">
        <v>0</v>
      </c>
      <c r="AL244" s="16" t="b">
        <v>0</v>
      </c>
      <c r="AM244" s="16" t="b">
        <v>0</v>
      </c>
      <c r="AN244" s="16" t="b">
        <v>0</v>
      </c>
      <c r="AO244" s="16" t="b">
        <v>0</v>
      </c>
      <c r="AP244" s="16" t="b">
        <v>0</v>
      </c>
      <c r="AQ244" s="17">
        <f t="shared" si="9"/>
        <v>0.05</v>
      </c>
      <c r="AR244" s="12">
        <f t="shared" si="10"/>
        <v>5697.8339999999998</v>
      </c>
      <c r="AS244" s="18">
        <f t="shared" si="11"/>
        <v>-3.9999999999054126E-3</v>
      </c>
      <c r="AT244" s="12">
        <f t="shared" si="12"/>
        <v>1446.3339999999998</v>
      </c>
      <c r="AU244" s="18">
        <f t="shared" si="13"/>
        <v>-3.9999999999054126E-3</v>
      </c>
      <c r="AV244" s="19">
        <f t="shared" si="14"/>
        <v>0.25383926593860051</v>
      </c>
      <c r="AW244" s="20" t="str">
        <f t="shared" si="15"/>
        <v>February</v>
      </c>
      <c r="AX244" s="21">
        <f t="shared" si="16"/>
        <v>2025</v>
      </c>
    </row>
    <row r="245" spans="1:50" ht="15.75" customHeight="1">
      <c r="A245" s="10" t="s">
        <v>867</v>
      </c>
      <c r="B245" s="11">
        <v>45867</v>
      </c>
      <c r="C245" s="11">
        <v>45871</v>
      </c>
      <c r="D245" s="10" t="s">
        <v>868</v>
      </c>
      <c r="E245" s="10" t="s">
        <v>161</v>
      </c>
      <c r="F245" s="10" t="s">
        <v>66</v>
      </c>
      <c r="G245" s="10" t="s">
        <v>234</v>
      </c>
      <c r="H245" s="10" t="s">
        <v>101</v>
      </c>
      <c r="I245" s="10" t="s">
        <v>102</v>
      </c>
      <c r="J245" s="10" t="s">
        <v>103</v>
      </c>
      <c r="K245" s="10" t="s">
        <v>104</v>
      </c>
      <c r="L245" s="10" t="s">
        <v>869</v>
      </c>
      <c r="M245" s="10" t="s">
        <v>79</v>
      </c>
      <c r="N245" s="12">
        <v>1</v>
      </c>
      <c r="O245" s="12">
        <v>4499.46</v>
      </c>
      <c r="P245" s="12">
        <v>0.1</v>
      </c>
      <c r="Q245" s="12">
        <v>4049.51</v>
      </c>
      <c r="R245" s="12">
        <v>2509.1999999999998</v>
      </c>
      <c r="S245" s="12">
        <v>1540.31</v>
      </c>
      <c r="T245" s="10" t="s">
        <v>61</v>
      </c>
      <c r="U245" s="13" t="s">
        <v>62</v>
      </c>
      <c r="V245" s="14" t="e">
        <f t="shared" ca="1" si="0"/>
        <v>#NAME?</v>
      </c>
      <c r="W245" s="10" t="str">
        <f ca="1">IFERROR(__xludf.DUMMYFUNCTION("IF(COUNTIF($A:$A,A239)=1,
""Unique"",
IF(COUNTUNIQUE(FILTER($V$2:$V$934,$A$2:$A$934=A239))&gt;1,
""Conflicting Duplicate"",
""Exact Duplicate""))"),"Unique")</f>
        <v>Unique</v>
      </c>
      <c r="X245" s="10" t="b">
        <f t="shared" ca="1" si="1"/>
        <v>1</v>
      </c>
      <c r="Y245" s="10" t="str">
        <f t="shared" si="2"/>
        <v>Unique</v>
      </c>
      <c r="Z245" s="10"/>
      <c r="AA245" s="10" t="str">
        <f t="shared" si="3"/>
        <v>Warning</v>
      </c>
      <c r="AB245" s="15" t="str">
        <f t="shared" si="4"/>
        <v>Valid</v>
      </c>
      <c r="AC245" s="15">
        <v>4</v>
      </c>
      <c r="AD245" s="16" t="str">
        <f t="shared" si="5"/>
        <v>Valid</v>
      </c>
      <c r="AE245" s="16" t="str">
        <f t="shared" si="6"/>
        <v>Valid</v>
      </c>
      <c r="AF245" s="16" t="str">
        <f t="shared" ref="AF245:AG245" si="501">IF(ISNUMBER(B245),"Valid","Invalid")</f>
        <v>Valid</v>
      </c>
      <c r="AG245" s="16" t="str">
        <f t="shared" si="501"/>
        <v>Valid</v>
      </c>
      <c r="AH245" s="16" t="str">
        <f t="shared" ref="AH245:AI245" si="502">IF(OR(B245="",ISBLANK(B245)),"Missing","Valid")</f>
        <v>Valid</v>
      </c>
      <c r="AI245" s="16" t="str">
        <f t="shared" si="502"/>
        <v>Valid</v>
      </c>
      <c r="AJ245" s="16" t="b">
        <v>1</v>
      </c>
      <c r="AK245" s="16" t="b">
        <v>0</v>
      </c>
      <c r="AL245" s="16" t="b">
        <v>0</v>
      </c>
      <c r="AM245" s="16" t="b">
        <v>0</v>
      </c>
      <c r="AN245" s="16" t="b">
        <v>0</v>
      </c>
      <c r="AO245" s="16" t="b">
        <v>0</v>
      </c>
      <c r="AP245" s="16" t="b">
        <v>1</v>
      </c>
      <c r="AQ245" s="17">
        <f t="shared" si="9"/>
        <v>0.1</v>
      </c>
      <c r="AR245" s="12">
        <f t="shared" si="10"/>
        <v>4049.5140000000001</v>
      </c>
      <c r="AS245" s="18">
        <f t="shared" si="11"/>
        <v>-3.9999999999054126E-3</v>
      </c>
      <c r="AT245" s="12">
        <f t="shared" si="12"/>
        <v>1540.3140000000003</v>
      </c>
      <c r="AU245" s="18">
        <f t="shared" si="13"/>
        <v>-4.0000000003601599E-3</v>
      </c>
      <c r="AV245" s="19">
        <f t="shared" si="14"/>
        <v>0.38037008885510715</v>
      </c>
      <c r="AW245" s="20" t="str">
        <f t="shared" si="15"/>
        <v>July</v>
      </c>
      <c r="AX245" s="21">
        <f t="shared" si="16"/>
        <v>2025</v>
      </c>
    </row>
    <row r="246" spans="1:50" ht="15.75" customHeight="1">
      <c r="A246" s="10" t="s">
        <v>870</v>
      </c>
      <c r="B246" s="11">
        <v>45527</v>
      </c>
      <c r="C246" s="11">
        <v>45528</v>
      </c>
      <c r="D246" s="10" t="s">
        <v>871</v>
      </c>
      <c r="E246" s="10" t="s">
        <v>108</v>
      </c>
      <c r="F246" s="10" t="s">
        <v>53</v>
      </c>
      <c r="G246" s="10" t="s">
        <v>83</v>
      </c>
      <c r="H246" s="10" t="s">
        <v>84</v>
      </c>
      <c r="I246" s="10" t="s">
        <v>85</v>
      </c>
      <c r="J246" s="10" t="s">
        <v>70</v>
      </c>
      <c r="K246" s="10" t="s">
        <v>187</v>
      </c>
      <c r="L246" s="10" t="s">
        <v>872</v>
      </c>
      <c r="M246" s="10" t="s">
        <v>73</v>
      </c>
      <c r="N246" s="12">
        <v>6</v>
      </c>
      <c r="O246" s="12">
        <v>1021.89</v>
      </c>
      <c r="P246" s="12">
        <v>0</v>
      </c>
      <c r="Q246" s="12">
        <v>6131.34</v>
      </c>
      <c r="R246" s="12">
        <v>4060.88</v>
      </c>
      <c r="S246" s="12">
        <v>2070.46</v>
      </c>
      <c r="T246" s="10" t="s">
        <v>61</v>
      </c>
      <c r="U246" s="13" t="s">
        <v>62</v>
      </c>
      <c r="V246" s="14" t="e">
        <f t="shared" ca="1" si="0"/>
        <v>#NAME?</v>
      </c>
      <c r="W246" s="10" t="str">
        <f ca="1">IFERROR(__xludf.DUMMYFUNCTION("IF(COUNTIF($A:$A,A240)=1,
""Unique"",
IF(COUNTUNIQUE(FILTER($V$2:$V$934,$A$2:$A$934=A240))&gt;1,
""Conflicting Duplicate"",
""Exact Duplicate""))"),"Unique")</f>
        <v>Unique</v>
      </c>
      <c r="X246" s="10" t="b">
        <f t="shared" ca="1" si="1"/>
        <v>1</v>
      </c>
      <c r="Y246" s="10" t="str">
        <f t="shared" si="2"/>
        <v>Unique</v>
      </c>
      <c r="Z246" s="10"/>
      <c r="AA246" s="10" t="str">
        <f t="shared" si="3"/>
        <v>Clean</v>
      </c>
      <c r="AB246" s="15" t="str">
        <f t="shared" si="4"/>
        <v>Valid</v>
      </c>
      <c r="AC246" s="15">
        <v>1</v>
      </c>
      <c r="AD246" s="16" t="str">
        <f t="shared" si="5"/>
        <v>Valid</v>
      </c>
      <c r="AE246" s="16" t="str">
        <f t="shared" si="6"/>
        <v>Valid</v>
      </c>
      <c r="AF246" s="16" t="str">
        <f t="shared" ref="AF246:AG246" si="503">IF(ISNUMBER(B246),"Valid","Invalid")</f>
        <v>Valid</v>
      </c>
      <c r="AG246" s="16" t="str">
        <f t="shared" si="503"/>
        <v>Valid</v>
      </c>
      <c r="AH246" s="16" t="str">
        <f t="shared" ref="AH246:AI246" si="504">IF(OR(B246="",ISBLANK(B246)),"Missing","Valid")</f>
        <v>Valid</v>
      </c>
      <c r="AI246" s="16" t="str">
        <f t="shared" si="504"/>
        <v>Valid</v>
      </c>
      <c r="AJ246" s="16" t="b">
        <v>0</v>
      </c>
      <c r="AK246" s="16" t="b">
        <v>0</v>
      </c>
      <c r="AL246" s="16" t="b">
        <v>0</v>
      </c>
      <c r="AM246" s="16" t="b">
        <v>0</v>
      </c>
      <c r="AN246" s="16" t="b">
        <v>0</v>
      </c>
      <c r="AO246" s="16" t="b">
        <v>0</v>
      </c>
      <c r="AP246" s="16" t="b">
        <v>0</v>
      </c>
      <c r="AQ246" s="17">
        <f t="shared" si="9"/>
        <v>0</v>
      </c>
      <c r="AR246" s="12">
        <f t="shared" si="10"/>
        <v>6131.34</v>
      </c>
      <c r="AS246" s="18">
        <f t="shared" si="11"/>
        <v>0</v>
      </c>
      <c r="AT246" s="12">
        <f t="shared" si="12"/>
        <v>2070.46</v>
      </c>
      <c r="AU246" s="18">
        <f t="shared" si="13"/>
        <v>0</v>
      </c>
      <c r="AV246" s="19">
        <f t="shared" si="14"/>
        <v>0.33768474754295147</v>
      </c>
      <c r="AW246" s="20" t="str">
        <f t="shared" si="15"/>
        <v>August</v>
      </c>
      <c r="AX246" s="21">
        <f t="shared" si="16"/>
        <v>2024</v>
      </c>
    </row>
    <row r="247" spans="1:50" ht="15.75" customHeight="1">
      <c r="A247" s="10" t="s">
        <v>873</v>
      </c>
      <c r="B247" s="11">
        <v>45583</v>
      </c>
      <c r="C247" s="11">
        <v>45589</v>
      </c>
      <c r="D247" s="10" t="s">
        <v>874</v>
      </c>
      <c r="E247" s="10" t="s">
        <v>108</v>
      </c>
      <c r="F247" s="10" t="s">
        <v>124</v>
      </c>
      <c r="G247" s="10" t="s">
        <v>83</v>
      </c>
      <c r="H247" s="10" t="s">
        <v>214</v>
      </c>
      <c r="I247" s="10" t="s">
        <v>215</v>
      </c>
      <c r="J247" s="10" t="s">
        <v>70</v>
      </c>
      <c r="K247" s="10" t="s">
        <v>95</v>
      </c>
      <c r="L247" s="10" t="s">
        <v>875</v>
      </c>
      <c r="M247" s="10" t="s">
        <v>60</v>
      </c>
      <c r="N247" s="12">
        <v>3</v>
      </c>
      <c r="O247" s="12">
        <v>3275.93</v>
      </c>
      <c r="P247" s="12">
        <v>0</v>
      </c>
      <c r="Q247" s="12">
        <v>9827.7900000000009</v>
      </c>
      <c r="R247" s="12">
        <v>5478.28</v>
      </c>
      <c r="S247" s="12">
        <v>4349.51</v>
      </c>
      <c r="T247" s="10" t="s">
        <v>61</v>
      </c>
      <c r="U247" s="13" t="s">
        <v>62</v>
      </c>
      <c r="V247" s="14" t="e">
        <f t="shared" ca="1" si="0"/>
        <v>#NAME?</v>
      </c>
      <c r="W247" s="10" t="str">
        <f ca="1">IFERROR(__xludf.DUMMYFUNCTION("IF(COUNTIF($A:$A,A241)=1,
""Unique"",
IF(COUNTUNIQUE(FILTER($V$2:$V$934,$A$2:$A$934=A241))&gt;1,
""Conflicting Duplicate"",
""Exact Duplicate""))"),"Unique")</f>
        <v>Unique</v>
      </c>
      <c r="X247" s="10" t="b">
        <f t="shared" ca="1" si="1"/>
        <v>1</v>
      </c>
      <c r="Y247" s="10" t="str">
        <f t="shared" si="2"/>
        <v>Unique</v>
      </c>
      <c r="Z247" s="10"/>
      <c r="AA247" s="10" t="str">
        <f t="shared" si="3"/>
        <v>Clean</v>
      </c>
      <c r="AB247" s="15" t="str">
        <f t="shared" si="4"/>
        <v>Valid</v>
      </c>
      <c r="AC247" s="15">
        <v>6</v>
      </c>
      <c r="AD247" s="16" t="str">
        <f t="shared" si="5"/>
        <v>Valid</v>
      </c>
      <c r="AE247" s="16" t="str">
        <f t="shared" si="6"/>
        <v>Valid</v>
      </c>
      <c r="AF247" s="16" t="str">
        <f t="shared" ref="AF247:AG247" si="505">IF(ISNUMBER(B247),"Valid","Invalid")</f>
        <v>Valid</v>
      </c>
      <c r="AG247" s="16" t="str">
        <f t="shared" si="505"/>
        <v>Valid</v>
      </c>
      <c r="AH247" s="16" t="str">
        <f t="shared" ref="AH247:AI247" si="506">IF(OR(B247="",ISBLANK(B247)),"Missing","Valid")</f>
        <v>Valid</v>
      </c>
      <c r="AI247" s="16" t="str">
        <f t="shared" si="506"/>
        <v>Valid</v>
      </c>
      <c r="AJ247" s="16" t="b">
        <v>0</v>
      </c>
      <c r="AK247" s="16" t="b">
        <v>0</v>
      </c>
      <c r="AL247" s="16" t="b">
        <v>0</v>
      </c>
      <c r="AM247" s="16" t="b">
        <v>0</v>
      </c>
      <c r="AN247" s="16" t="b">
        <v>0</v>
      </c>
      <c r="AO247" s="16" t="b">
        <v>0</v>
      </c>
      <c r="AP247" s="16" t="b">
        <v>0</v>
      </c>
      <c r="AQ247" s="17">
        <f t="shared" si="9"/>
        <v>0</v>
      </c>
      <c r="AR247" s="12">
        <f t="shared" si="10"/>
        <v>9827.7899999999991</v>
      </c>
      <c r="AS247" s="18">
        <f t="shared" si="11"/>
        <v>0</v>
      </c>
      <c r="AT247" s="12">
        <f t="shared" si="12"/>
        <v>4349.5099999999993</v>
      </c>
      <c r="AU247" s="18">
        <f t="shared" si="13"/>
        <v>0</v>
      </c>
      <c r="AV247" s="19">
        <f t="shared" si="14"/>
        <v>0.44257254174132737</v>
      </c>
      <c r="AW247" s="20" t="str">
        <f t="shared" si="15"/>
        <v>October</v>
      </c>
      <c r="AX247" s="21">
        <f t="shared" si="16"/>
        <v>2024</v>
      </c>
    </row>
    <row r="248" spans="1:50" ht="15.75" customHeight="1">
      <c r="A248" s="10" t="s">
        <v>876</v>
      </c>
      <c r="B248" s="11">
        <v>45416</v>
      </c>
      <c r="C248" s="11">
        <v>45421</v>
      </c>
      <c r="D248" s="10" t="s">
        <v>877</v>
      </c>
      <c r="E248" s="10" t="s">
        <v>91</v>
      </c>
      <c r="F248" s="10" t="s">
        <v>119</v>
      </c>
      <c r="G248" s="10" t="s">
        <v>54</v>
      </c>
      <c r="H248" s="10" t="s">
        <v>151</v>
      </c>
      <c r="I248" s="10" t="s">
        <v>152</v>
      </c>
      <c r="J248" s="10" t="s">
        <v>103</v>
      </c>
      <c r="K248" s="10" t="s">
        <v>304</v>
      </c>
      <c r="L248" s="10" t="s">
        <v>878</v>
      </c>
      <c r="M248" s="10" t="s">
        <v>73</v>
      </c>
      <c r="N248" s="12">
        <v>3</v>
      </c>
      <c r="O248" s="12">
        <v>231.95</v>
      </c>
      <c r="P248" s="12">
        <v>0.25</v>
      </c>
      <c r="Q248" s="12">
        <v>521.89</v>
      </c>
      <c r="R248" s="12">
        <v>444.52</v>
      </c>
      <c r="S248" s="12">
        <v>77.37</v>
      </c>
      <c r="T248" s="10" t="s">
        <v>131</v>
      </c>
      <c r="U248" s="13" t="s">
        <v>97</v>
      </c>
      <c r="V248" s="14" t="e">
        <f t="shared" ca="1" si="0"/>
        <v>#NAME?</v>
      </c>
      <c r="W248" s="10" t="str">
        <f ca="1">IFERROR(__xludf.DUMMYFUNCTION("IF(COUNTIF($A:$A,A242)=1,
""Unique"",
IF(COUNTUNIQUE(FILTER($V$2:$V$934,$A$2:$A$934=A242))&gt;1,
""Conflicting Duplicate"",
""Exact Duplicate""))"),"Unique")</f>
        <v>Unique</v>
      </c>
      <c r="X248" s="10" t="b">
        <f t="shared" ca="1" si="1"/>
        <v>1</v>
      </c>
      <c r="Y248" s="10" t="str">
        <f t="shared" si="2"/>
        <v>Unique</v>
      </c>
      <c r="Z248" s="10"/>
      <c r="AA248" s="10" t="str">
        <f t="shared" si="3"/>
        <v>Clean</v>
      </c>
      <c r="AB248" s="15" t="str">
        <f t="shared" si="4"/>
        <v>Valid</v>
      </c>
      <c r="AC248" s="15">
        <v>5</v>
      </c>
      <c r="AD248" s="16" t="str">
        <f t="shared" si="5"/>
        <v>Valid</v>
      </c>
      <c r="AE248" s="16" t="str">
        <f t="shared" si="6"/>
        <v>Valid</v>
      </c>
      <c r="AF248" s="16" t="str">
        <f t="shared" ref="AF248:AG248" si="507">IF(ISNUMBER(B248),"Valid","Invalid")</f>
        <v>Valid</v>
      </c>
      <c r="AG248" s="16" t="str">
        <f t="shared" si="507"/>
        <v>Valid</v>
      </c>
      <c r="AH248" s="16" t="str">
        <f t="shared" ref="AH248:AI248" si="508">IF(OR(B248="",ISBLANK(B248)),"Missing","Valid")</f>
        <v>Valid</v>
      </c>
      <c r="AI248" s="16" t="str">
        <f t="shared" si="508"/>
        <v>Valid</v>
      </c>
      <c r="AJ248" s="16" t="b">
        <v>0</v>
      </c>
      <c r="AK248" s="16" t="b">
        <v>0</v>
      </c>
      <c r="AL248" s="16" t="b">
        <v>0</v>
      </c>
      <c r="AM248" s="16" t="b">
        <v>0</v>
      </c>
      <c r="AN248" s="16" t="b">
        <v>0</v>
      </c>
      <c r="AO248" s="16" t="b">
        <v>0</v>
      </c>
      <c r="AP248" s="16" t="b">
        <v>0</v>
      </c>
      <c r="AQ248" s="17">
        <f t="shared" si="9"/>
        <v>0.25</v>
      </c>
      <c r="AR248" s="12">
        <f t="shared" si="10"/>
        <v>521.88749999999993</v>
      </c>
      <c r="AS248" s="18">
        <f t="shared" si="11"/>
        <v>2.5000000000545697E-3</v>
      </c>
      <c r="AT248" s="12">
        <f t="shared" si="12"/>
        <v>77.36749999999995</v>
      </c>
      <c r="AU248" s="18">
        <f t="shared" si="13"/>
        <v>2.5000000000545697E-3</v>
      </c>
      <c r="AV248" s="19">
        <f t="shared" si="14"/>
        <v>0.14824555100476627</v>
      </c>
      <c r="AW248" s="20" t="str">
        <f t="shared" si="15"/>
        <v>May</v>
      </c>
      <c r="AX248" s="21">
        <f t="shared" si="16"/>
        <v>2024</v>
      </c>
    </row>
    <row r="249" spans="1:50" ht="15.75" customHeight="1">
      <c r="A249" s="10" t="s">
        <v>879</v>
      </c>
      <c r="B249" s="11">
        <v>45498</v>
      </c>
      <c r="C249" s="11">
        <v>45505</v>
      </c>
      <c r="D249" s="10" t="s">
        <v>880</v>
      </c>
      <c r="E249" s="10" t="s">
        <v>147</v>
      </c>
      <c r="F249" s="10" t="s">
        <v>119</v>
      </c>
      <c r="G249" s="10" t="s">
        <v>54</v>
      </c>
      <c r="H249" s="10" t="s">
        <v>55</v>
      </c>
      <c r="I249" s="10" t="s">
        <v>56</v>
      </c>
      <c r="J249" s="10" t="s">
        <v>103</v>
      </c>
      <c r="K249" s="10" t="s">
        <v>104</v>
      </c>
      <c r="L249" s="10" t="s">
        <v>881</v>
      </c>
      <c r="M249" s="10" t="s">
        <v>60</v>
      </c>
      <c r="N249" s="12">
        <v>8</v>
      </c>
      <c r="O249" s="12">
        <v>2493.4</v>
      </c>
      <c r="P249" s="12">
        <v>0.25</v>
      </c>
      <c r="Q249" s="12">
        <v>14960.4</v>
      </c>
      <c r="R249" s="12">
        <v>12500.84</v>
      </c>
      <c r="S249" s="12">
        <v>2459.56</v>
      </c>
      <c r="T249" s="10" t="s">
        <v>61</v>
      </c>
      <c r="U249" s="13" t="s">
        <v>62</v>
      </c>
      <c r="V249" s="14" t="e">
        <f t="shared" ca="1" si="0"/>
        <v>#NAME?</v>
      </c>
      <c r="W249" s="10" t="str">
        <f ca="1">IFERROR(__xludf.DUMMYFUNCTION("IF(COUNTIF($A:$A,A243)=1,
""Unique"",
IF(COUNTUNIQUE(FILTER($V$2:$V$934,$A$2:$A$934=A243))&gt;1,
""Conflicting Duplicate"",
""Exact Duplicate""))"),"Unique")</f>
        <v>Unique</v>
      </c>
      <c r="X249" s="10" t="b">
        <f t="shared" ca="1" si="1"/>
        <v>1</v>
      </c>
      <c r="Y249" s="10" t="str">
        <f t="shared" si="2"/>
        <v>Unique</v>
      </c>
      <c r="Z249" s="10"/>
      <c r="AA249" s="10" t="str">
        <f t="shared" si="3"/>
        <v>Clean</v>
      </c>
      <c r="AB249" s="15" t="str">
        <f t="shared" si="4"/>
        <v>Valid</v>
      </c>
      <c r="AC249" s="15">
        <v>7</v>
      </c>
      <c r="AD249" s="16" t="str">
        <f t="shared" si="5"/>
        <v>Valid</v>
      </c>
      <c r="AE249" s="16" t="str">
        <f t="shared" si="6"/>
        <v>Valid</v>
      </c>
      <c r="AF249" s="16" t="str">
        <f t="shared" ref="AF249:AG249" si="509">IF(ISNUMBER(B249),"Valid","Invalid")</f>
        <v>Valid</v>
      </c>
      <c r="AG249" s="16" t="str">
        <f t="shared" si="509"/>
        <v>Valid</v>
      </c>
      <c r="AH249" s="16" t="str">
        <f t="shared" ref="AH249:AI249" si="510">IF(OR(B249="",ISBLANK(B249)),"Missing","Valid")</f>
        <v>Valid</v>
      </c>
      <c r="AI249" s="16" t="str">
        <f t="shared" si="510"/>
        <v>Valid</v>
      </c>
      <c r="AJ249" s="16" t="b">
        <v>0</v>
      </c>
      <c r="AK249" s="16" t="b">
        <v>0</v>
      </c>
      <c r="AL249" s="16" t="b">
        <v>0</v>
      </c>
      <c r="AM249" s="16" t="b">
        <v>0</v>
      </c>
      <c r="AN249" s="16" t="b">
        <v>0</v>
      </c>
      <c r="AO249" s="16" t="b">
        <v>0</v>
      </c>
      <c r="AP249" s="16" t="b">
        <v>0</v>
      </c>
      <c r="AQ249" s="17">
        <f t="shared" si="9"/>
        <v>0.25</v>
      </c>
      <c r="AR249" s="12">
        <f t="shared" si="10"/>
        <v>14960.400000000001</v>
      </c>
      <c r="AS249" s="18">
        <f t="shared" si="11"/>
        <v>0</v>
      </c>
      <c r="AT249" s="12">
        <f t="shared" si="12"/>
        <v>2459.5600000000013</v>
      </c>
      <c r="AU249" s="18">
        <f t="shared" si="13"/>
        <v>0</v>
      </c>
      <c r="AV249" s="19">
        <f t="shared" si="14"/>
        <v>0.16440469506162944</v>
      </c>
      <c r="AW249" s="20" t="str">
        <f t="shared" si="15"/>
        <v>July</v>
      </c>
      <c r="AX249" s="21">
        <f t="shared" si="16"/>
        <v>2024</v>
      </c>
    </row>
    <row r="250" spans="1:50" ht="15.75" customHeight="1">
      <c r="A250" s="10" t="s">
        <v>882</v>
      </c>
      <c r="B250" s="11">
        <v>45445</v>
      </c>
      <c r="C250" s="11">
        <v>45450</v>
      </c>
      <c r="D250" s="10" t="s">
        <v>883</v>
      </c>
      <c r="E250" s="10" t="s">
        <v>170</v>
      </c>
      <c r="F250" s="10" t="s">
        <v>124</v>
      </c>
      <c r="G250" s="10" t="s">
        <v>67</v>
      </c>
      <c r="H250" s="10" t="s">
        <v>68</v>
      </c>
      <c r="I250" s="10" t="s">
        <v>69</v>
      </c>
      <c r="J250" s="10" t="s">
        <v>57</v>
      </c>
      <c r="K250" s="10" t="s">
        <v>120</v>
      </c>
      <c r="L250" s="10" t="s">
        <v>884</v>
      </c>
      <c r="M250" s="10" t="s">
        <v>60</v>
      </c>
      <c r="N250" s="12">
        <v>9</v>
      </c>
      <c r="O250" s="12">
        <v>787.91</v>
      </c>
      <c r="P250" s="12">
        <v>0.15</v>
      </c>
      <c r="Q250" s="12">
        <v>6027.51</v>
      </c>
      <c r="R250" s="12">
        <v>4883.82</v>
      </c>
      <c r="S250" s="12">
        <v>1143.69</v>
      </c>
      <c r="T250" s="10" t="s">
        <v>61</v>
      </c>
      <c r="U250" s="13" t="s">
        <v>62</v>
      </c>
      <c r="V250" s="14" t="e">
        <f t="shared" ca="1" si="0"/>
        <v>#NAME?</v>
      </c>
      <c r="W250" s="10" t="str">
        <f ca="1">IFERROR(__xludf.DUMMYFUNCTION("IF(COUNTIF($A:$A,A244)=1,
""Unique"",
IF(COUNTUNIQUE(FILTER($V$2:$V$934,$A$2:$A$934=A244))&gt;1,
""Conflicting Duplicate"",
""Exact Duplicate""))"),"Unique")</f>
        <v>Unique</v>
      </c>
      <c r="X250" s="10" t="b">
        <f t="shared" ca="1" si="1"/>
        <v>1</v>
      </c>
      <c r="Y250" s="10" t="str">
        <f t="shared" si="2"/>
        <v>Unique</v>
      </c>
      <c r="Z250" s="10"/>
      <c r="AA250" s="10" t="str">
        <f t="shared" si="3"/>
        <v>Clean</v>
      </c>
      <c r="AB250" s="15" t="str">
        <f t="shared" si="4"/>
        <v>Valid</v>
      </c>
      <c r="AC250" s="15">
        <v>5</v>
      </c>
      <c r="AD250" s="16" t="str">
        <f t="shared" si="5"/>
        <v>Valid</v>
      </c>
      <c r="AE250" s="16" t="str">
        <f t="shared" si="6"/>
        <v>Valid</v>
      </c>
      <c r="AF250" s="16" t="str">
        <f t="shared" ref="AF250:AG250" si="511">IF(ISNUMBER(B250),"Valid","Invalid")</f>
        <v>Valid</v>
      </c>
      <c r="AG250" s="16" t="str">
        <f t="shared" si="511"/>
        <v>Valid</v>
      </c>
      <c r="AH250" s="16" t="str">
        <f t="shared" ref="AH250:AI250" si="512">IF(OR(B250="",ISBLANK(B250)),"Missing","Valid")</f>
        <v>Valid</v>
      </c>
      <c r="AI250" s="16" t="str">
        <f t="shared" si="512"/>
        <v>Valid</v>
      </c>
      <c r="AJ250" s="16" t="b">
        <v>0</v>
      </c>
      <c r="AK250" s="16" t="b">
        <v>0</v>
      </c>
      <c r="AL250" s="16" t="b">
        <v>0</v>
      </c>
      <c r="AM250" s="16" t="b">
        <v>0</v>
      </c>
      <c r="AN250" s="16" t="b">
        <v>0</v>
      </c>
      <c r="AO250" s="16" t="b">
        <v>0</v>
      </c>
      <c r="AP250" s="16" t="b">
        <v>0</v>
      </c>
      <c r="AQ250" s="17">
        <f t="shared" si="9"/>
        <v>0.15</v>
      </c>
      <c r="AR250" s="12">
        <f t="shared" si="10"/>
        <v>6027.5114999999996</v>
      </c>
      <c r="AS250" s="18">
        <f t="shared" si="11"/>
        <v>-1.4999999993960955E-3</v>
      </c>
      <c r="AT250" s="12">
        <f t="shared" si="12"/>
        <v>1143.6914999999999</v>
      </c>
      <c r="AU250" s="18">
        <f t="shared" si="13"/>
        <v>-1.4999999998508429E-3</v>
      </c>
      <c r="AV250" s="19">
        <f t="shared" si="14"/>
        <v>0.18974522072666306</v>
      </c>
      <c r="AW250" s="20" t="str">
        <f t="shared" si="15"/>
        <v>June</v>
      </c>
      <c r="AX250" s="21">
        <f t="shared" si="16"/>
        <v>2024</v>
      </c>
    </row>
    <row r="251" spans="1:50" ht="15.75" customHeight="1">
      <c r="A251" s="10" t="s">
        <v>885</v>
      </c>
      <c r="B251" s="11">
        <v>45870</v>
      </c>
      <c r="C251" s="11">
        <v>45871</v>
      </c>
      <c r="D251" s="10" t="s">
        <v>886</v>
      </c>
      <c r="E251" s="10" t="s">
        <v>65</v>
      </c>
      <c r="F251" s="10" t="s">
        <v>119</v>
      </c>
      <c r="G251" s="10" t="s">
        <v>54</v>
      </c>
      <c r="H251" s="10" t="s">
        <v>55</v>
      </c>
      <c r="I251" s="10" t="s">
        <v>56</v>
      </c>
      <c r="J251" s="10" t="s">
        <v>70</v>
      </c>
      <c r="K251" s="10" t="s">
        <v>86</v>
      </c>
      <c r="L251" s="10" t="s">
        <v>887</v>
      </c>
      <c r="M251" s="10" t="s">
        <v>79</v>
      </c>
      <c r="N251" s="12">
        <v>4</v>
      </c>
      <c r="O251" s="12">
        <v>2790.29</v>
      </c>
      <c r="P251" s="12">
        <v>0.2</v>
      </c>
      <c r="Q251" s="12">
        <v>8928.93</v>
      </c>
      <c r="R251" s="12">
        <v>5634.38</v>
      </c>
      <c r="S251" s="12">
        <v>3294.55</v>
      </c>
      <c r="T251" s="10" t="s">
        <v>61</v>
      </c>
      <c r="U251" s="13" t="s">
        <v>62</v>
      </c>
      <c r="V251" s="14" t="e">
        <f t="shared" ca="1" si="0"/>
        <v>#NAME?</v>
      </c>
      <c r="W251" s="10" t="str">
        <f ca="1">IFERROR(__xludf.DUMMYFUNCTION("IF(COUNTIF($A:$A,A245)=1,
""Unique"",
IF(COUNTUNIQUE(FILTER($V$2:$V$934,$A$2:$A$934=A245))&gt;1,
""Conflicting Duplicate"",
""Exact Duplicate""))"),"Unique")</f>
        <v>Unique</v>
      </c>
      <c r="X251" s="10" t="b">
        <f t="shared" ca="1" si="1"/>
        <v>1</v>
      </c>
      <c r="Y251" s="10" t="str">
        <f t="shared" si="2"/>
        <v>Unique</v>
      </c>
      <c r="Z251" s="10"/>
      <c r="AA251" s="10" t="str">
        <f t="shared" si="3"/>
        <v>Clean</v>
      </c>
      <c r="AB251" s="15" t="str">
        <f t="shared" si="4"/>
        <v>Valid</v>
      </c>
      <c r="AC251" s="15">
        <v>1</v>
      </c>
      <c r="AD251" s="16" t="str">
        <f t="shared" si="5"/>
        <v>Valid</v>
      </c>
      <c r="AE251" s="16" t="str">
        <f t="shared" si="6"/>
        <v>Valid</v>
      </c>
      <c r="AF251" s="16" t="str">
        <f t="shared" ref="AF251:AG251" si="513">IF(ISNUMBER(B251),"Valid","Invalid")</f>
        <v>Valid</v>
      </c>
      <c r="AG251" s="16" t="str">
        <f t="shared" si="513"/>
        <v>Valid</v>
      </c>
      <c r="AH251" s="16" t="str">
        <f t="shared" ref="AH251:AI251" si="514">IF(OR(B251="",ISBLANK(B251)),"Missing","Valid")</f>
        <v>Valid</v>
      </c>
      <c r="AI251" s="16" t="str">
        <f t="shared" si="514"/>
        <v>Valid</v>
      </c>
      <c r="AJ251" s="16" t="b">
        <v>0</v>
      </c>
      <c r="AK251" s="16" t="b">
        <v>0</v>
      </c>
      <c r="AL251" s="16" t="b">
        <v>0</v>
      </c>
      <c r="AM251" s="16" t="b">
        <v>0</v>
      </c>
      <c r="AN251" s="16" t="b">
        <v>0</v>
      </c>
      <c r="AO251" s="16" t="b">
        <v>0</v>
      </c>
      <c r="AP251" s="16" t="b">
        <v>0</v>
      </c>
      <c r="AQ251" s="17">
        <f t="shared" si="9"/>
        <v>0.2</v>
      </c>
      <c r="AR251" s="12">
        <f t="shared" si="10"/>
        <v>8928.9279999999999</v>
      </c>
      <c r="AS251" s="18">
        <f t="shared" si="11"/>
        <v>2.0000000004074536E-3</v>
      </c>
      <c r="AT251" s="12">
        <f t="shared" si="12"/>
        <v>3294.5479999999998</v>
      </c>
      <c r="AU251" s="18">
        <f t="shared" si="13"/>
        <v>2.0000000004074536E-3</v>
      </c>
      <c r="AV251" s="19">
        <f t="shared" si="14"/>
        <v>0.36897464062875185</v>
      </c>
      <c r="AW251" s="20" t="str">
        <f t="shared" si="15"/>
        <v>August</v>
      </c>
      <c r="AX251" s="21">
        <f t="shared" si="16"/>
        <v>2025</v>
      </c>
    </row>
    <row r="252" spans="1:50" ht="15.75" customHeight="1">
      <c r="A252" s="10" t="s">
        <v>888</v>
      </c>
      <c r="B252" s="11">
        <v>45343</v>
      </c>
      <c r="C252" s="11">
        <v>45349</v>
      </c>
      <c r="D252" s="10" t="s">
        <v>889</v>
      </c>
      <c r="E252" s="10" t="s">
        <v>82</v>
      </c>
      <c r="F252" s="10" t="s">
        <v>66</v>
      </c>
      <c r="G252" s="10" t="s">
        <v>67</v>
      </c>
      <c r="H252" s="10" t="s">
        <v>128</v>
      </c>
      <c r="I252" s="10" t="s">
        <v>129</v>
      </c>
      <c r="J252" s="10" t="s">
        <v>70</v>
      </c>
      <c r="K252" s="10" t="s">
        <v>86</v>
      </c>
      <c r="L252" s="10" t="s">
        <v>890</v>
      </c>
      <c r="M252" s="10" t="s">
        <v>88</v>
      </c>
      <c r="N252" s="12">
        <v>5</v>
      </c>
      <c r="O252" s="12">
        <v>3373.86</v>
      </c>
      <c r="P252" s="12">
        <v>0.15</v>
      </c>
      <c r="Q252" s="12">
        <v>14338.9</v>
      </c>
      <c r="R252" s="12">
        <v>11897.65</v>
      </c>
      <c r="S252" s="12">
        <v>2441.25</v>
      </c>
      <c r="T252" s="10" t="s">
        <v>140</v>
      </c>
      <c r="U252" s="13" t="s">
        <v>132</v>
      </c>
      <c r="V252" s="14" t="e">
        <f t="shared" ca="1" si="0"/>
        <v>#NAME?</v>
      </c>
      <c r="W252" s="10" t="str">
        <f ca="1">IFERROR(__xludf.DUMMYFUNCTION("IF(COUNTIF($A:$A,A246)=1,
""Unique"",
IF(COUNTUNIQUE(FILTER($V$2:$V$934,$A$2:$A$934=A246))&gt;1,
""Conflicting Duplicate"",
""Exact Duplicate""))"),"Unique")</f>
        <v>Unique</v>
      </c>
      <c r="X252" s="10" t="b">
        <f t="shared" ca="1" si="1"/>
        <v>1</v>
      </c>
      <c r="Y252" s="10" t="str">
        <f t="shared" si="2"/>
        <v>Duplicate Order ID</v>
      </c>
      <c r="Z252" s="10"/>
      <c r="AA252" s="10" t="str">
        <f t="shared" si="3"/>
        <v>Clean</v>
      </c>
      <c r="AB252" s="15" t="str">
        <f t="shared" si="4"/>
        <v>Valid</v>
      </c>
      <c r="AC252" s="15">
        <v>6</v>
      </c>
      <c r="AD252" s="16" t="str">
        <f t="shared" si="5"/>
        <v>Valid</v>
      </c>
      <c r="AE252" s="16" t="str">
        <f t="shared" si="6"/>
        <v>Valid</v>
      </c>
      <c r="AF252" s="16" t="str">
        <f t="shared" ref="AF252:AG252" si="515">IF(ISNUMBER(B252),"Valid","Invalid")</f>
        <v>Valid</v>
      </c>
      <c r="AG252" s="16" t="str">
        <f t="shared" si="515"/>
        <v>Valid</v>
      </c>
      <c r="AH252" s="16" t="str">
        <f t="shared" ref="AH252:AI252" si="516">IF(OR(B252="",ISBLANK(B252)),"Missing","Valid")</f>
        <v>Valid</v>
      </c>
      <c r="AI252" s="16" t="str">
        <f t="shared" si="516"/>
        <v>Valid</v>
      </c>
      <c r="AJ252" s="16" t="b">
        <v>0</v>
      </c>
      <c r="AK252" s="16" t="b">
        <v>0</v>
      </c>
      <c r="AL252" s="16" t="b">
        <v>0</v>
      </c>
      <c r="AM252" s="16" t="b">
        <v>0</v>
      </c>
      <c r="AN252" s="16" t="b">
        <v>0</v>
      </c>
      <c r="AO252" s="16" t="b">
        <v>0</v>
      </c>
      <c r="AP252" s="16" t="b">
        <v>0</v>
      </c>
      <c r="AQ252" s="17">
        <f t="shared" si="9"/>
        <v>0.15</v>
      </c>
      <c r="AR252" s="12">
        <f t="shared" si="10"/>
        <v>14338.904999999999</v>
      </c>
      <c r="AS252" s="18">
        <f t="shared" si="11"/>
        <v>-4.9999999991996447E-3</v>
      </c>
      <c r="AT252" s="12">
        <f t="shared" si="12"/>
        <v>2441.2549999999992</v>
      </c>
      <c r="AU252" s="18">
        <f t="shared" si="13"/>
        <v>-4.9999999991996447E-3</v>
      </c>
      <c r="AV252" s="19">
        <f t="shared" si="14"/>
        <v>0.17025393501107647</v>
      </c>
      <c r="AW252" s="20" t="str">
        <f t="shared" si="15"/>
        <v>February</v>
      </c>
      <c r="AX252" s="21">
        <f t="shared" si="16"/>
        <v>2024</v>
      </c>
    </row>
    <row r="253" spans="1:50" ht="15.75" customHeight="1">
      <c r="A253" s="10" t="s">
        <v>891</v>
      </c>
      <c r="B253" s="11">
        <v>45753</v>
      </c>
      <c r="C253" s="11">
        <v>45757</v>
      </c>
      <c r="D253" s="10" t="s">
        <v>892</v>
      </c>
      <c r="E253" s="10" t="s">
        <v>91</v>
      </c>
      <c r="F253" s="10" t="s">
        <v>119</v>
      </c>
      <c r="G253" s="10" t="s">
        <v>92</v>
      </c>
      <c r="H253" s="10" t="s">
        <v>209</v>
      </c>
      <c r="I253" s="10" t="s">
        <v>210</v>
      </c>
      <c r="J253" s="10" t="s">
        <v>70</v>
      </c>
      <c r="K253" s="10" t="s">
        <v>71</v>
      </c>
      <c r="L253" s="10" t="s">
        <v>893</v>
      </c>
      <c r="M253" s="10" t="s">
        <v>60</v>
      </c>
      <c r="N253" s="12">
        <v>6</v>
      </c>
      <c r="O253" s="12">
        <v>1022.16</v>
      </c>
      <c r="P253" s="12">
        <v>0</v>
      </c>
      <c r="Q253" s="12">
        <v>6132.96</v>
      </c>
      <c r="R253" s="12">
        <v>4881.1000000000004</v>
      </c>
      <c r="S253" s="12">
        <v>1251.8599999999999</v>
      </c>
      <c r="T253" s="10" t="s">
        <v>61</v>
      </c>
      <c r="U253" s="13" t="s">
        <v>62</v>
      </c>
      <c r="V253" s="14" t="e">
        <f t="shared" ca="1" si="0"/>
        <v>#NAME?</v>
      </c>
      <c r="W253" s="10" t="str">
        <f ca="1">IFERROR(__xludf.DUMMYFUNCTION("IF(COUNTIF($A:$A,A247)=1,
""Unique"",
IF(COUNTUNIQUE(FILTER($V$2:$V$934,$A$2:$A$934=A247))&gt;1,
""Conflicting Duplicate"",
""Exact Duplicate""))"),"Unique")</f>
        <v>Unique</v>
      </c>
      <c r="X253" s="10" t="b">
        <f t="shared" ca="1" si="1"/>
        <v>1</v>
      </c>
      <c r="Y253" s="10" t="str">
        <f t="shared" si="2"/>
        <v>Unique</v>
      </c>
      <c r="Z253" s="10"/>
      <c r="AA253" s="10" t="str">
        <f t="shared" si="3"/>
        <v>Clean</v>
      </c>
      <c r="AB253" s="15" t="str">
        <f t="shared" si="4"/>
        <v>Valid</v>
      </c>
      <c r="AC253" s="15">
        <v>4</v>
      </c>
      <c r="AD253" s="16" t="str">
        <f t="shared" si="5"/>
        <v>Valid</v>
      </c>
      <c r="AE253" s="16" t="str">
        <f t="shared" si="6"/>
        <v>Valid</v>
      </c>
      <c r="AF253" s="16" t="str">
        <f t="shared" ref="AF253:AG253" si="517">IF(ISNUMBER(B253),"Valid","Invalid")</f>
        <v>Valid</v>
      </c>
      <c r="AG253" s="16" t="str">
        <f t="shared" si="517"/>
        <v>Valid</v>
      </c>
      <c r="AH253" s="16" t="str">
        <f t="shared" ref="AH253:AI253" si="518">IF(OR(B253="",ISBLANK(B253)),"Missing","Valid")</f>
        <v>Valid</v>
      </c>
      <c r="AI253" s="16" t="str">
        <f t="shared" si="518"/>
        <v>Valid</v>
      </c>
      <c r="AJ253" s="16" t="b">
        <v>0</v>
      </c>
      <c r="AK253" s="16" t="b">
        <v>0</v>
      </c>
      <c r="AL253" s="16" t="b">
        <v>0</v>
      </c>
      <c r="AM253" s="16" t="b">
        <v>0</v>
      </c>
      <c r="AN253" s="16" t="b">
        <v>0</v>
      </c>
      <c r="AO253" s="16" t="b">
        <v>0</v>
      </c>
      <c r="AP253" s="16" t="b">
        <v>0</v>
      </c>
      <c r="AQ253" s="17">
        <f t="shared" si="9"/>
        <v>0</v>
      </c>
      <c r="AR253" s="12">
        <f t="shared" si="10"/>
        <v>6132.96</v>
      </c>
      <c r="AS253" s="18">
        <f t="shared" si="11"/>
        <v>0</v>
      </c>
      <c r="AT253" s="12">
        <f t="shared" si="12"/>
        <v>1251.8599999999997</v>
      </c>
      <c r="AU253" s="18">
        <f t="shared" si="13"/>
        <v>0</v>
      </c>
      <c r="AV253" s="19">
        <f t="shared" si="14"/>
        <v>0.20412003339333692</v>
      </c>
      <c r="AW253" s="20" t="str">
        <f t="shared" si="15"/>
        <v>April</v>
      </c>
      <c r="AX253" s="21">
        <f t="shared" si="16"/>
        <v>2025</v>
      </c>
    </row>
    <row r="254" spans="1:50" ht="15.75" customHeight="1">
      <c r="A254" s="10" t="s">
        <v>894</v>
      </c>
      <c r="B254" s="11">
        <v>45833</v>
      </c>
      <c r="C254" s="11">
        <v>45836</v>
      </c>
      <c r="D254" s="10" t="s">
        <v>895</v>
      </c>
      <c r="E254" s="10" t="s">
        <v>82</v>
      </c>
      <c r="F254" s="10" t="s">
        <v>119</v>
      </c>
      <c r="G254" s="10" t="s">
        <v>54</v>
      </c>
      <c r="H254" s="10" t="s">
        <v>266</v>
      </c>
      <c r="I254" s="10" t="s">
        <v>267</v>
      </c>
      <c r="J254" s="10" t="s">
        <v>57</v>
      </c>
      <c r="K254" s="10" t="s">
        <v>153</v>
      </c>
      <c r="L254" s="10" t="s">
        <v>896</v>
      </c>
      <c r="M254" s="10" t="s">
        <v>79</v>
      </c>
      <c r="N254" s="12">
        <v>2</v>
      </c>
      <c r="O254" s="12">
        <v>1455.92</v>
      </c>
      <c r="P254" s="12">
        <v>0.2</v>
      </c>
      <c r="Q254" s="12">
        <v>2329.4699999999998</v>
      </c>
      <c r="R254" s="12">
        <v>1603.62</v>
      </c>
      <c r="S254" s="12">
        <v>725.85</v>
      </c>
      <c r="T254" s="10" t="s">
        <v>140</v>
      </c>
      <c r="U254" s="13" t="s">
        <v>132</v>
      </c>
      <c r="V254" s="14" t="e">
        <f t="shared" ca="1" si="0"/>
        <v>#NAME?</v>
      </c>
      <c r="W254" s="10" t="str">
        <f ca="1">IFERROR(__xludf.DUMMYFUNCTION("IF(COUNTIF($A:$A,A248)=1,
""Unique"",
IF(COUNTUNIQUE(FILTER($V$2:$V$934,$A$2:$A$934=A248))&gt;1,
""Conflicting Duplicate"",
""Exact Duplicate""))"),"Unique")</f>
        <v>Unique</v>
      </c>
      <c r="X254" s="10" t="b">
        <f t="shared" ca="1" si="1"/>
        <v>1</v>
      </c>
      <c r="Y254" s="10" t="str">
        <f t="shared" si="2"/>
        <v>Unique</v>
      </c>
      <c r="Z254" s="10"/>
      <c r="AA254" s="10" t="str">
        <f t="shared" si="3"/>
        <v>Clean</v>
      </c>
      <c r="AB254" s="15" t="str">
        <f t="shared" si="4"/>
        <v>Valid</v>
      </c>
      <c r="AC254" s="15">
        <v>3</v>
      </c>
      <c r="AD254" s="16" t="str">
        <f t="shared" si="5"/>
        <v>Valid</v>
      </c>
      <c r="AE254" s="16" t="str">
        <f t="shared" si="6"/>
        <v>Valid</v>
      </c>
      <c r="AF254" s="16" t="str">
        <f t="shared" ref="AF254:AG254" si="519">IF(ISNUMBER(B254),"Valid","Invalid")</f>
        <v>Valid</v>
      </c>
      <c r="AG254" s="16" t="str">
        <f t="shared" si="519"/>
        <v>Valid</v>
      </c>
      <c r="AH254" s="16" t="str">
        <f t="shared" ref="AH254:AI254" si="520">IF(OR(B254="",ISBLANK(B254)),"Missing","Valid")</f>
        <v>Valid</v>
      </c>
      <c r="AI254" s="16" t="str">
        <f t="shared" si="520"/>
        <v>Valid</v>
      </c>
      <c r="AJ254" s="16" t="b">
        <v>0</v>
      </c>
      <c r="AK254" s="16" t="b">
        <v>0</v>
      </c>
      <c r="AL254" s="16" t="b">
        <v>0</v>
      </c>
      <c r="AM254" s="16" t="b">
        <v>0</v>
      </c>
      <c r="AN254" s="16" t="b">
        <v>0</v>
      </c>
      <c r="AO254" s="16" t="b">
        <v>0</v>
      </c>
      <c r="AP254" s="16" t="b">
        <v>0</v>
      </c>
      <c r="AQ254" s="17">
        <f t="shared" si="9"/>
        <v>0.2</v>
      </c>
      <c r="AR254" s="12">
        <f t="shared" si="10"/>
        <v>2329.4720000000002</v>
      </c>
      <c r="AS254" s="18">
        <f t="shared" si="11"/>
        <v>-2.0000000004074536E-3</v>
      </c>
      <c r="AT254" s="12">
        <f t="shared" si="12"/>
        <v>725.85200000000032</v>
      </c>
      <c r="AU254" s="18">
        <f t="shared" si="13"/>
        <v>-2.0000000002937668E-3</v>
      </c>
      <c r="AV254" s="19">
        <f t="shared" si="14"/>
        <v>0.31159507390515973</v>
      </c>
      <c r="AW254" s="20" t="str">
        <f t="shared" si="15"/>
        <v>June</v>
      </c>
      <c r="AX254" s="21">
        <f t="shared" si="16"/>
        <v>2025</v>
      </c>
    </row>
    <row r="255" spans="1:50" ht="15.75" customHeight="1">
      <c r="A255" s="10" t="s">
        <v>897</v>
      </c>
      <c r="B255" s="11">
        <v>45547</v>
      </c>
      <c r="C255" s="11">
        <v>45548</v>
      </c>
      <c r="D255" s="10" t="s">
        <v>898</v>
      </c>
      <c r="E255" s="10" t="s">
        <v>143</v>
      </c>
      <c r="F255" s="10" t="s">
        <v>66</v>
      </c>
      <c r="G255" s="10" t="s">
        <v>54</v>
      </c>
      <c r="H255" s="10" t="s">
        <v>55</v>
      </c>
      <c r="I255" s="10" t="s">
        <v>56</v>
      </c>
      <c r="J255" s="10" t="s">
        <v>103</v>
      </c>
      <c r="K255" s="10" t="s">
        <v>200</v>
      </c>
      <c r="L255" s="10" t="s">
        <v>899</v>
      </c>
      <c r="M255" s="10" t="s">
        <v>73</v>
      </c>
      <c r="N255" s="12">
        <v>6</v>
      </c>
      <c r="O255" s="12">
        <v>832.79</v>
      </c>
      <c r="P255" s="12">
        <v>0.05</v>
      </c>
      <c r="Q255" s="12">
        <v>4746.8999999999996</v>
      </c>
      <c r="R255" s="12">
        <v>2825.38</v>
      </c>
      <c r="S255" s="12">
        <v>1472.89</v>
      </c>
      <c r="T255" s="10" t="s">
        <v>131</v>
      </c>
      <c r="U255" s="13" t="s">
        <v>97</v>
      </c>
      <c r="V255" s="14" t="e">
        <f t="shared" ca="1" si="0"/>
        <v>#NAME?</v>
      </c>
      <c r="W255" s="10" t="str">
        <f ca="1">IFERROR(__xludf.DUMMYFUNCTION("IF(COUNTIF($A:$A,A249)=1,
""Unique"",
IF(COUNTUNIQUE(FILTER($V$2:$V$934,$A$2:$A$934=A249))&gt;1,
""Conflicting Duplicate"",
""Exact Duplicate""))"),"Unique")</f>
        <v>Unique</v>
      </c>
      <c r="X255" s="10" t="b">
        <f t="shared" ca="1" si="1"/>
        <v>1</v>
      </c>
      <c r="Y255" s="10" t="str">
        <f t="shared" si="2"/>
        <v>Unique</v>
      </c>
      <c r="Z255" s="10"/>
      <c r="AA255" s="10" t="str">
        <f t="shared" si="3"/>
        <v>Clean</v>
      </c>
      <c r="AB255" s="15" t="str">
        <f t="shared" si="4"/>
        <v>Valid</v>
      </c>
      <c r="AC255" s="15">
        <v>1</v>
      </c>
      <c r="AD255" s="16" t="str">
        <f t="shared" si="5"/>
        <v>Valid</v>
      </c>
      <c r="AE255" s="16" t="str">
        <f t="shared" si="6"/>
        <v>Valid</v>
      </c>
      <c r="AF255" s="16" t="str">
        <f t="shared" ref="AF255:AG255" si="521">IF(ISNUMBER(B255),"Valid","Invalid")</f>
        <v>Valid</v>
      </c>
      <c r="AG255" s="16" t="str">
        <f t="shared" si="521"/>
        <v>Valid</v>
      </c>
      <c r="AH255" s="16" t="str">
        <f t="shared" ref="AH255:AI255" si="522">IF(OR(B255="",ISBLANK(B255)),"Missing","Valid")</f>
        <v>Valid</v>
      </c>
      <c r="AI255" s="16" t="str">
        <f t="shared" si="522"/>
        <v>Valid</v>
      </c>
      <c r="AJ255" s="16" t="b">
        <v>0</v>
      </c>
      <c r="AK255" s="16" t="b">
        <v>0</v>
      </c>
      <c r="AL255" s="16" t="b">
        <v>0</v>
      </c>
      <c r="AM255" s="16" t="b">
        <v>0</v>
      </c>
      <c r="AN255" s="16" t="b">
        <v>0</v>
      </c>
      <c r="AO255" s="16" t="b">
        <v>0</v>
      </c>
      <c r="AP255" s="16" t="b">
        <v>0</v>
      </c>
      <c r="AQ255" s="17">
        <f t="shared" si="9"/>
        <v>0.05</v>
      </c>
      <c r="AR255" s="12">
        <f t="shared" si="10"/>
        <v>4746.9029999999993</v>
      </c>
      <c r="AS255" s="18">
        <f t="shared" si="11"/>
        <v>-2.9999999997016857E-3</v>
      </c>
      <c r="AT255" s="12">
        <f t="shared" si="12"/>
        <v>1921.5229999999992</v>
      </c>
      <c r="AU255" s="18">
        <f t="shared" si="13"/>
        <v>-448.63299999999913</v>
      </c>
      <c r="AV255" s="19">
        <f t="shared" si="14"/>
        <v>0.40479508428969363</v>
      </c>
      <c r="AW255" s="20" t="str">
        <f t="shared" si="15"/>
        <v>September</v>
      </c>
      <c r="AX255" s="21">
        <f t="shared" si="16"/>
        <v>2024</v>
      </c>
    </row>
    <row r="256" spans="1:50" ht="15.75" customHeight="1">
      <c r="A256" s="10" t="s">
        <v>900</v>
      </c>
      <c r="B256" s="11">
        <v>45658</v>
      </c>
      <c r="C256" s="11">
        <v>45660</v>
      </c>
      <c r="D256" s="10" t="s">
        <v>901</v>
      </c>
      <c r="E256" s="10" t="s">
        <v>91</v>
      </c>
      <c r="F256" s="10" t="s">
        <v>53</v>
      </c>
      <c r="G256" s="10" t="s">
        <v>92</v>
      </c>
      <c r="H256" s="10" t="s">
        <v>101</v>
      </c>
      <c r="I256" s="10" t="s">
        <v>102</v>
      </c>
      <c r="J256" s="10" t="s">
        <v>103</v>
      </c>
      <c r="K256" s="10" t="s">
        <v>104</v>
      </c>
      <c r="L256" s="10" t="s">
        <v>902</v>
      </c>
      <c r="M256" s="10" t="s">
        <v>73</v>
      </c>
      <c r="N256" s="12">
        <v>7</v>
      </c>
      <c r="O256" s="12">
        <v>1000.55</v>
      </c>
      <c r="P256" s="12">
        <v>0.2</v>
      </c>
      <c r="Q256" s="12">
        <v>5603.08</v>
      </c>
      <c r="R256" s="12">
        <v>3132.52</v>
      </c>
      <c r="S256" s="12">
        <v>2470.56</v>
      </c>
      <c r="T256" s="10" t="s">
        <v>61</v>
      </c>
      <c r="U256" s="13" t="s">
        <v>132</v>
      </c>
      <c r="V256" s="14" t="e">
        <f t="shared" ca="1" si="0"/>
        <v>#NAME?</v>
      </c>
      <c r="W256" s="10" t="str">
        <f ca="1">IFERROR(__xludf.DUMMYFUNCTION("IF(COUNTIF($A:$A,A250)=1,
""Unique"",
IF(COUNTUNIQUE(FILTER($V$2:$V$934,$A$2:$A$934=A250))&gt;1,
""Conflicting Duplicate"",
""Exact Duplicate""))"),"Unique")</f>
        <v>Unique</v>
      </c>
      <c r="X256" s="10" t="b">
        <f t="shared" ca="1" si="1"/>
        <v>1</v>
      </c>
      <c r="Y256" s="10" t="str">
        <f t="shared" si="2"/>
        <v>Unique</v>
      </c>
      <c r="Z256" s="10"/>
      <c r="AA256" s="10" t="str">
        <f t="shared" si="3"/>
        <v>Clean</v>
      </c>
      <c r="AB256" s="15" t="str">
        <f t="shared" si="4"/>
        <v>Valid</v>
      </c>
      <c r="AC256" s="15">
        <v>2</v>
      </c>
      <c r="AD256" s="16" t="str">
        <f t="shared" si="5"/>
        <v>Valid</v>
      </c>
      <c r="AE256" s="16" t="str">
        <f t="shared" si="6"/>
        <v>Valid</v>
      </c>
      <c r="AF256" s="16" t="str">
        <f t="shared" ref="AF256:AG256" si="523">IF(ISNUMBER(B256),"Valid","Invalid")</f>
        <v>Valid</v>
      </c>
      <c r="AG256" s="16" t="str">
        <f t="shared" si="523"/>
        <v>Valid</v>
      </c>
      <c r="AH256" s="16" t="str">
        <f t="shared" ref="AH256:AI256" si="524">IF(OR(B256="",ISBLANK(B256)),"Missing","Valid")</f>
        <v>Valid</v>
      </c>
      <c r="AI256" s="16" t="str">
        <f t="shared" si="524"/>
        <v>Valid</v>
      </c>
      <c r="AJ256" s="16" t="b">
        <v>0</v>
      </c>
      <c r="AK256" s="16" t="b">
        <v>0</v>
      </c>
      <c r="AL256" s="16" t="b">
        <v>0</v>
      </c>
      <c r="AM256" s="16" t="b">
        <v>0</v>
      </c>
      <c r="AN256" s="16" t="b">
        <v>0</v>
      </c>
      <c r="AO256" s="16" t="b">
        <v>0</v>
      </c>
      <c r="AP256" s="16" t="b">
        <v>0</v>
      </c>
      <c r="AQ256" s="17">
        <f t="shared" si="9"/>
        <v>0.2</v>
      </c>
      <c r="AR256" s="12">
        <f t="shared" si="10"/>
        <v>5603.08</v>
      </c>
      <c r="AS256" s="18">
        <f t="shared" si="11"/>
        <v>0</v>
      </c>
      <c r="AT256" s="12">
        <f t="shared" si="12"/>
        <v>2470.56</v>
      </c>
      <c r="AU256" s="18">
        <f t="shared" si="13"/>
        <v>0</v>
      </c>
      <c r="AV256" s="19">
        <f t="shared" si="14"/>
        <v>0.44092891766671188</v>
      </c>
      <c r="AW256" s="20" t="str">
        <f t="shared" si="15"/>
        <v>January</v>
      </c>
      <c r="AX256" s="21">
        <f t="shared" si="16"/>
        <v>2025</v>
      </c>
    </row>
    <row r="257" spans="1:50" ht="15.75" customHeight="1">
      <c r="A257" s="10" t="s">
        <v>903</v>
      </c>
      <c r="B257" s="11">
        <v>45692</v>
      </c>
      <c r="C257" s="11">
        <v>45698</v>
      </c>
      <c r="D257" s="10" t="s">
        <v>904</v>
      </c>
      <c r="E257" s="10" t="s">
        <v>76</v>
      </c>
      <c r="F257" s="10" t="s">
        <v>119</v>
      </c>
      <c r="G257" s="10" t="s">
        <v>92</v>
      </c>
      <c r="H257" s="10" t="s">
        <v>93</v>
      </c>
      <c r="I257" s="10" t="s">
        <v>94</v>
      </c>
      <c r="J257" s="10" t="s">
        <v>103</v>
      </c>
      <c r="K257" s="10" t="s">
        <v>200</v>
      </c>
      <c r="L257" s="10" t="s">
        <v>905</v>
      </c>
      <c r="M257" s="10" t="s">
        <v>79</v>
      </c>
      <c r="N257" s="12">
        <v>7</v>
      </c>
      <c r="O257" s="12">
        <v>1830</v>
      </c>
      <c r="P257" s="12">
        <v>0</v>
      </c>
      <c r="Q257" s="12">
        <v>12810</v>
      </c>
      <c r="R257" s="12">
        <v>9334.1200000000008</v>
      </c>
      <c r="S257" s="12">
        <v>3475.88</v>
      </c>
      <c r="T257" s="10" t="s">
        <v>61</v>
      </c>
      <c r="U257" s="13" t="s">
        <v>62</v>
      </c>
      <c r="V257" s="14" t="e">
        <f t="shared" ca="1" si="0"/>
        <v>#NAME?</v>
      </c>
      <c r="W257" s="10" t="str">
        <f ca="1">IFERROR(__xludf.DUMMYFUNCTION("IF(COUNTIF($A:$A,A251)=1,
""Unique"",
IF(COUNTUNIQUE(FILTER($V$2:$V$934,$A$2:$A$934=A251))&gt;1,
""Conflicting Duplicate"",
""Exact Duplicate""))"),"Unique")</f>
        <v>Unique</v>
      </c>
      <c r="X257" s="10" t="b">
        <f t="shared" ca="1" si="1"/>
        <v>1</v>
      </c>
      <c r="Y257" s="10" t="str">
        <f t="shared" si="2"/>
        <v>Unique</v>
      </c>
      <c r="Z257" s="10"/>
      <c r="AA257" s="10" t="str">
        <f t="shared" si="3"/>
        <v>Clean</v>
      </c>
      <c r="AB257" s="15" t="str">
        <f t="shared" si="4"/>
        <v>Valid</v>
      </c>
      <c r="AC257" s="15">
        <v>6</v>
      </c>
      <c r="AD257" s="16" t="str">
        <f t="shared" si="5"/>
        <v>Valid</v>
      </c>
      <c r="AE257" s="16" t="str">
        <f t="shared" si="6"/>
        <v>Valid</v>
      </c>
      <c r="AF257" s="16" t="str">
        <f t="shared" ref="AF257:AG257" si="525">IF(ISNUMBER(B257),"Valid","Invalid")</f>
        <v>Valid</v>
      </c>
      <c r="AG257" s="16" t="str">
        <f t="shared" si="525"/>
        <v>Valid</v>
      </c>
      <c r="AH257" s="16" t="str">
        <f t="shared" ref="AH257:AI257" si="526">IF(OR(B257="",ISBLANK(B257)),"Missing","Valid")</f>
        <v>Valid</v>
      </c>
      <c r="AI257" s="16" t="str">
        <f t="shared" si="526"/>
        <v>Valid</v>
      </c>
      <c r="AJ257" s="16" t="b">
        <v>0</v>
      </c>
      <c r="AK257" s="16" t="b">
        <v>0</v>
      </c>
      <c r="AL257" s="16" t="b">
        <v>0</v>
      </c>
      <c r="AM257" s="16" t="b">
        <v>0</v>
      </c>
      <c r="AN257" s="16" t="b">
        <v>0</v>
      </c>
      <c r="AO257" s="16" t="b">
        <v>0</v>
      </c>
      <c r="AP257" s="16" t="b">
        <v>0</v>
      </c>
      <c r="AQ257" s="17">
        <f t="shared" si="9"/>
        <v>0</v>
      </c>
      <c r="AR257" s="12">
        <f t="shared" si="10"/>
        <v>12810</v>
      </c>
      <c r="AS257" s="18">
        <f t="shared" si="11"/>
        <v>0</v>
      </c>
      <c r="AT257" s="12">
        <f t="shared" si="12"/>
        <v>3475.8799999999992</v>
      </c>
      <c r="AU257" s="18">
        <f t="shared" si="13"/>
        <v>0</v>
      </c>
      <c r="AV257" s="19">
        <f t="shared" si="14"/>
        <v>0.27134113973458229</v>
      </c>
      <c r="AW257" s="20" t="str">
        <f t="shared" si="15"/>
        <v>February</v>
      </c>
      <c r="AX257" s="21">
        <f t="shared" si="16"/>
        <v>2025</v>
      </c>
    </row>
    <row r="258" spans="1:50" ht="15.75" customHeight="1">
      <c r="A258" s="10" t="s">
        <v>906</v>
      </c>
      <c r="B258" s="11">
        <v>45601</v>
      </c>
      <c r="C258" s="11">
        <v>45599</v>
      </c>
      <c r="D258" s="10" t="s">
        <v>907</v>
      </c>
      <c r="E258" s="10" t="s">
        <v>91</v>
      </c>
      <c r="F258" s="10" t="s">
        <v>53</v>
      </c>
      <c r="G258" s="10" t="s">
        <v>67</v>
      </c>
      <c r="H258" s="10" t="s">
        <v>128</v>
      </c>
      <c r="I258" s="10" t="s">
        <v>129</v>
      </c>
      <c r="J258" s="10" t="s">
        <v>70</v>
      </c>
      <c r="K258" s="10" t="s">
        <v>71</v>
      </c>
      <c r="L258" s="10" t="s">
        <v>908</v>
      </c>
      <c r="M258" s="10" t="s">
        <v>79</v>
      </c>
      <c r="N258" s="12">
        <v>9</v>
      </c>
      <c r="O258" s="12">
        <v>2260.61</v>
      </c>
      <c r="P258" s="12">
        <v>0.05</v>
      </c>
      <c r="Q258" s="12">
        <v>19328.22</v>
      </c>
      <c r="R258" s="12">
        <v>12039.5</v>
      </c>
      <c r="S258" s="12">
        <v>7288.72</v>
      </c>
      <c r="T258" s="10" t="s">
        <v>61</v>
      </c>
      <c r="U258" s="13" t="s">
        <v>62</v>
      </c>
      <c r="V258" s="14" t="e">
        <f t="shared" ca="1" si="0"/>
        <v>#NAME?</v>
      </c>
      <c r="W258" s="10" t="str">
        <f ca="1">IFERROR(__xludf.DUMMYFUNCTION("IF(COUNTIF($A:$A,A252)=1,
""Unique"",
IF(COUNTUNIQUE(FILTER($V$2:$V$934,$A$2:$A$934=A252))&gt;1,
""Conflicting Duplicate"",
""Exact Duplicate""))"),"Exact Duplicate")</f>
        <v>Exact Duplicate</v>
      </c>
      <c r="X258" s="10" t="b">
        <f t="shared" ca="1" si="1"/>
        <v>1</v>
      </c>
      <c r="Y258" s="10" t="str">
        <f t="shared" si="2"/>
        <v>Unique</v>
      </c>
      <c r="Z258" s="10"/>
      <c r="AA258" s="10" t="str">
        <f t="shared" si="3"/>
        <v>Invalid</v>
      </c>
      <c r="AB258" s="15" t="str">
        <f t="shared" si="4"/>
        <v>Invalid</v>
      </c>
      <c r="AC258" s="15">
        <v>-2</v>
      </c>
      <c r="AD258" s="16" t="str">
        <f t="shared" si="5"/>
        <v>Invalid Shipping Date</v>
      </c>
      <c r="AE258" s="16" t="str">
        <f t="shared" si="6"/>
        <v>Valid</v>
      </c>
      <c r="AF258" s="16" t="str">
        <f t="shared" ref="AF258:AG258" si="527">IF(ISNUMBER(B258),"Valid","Invalid")</f>
        <v>Valid</v>
      </c>
      <c r="AG258" s="16" t="str">
        <f t="shared" si="527"/>
        <v>Valid</v>
      </c>
      <c r="AH258" s="16" t="str">
        <f t="shared" ref="AH258:AI258" si="528">IF(OR(B258="",ISBLANK(B258)),"Missing","Valid")</f>
        <v>Valid</v>
      </c>
      <c r="AI258" s="16" t="str">
        <f t="shared" si="528"/>
        <v>Valid</v>
      </c>
      <c r="AJ258" s="16" t="b">
        <v>0</v>
      </c>
      <c r="AK258" s="16" t="b">
        <v>0</v>
      </c>
      <c r="AL258" s="16" t="b">
        <v>0</v>
      </c>
      <c r="AM258" s="16" t="b">
        <v>0</v>
      </c>
      <c r="AN258" s="16" t="b">
        <v>0</v>
      </c>
      <c r="AO258" s="16" t="b">
        <v>1</v>
      </c>
      <c r="AP258" s="16" t="b">
        <v>1</v>
      </c>
      <c r="AQ258" s="17">
        <f t="shared" si="9"/>
        <v>0.05</v>
      </c>
      <c r="AR258" s="12">
        <f t="shared" si="10"/>
        <v>19328.215500000002</v>
      </c>
      <c r="AS258" s="18">
        <f t="shared" si="11"/>
        <v>4.4999999990977813E-3</v>
      </c>
      <c r="AT258" s="12">
        <f t="shared" si="12"/>
        <v>7288.7155000000021</v>
      </c>
      <c r="AU258" s="18">
        <f t="shared" si="13"/>
        <v>4.4999999981882866E-3</v>
      </c>
      <c r="AV258" s="19">
        <f t="shared" si="14"/>
        <v>0.3771023507058891</v>
      </c>
      <c r="AW258" s="20" t="str">
        <f t="shared" si="15"/>
        <v>November</v>
      </c>
      <c r="AX258" s="21">
        <f t="shared" si="16"/>
        <v>2024</v>
      </c>
    </row>
    <row r="259" spans="1:50" ht="15.75" customHeight="1">
      <c r="A259" s="10" t="s">
        <v>909</v>
      </c>
      <c r="B259" s="11">
        <v>45878</v>
      </c>
      <c r="C259" s="11">
        <v>45881</v>
      </c>
      <c r="D259" s="10" t="s">
        <v>910</v>
      </c>
      <c r="E259" s="10" t="s">
        <v>191</v>
      </c>
      <c r="F259" s="10" t="s">
        <v>119</v>
      </c>
      <c r="G259" s="10" t="s">
        <v>83</v>
      </c>
      <c r="H259" s="10" t="s">
        <v>204</v>
      </c>
      <c r="I259" s="10" t="s">
        <v>205</v>
      </c>
      <c r="J259" s="10" t="s">
        <v>103</v>
      </c>
      <c r="K259" s="10" t="s">
        <v>104</v>
      </c>
      <c r="L259" s="10" t="s">
        <v>911</v>
      </c>
      <c r="M259" s="10" t="s">
        <v>60</v>
      </c>
      <c r="N259" s="12">
        <v>2</v>
      </c>
      <c r="O259" s="12">
        <v>3237.27</v>
      </c>
      <c r="P259" s="12">
        <v>0</v>
      </c>
      <c r="Q259" s="12">
        <v>6474.54</v>
      </c>
      <c r="R259" s="12">
        <v>5095.91</v>
      </c>
      <c r="S259" s="12">
        <v>1378.63</v>
      </c>
      <c r="T259" s="10" t="s">
        <v>61</v>
      </c>
      <c r="U259" s="13" t="s">
        <v>97</v>
      </c>
      <c r="V259" s="14" t="e">
        <f t="shared" ca="1" si="0"/>
        <v>#NAME?</v>
      </c>
      <c r="W259" s="10" t="str">
        <f ca="1">IFERROR(__xludf.DUMMYFUNCTION("IF(COUNTIF($A:$A,A253)=1,
""Unique"",
IF(COUNTUNIQUE(FILTER($V$2:$V$934,$A$2:$A$934=A253))&gt;1,
""Conflicting Duplicate"",
""Exact Duplicate""))"),"Unique")</f>
        <v>Unique</v>
      </c>
      <c r="X259" s="10" t="b">
        <f t="shared" ca="1" si="1"/>
        <v>1</v>
      </c>
      <c r="Y259" s="10" t="str">
        <f t="shared" si="2"/>
        <v>Unique</v>
      </c>
      <c r="Z259" s="10"/>
      <c r="AA259" s="10" t="str">
        <f t="shared" si="3"/>
        <v>Clean</v>
      </c>
      <c r="AB259" s="15" t="str">
        <f t="shared" si="4"/>
        <v>Valid</v>
      </c>
      <c r="AC259" s="15">
        <v>3</v>
      </c>
      <c r="AD259" s="16" t="str">
        <f t="shared" si="5"/>
        <v>Valid</v>
      </c>
      <c r="AE259" s="16" t="str">
        <f t="shared" si="6"/>
        <v>Valid</v>
      </c>
      <c r="AF259" s="16" t="str">
        <f t="shared" ref="AF259:AG259" si="529">IF(ISNUMBER(B259),"Valid","Invalid")</f>
        <v>Valid</v>
      </c>
      <c r="AG259" s="16" t="str">
        <f t="shared" si="529"/>
        <v>Valid</v>
      </c>
      <c r="AH259" s="16" t="str">
        <f t="shared" ref="AH259:AI259" si="530">IF(OR(B259="",ISBLANK(B259)),"Missing","Valid")</f>
        <v>Valid</v>
      </c>
      <c r="AI259" s="16" t="str">
        <f t="shared" si="530"/>
        <v>Valid</v>
      </c>
      <c r="AJ259" s="16" t="b">
        <v>0</v>
      </c>
      <c r="AK259" s="16" t="b">
        <v>0</v>
      </c>
      <c r="AL259" s="16" t="b">
        <v>0</v>
      </c>
      <c r="AM259" s="16" t="b">
        <v>0</v>
      </c>
      <c r="AN259" s="16" t="b">
        <v>0</v>
      </c>
      <c r="AO259" s="16" t="b">
        <v>0</v>
      </c>
      <c r="AP259" s="16" t="b">
        <v>0</v>
      </c>
      <c r="AQ259" s="17">
        <f t="shared" si="9"/>
        <v>0</v>
      </c>
      <c r="AR259" s="12">
        <f t="shared" si="10"/>
        <v>6474.54</v>
      </c>
      <c r="AS259" s="18">
        <f t="shared" si="11"/>
        <v>0</v>
      </c>
      <c r="AT259" s="12">
        <f t="shared" si="12"/>
        <v>1378.63</v>
      </c>
      <c r="AU259" s="18">
        <f t="shared" si="13"/>
        <v>0</v>
      </c>
      <c r="AV259" s="19">
        <f t="shared" si="14"/>
        <v>0.21293095725719513</v>
      </c>
      <c r="AW259" s="20" t="str">
        <f t="shared" si="15"/>
        <v>August</v>
      </c>
      <c r="AX259" s="21">
        <f t="shared" si="16"/>
        <v>2025</v>
      </c>
    </row>
    <row r="260" spans="1:50" ht="15.75" customHeight="1">
      <c r="A260" s="10" t="s">
        <v>912</v>
      </c>
      <c r="B260" s="11">
        <v>45656</v>
      </c>
      <c r="C260" s="11">
        <v>45661</v>
      </c>
      <c r="D260" s="10" t="s">
        <v>913</v>
      </c>
      <c r="E260" s="10" t="s">
        <v>161</v>
      </c>
      <c r="F260" s="10" t="s">
        <v>119</v>
      </c>
      <c r="G260" s="10" t="s">
        <v>83</v>
      </c>
      <c r="H260" s="10" t="s">
        <v>277</v>
      </c>
      <c r="I260" s="10" t="s">
        <v>278</v>
      </c>
      <c r="J260" s="10" t="s">
        <v>70</v>
      </c>
      <c r="K260" s="10" t="s">
        <v>71</v>
      </c>
      <c r="L260" s="10" t="s">
        <v>914</v>
      </c>
      <c r="M260" s="10" t="s">
        <v>73</v>
      </c>
      <c r="N260" s="12">
        <v>2</v>
      </c>
      <c r="O260" s="12">
        <v>3720.07</v>
      </c>
      <c r="P260" s="12">
        <v>0.25</v>
      </c>
      <c r="Q260" s="12">
        <v>5580.11</v>
      </c>
      <c r="R260" s="12">
        <v>4307.01</v>
      </c>
      <c r="S260" s="12">
        <v>1273.0999999999999</v>
      </c>
      <c r="T260" s="10" t="s">
        <v>61</v>
      </c>
      <c r="U260" s="13" t="s">
        <v>62</v>
      </c>
      <c r="V260" s="14" t="e">
        <f t="shared" ca="1" si="0"/>
        <v>#NAME?</v>
      </c>
      <c r="W260" s="10" t="str">
        <f ca="1">IFERROR(__xludf.DUMMYFUNCTION("IF(COUNTIF($A:$A,A254)=1,
""Unique"",
IF(COUNTUNIQUE(FILTER($V$2:$V$934,$A$2:$A$934=A254))&gt;1,
""Conflicting Duplicate"",
""Exact Duplicate""))"),"Unique")</f>
        <v>Unique</v>
      </c>
      <c r="X260" s="10" t="b">
        <f t="shared" ca="1" si="1"/>
        <v>1</v>
      </c>
      <c r="Y260" s="10" t="str">
        <f t="shared" si="2"/>
        <v>Unique</v>
      </c>
      <c r="Z260" s="10"/>
      <c r="AA260" s="10" t="str">
        <f t="shared" si="3"/>
        <v>Clean</v>
      </c>
      <c r="AB260" s="15" t="str">
        <f t="shared" si="4"/>
        <v>Valid</v>
      </c>
      <c r="AC260" s="15">
        <v>5</v>
      </c>
      <c r="AD260" s="16" t="str">
        <f t="shared" si="5"/>
        <v>Valid</v>
      </c>
      <c r="AE260" s="16" t="str">
        <f t="shared" si="6"/>
        <v>Valid</v>
      </c>
      <c r="AF260" s="16" t="str">
        <f t="shared" ref="AF260:AG260" si="531">IF(ISNUMBER(B260),"Valid","Invalid")</f>
        <v>Valid</v>
      </c>
      <c r="AG260" s="16" t="str">
        <f t="shared" si="531"/>
        <v>Valid</v>
      </c>
      <c r="AH260" s="16" t="str">
        <f t="shared" ref="AH260:AI260" si="532">IF(OR(B260="",ISBLANK(B260)),"Missing","Valid")</f>
        <v>Valid</v>
      </c>
      <c r="AI260" s="16" t="str">
        <f t="shared" si="532"/>
        <v>Valid</v>
      </c>
      <c r="AJ260" s="16" t="b">
        <v>0</v>
      </c>
      <c r="AK260" s="16" t="b">
        <v>0</v>
      </c>
      <c r="AL260" s="16" t="b">
        <v>0</v>
      </c>
      <c r="AM260" s="16" t="b">
        <v>0</v>
      </c>
      <c r="AN260" s="16" t="b">
        <v>0</v>
      </c>
      <c r="AO260" s="16" t="b">
        <v>0</v>
      </c>
      <c r="AP260" s="16" t="b">
        <v>0</v>
      </c>
      <c r="AQ260" s="17">
        <f t="shared" si="9"/>
        <v>0.25</v>
      </c>
      <c r="AR260" s="12">
        <f t="shared" si="10"/>
        <v>5580.1050000000005</v>
      </c>
      <c r="AS260" s="18">
        <f t="shared" si="11"/>
        <v>4.9999999991996447E-3</v>
      </c>
      <c r="AT260" s="12">
        <f t="shared" si="12"/>
        <v>1273.0950000000003</v>
      </c>
      <c r="AU260" s="18">
        <f t="shared" si="13"/>
        <v>4.999999999654392E-3</v>
      </c>
      <c r="AV260" s="19">
        <f t="shared" si="14"/>
        <v>0.22814893268137429</v>
      </c>
      <c r="AW260" s="20" t="str">
        <f t="shared" si="15"/>
        <v>December</v>
      </c>
      <c r="AX260" s="21">
        <f t="shared" si="16"/>
        <v>2024</v>
      </c>
    </row>
    <row r="261" spans="1:50" ht="15.75" customHeight="1">
      <c r="A261" s="10" t="s">
        <v>915</v>
      </c>
      <c r="B261" s="11">
        <v>45464</v>
      </c>
      <c r="C261" s="11">
        <v>45472</v>
      </c>
      <c r="D261" s="10" t="s">
        <v>916</v>
      </c>
      <c r="E261" s="10" t="s">
        <v>108</v>
      </c>
      <c r="F261" s="10" t="s">
        <v>53</v>
      </c>
      <c r="G261" s="10" t="s">
        <v>83</v>
      </c>
      <c r="H261" s="10" t="s">
        <v>277</v>
      </c>
      <c r="I261" s="10" t="s">
        <v>278</v>
      </c>
      <c r="J261" s="10" t="s">
        <v>103</v>
      </c>
      <c r="K261" s="10" t="s">
        <v>304</v>
      </c>
      <c r="L261" s="10" t="s">
        <v>917</v>
      </c>
      <c r="M261" s="10" t="s">
        <v>88</v>
      </c>
      <c r="N261" s="12">
        <v>8</v>
      </c>
      <c r="O261" s="12">
        <v>2853.92</v>
      </c>
      <c r="P261" s="12">
        <v>0.2</v>
      </c>
      <c r="Q261" s="12">
        <v>18265.09</v>
      </c>
      <c r="R261" s="12">
        <v>10437.14</v>
      </c>
      <c r="S261" s="12">
        <v>7827.95</v>
      </c>
      <c r="T261" s="10" t="s">
        <v>61</v>
      </c>
      <c r="U261" s="13" t="s">
        <v>62</v>
      </c>
      <c r="V261" s="14" t="e">
        <f t="shared" ca="1" si="0"/>
        <v>#NAME?</v>
      </c>
      <c r="W261" s="10" t="str">
        <f ca="1">IFERROR(__xludf.DUMMYFUNCTION("IF(COUNTIF($A:$A,A255)=1,
""Unique"",
IF(COUNTUNIQUE(FILTER($V$2:$V$934,$A$2:$A$934=A255))&gt;1,
""Conflicting Duplicate"",
""Exact Duplicate""))"),"Unique")</f>
        <v>Unique</v>
      </c>
      <c r="X261" s="10" t="b">
        <f t="shared" ca="1" si="1"/>
        <v>1</v>
      </c>
      <c r="Y261" s="10" t="str">
        <f t="shared" si="2"/>
        <v>Unique</v>
      </c>
      <c r="Z261" s="10"/>
      <c r="AA261" s="10" t="str">
        <f t="shared" si="3"/>
        <v>Clean</v>
      </c>
      <c r="AB261" s="15" t="str">
        <f t="shared" si="4"/>
        <v>Valid</v>
      </c>
      <c r="AC261" s="15">
        <v>8</v>
      </c>
      <c r="AD261" s="16" t="str">
        <f t="shared" si="5"/>
        <v>Valid</v>
      </c>
      <c r="AE261" s="16" t="str">
        <f t="shared" si="6"/>
        <v>Valid</v>
      </c>
      <c r="AF261" s="16" t="str">
        <f t="shared" ref="AF261:AG261" si="533">IF(ISNUMBER(B261),"Valid","Invalid")</f>
        <v>Valid</v>
      </c>
      <c r="AG261" s="16" t="str">
        <f t="shared" si="533"/>
        <v>Valid</v>
      </c>
      <c r="AH261" s="16" t="str">
        <f t="shared" ref="AH261:AI261" si="534">IF(OR(B261="",ISBLANK(B261)),"Missing","Valid")</f>
        <v>Valid</v>
      </c>
      <c r="AI261" s="16" t="str">
        <f t="shared" si="534"/>
        <v>Valid</v>
      </c>
      <c r="AJ261" s="16" t="b">
        <v>0</v>
      </c>
      <c r="AK261" s="16" t="b">
        <v>0</v>
      </c>
      <c r="AL261" s="16" t="b">
        <v>0</v>
      </c>
      <c r="AM261" s="16" t="b">
        <v>0</v>
      </c>
      <c r="AN261" s="16" t="b">
        <v>0</v>
      </c>
      <c r="AO261" s="16" t="b">
        <v>0</v>
      </c>
      <c r="AP261" s="16" t="b">
        <v>0</v>
      </c>
      <c r="AQ261" s="17">
        <f t="shared" si="9"/>
        <v>0.2</v>
      </c>
      <c r="AR261" s="12">
        <f t="shared" si="10"/>
        <v>18265.088</v>
      </c>
      <c r="AS261" s="18">
        <f t="shared" si="11"/>
        <v>2.0000000004074536E-3</v>
      </c>
      <c r="AT261" s="12">
        <f t="shared" si="12"/>
        <v>7827.9480000000003</v>
      </c>
      <c r="AU261" s="18">
        <f t="shared" si="13"/>
        <v>1.9999999994979589E-3</v>
      </c>
      <c r="AV261" s="19">
        <f t="shared" si="14"/>
        <v>0.42857433810338064</v>
      </c>
      <c r="AW261" s="20" t="str">
        <f t="shared" si="15"/>
        <v>June</v>
      </c>
      <c r="AX261" s="21">
        <f t="shared" si="16"/>
        <v>2024</v>
      </c>
    </row>
    <row r="262" spans="1:50" ht="15.75" customHeight="1">
      <c r="A262" s="10" t="s">
        <v>918</v>
      </c>
      <c r="B262" s="11">
        <v>45923</v>
      </c>
      <c r="C262" s="11">
        <v>45927</v>
      </c>
      <c r="D262" s="10" t="s">
        <v>919</v>
      </c>
      <c r="E262" s="10" t="s">
        <v>118</v>
      </c>
      <c r="F262" s="10" t="s">
        <v>119</v>
      </c>
      <c r="G262" s="10" t="s">
        <v>67</v>
      </c>
      <c r="H262" s="10" t="s">
        <v>128</v>
      </c>
      <c r="I262" s="10" t="s">
        <v>129</v>
      </c>
      <c r="J262" s="10" t="s">
        <v>57</v>
      </c>
      <c r="K262" s="10" t="s">
        <v>182</v>
      </c>
      <c r="L262" s="10" t="s">
        <v>920</v>
      </c>
      <c r="M262" s="10" t="s">
        <v>73</v>
      </c>
      <c r="N262" s="12">
        <v>7</v>
      </c>
      <c r="O262" s="12">
        <v>2897.12</v>
      </c>
      <c r="P262" s="12">
        <v>0.25</v>
      </c>
      <c r="Q262" s="12">
        <v>15209.88</v>
      </c>
      <c r="R262" s="12">
        <v>10891.15</v>
      </c>
      <c r="S262" s="12">
        <v>4318.7299999999996</v>
      </c>
      <c r="T262" s="10" t="s">
        <v>184</v>
      </c>
      <c r="U262" s="13" t="s">
        <v>132</v>
      </c>
      <c r="V262" s="14" t="e">
        <f t="shared" ca="1" si="0"/>
        <v>#NAME?</v>
      </c>
      <c r="W262" s="10" t="str">
        <f ca="1">IFERROR(__xludf.DUMMYFUNCTION("IF(COUNTIF($A:$A,A256)=1,
""Unique"",
IF(COUNTUNIQUE(FILTER($V$2:$V$934,$A$2:$A$934=A256))&gt;1,
""Conflicting Duplicate"",
""Exact Duplicate""))"),"Unique")</f>
        <v>Unique</v>
      </c>
      <c r="X262" s="10" t="b">
        <f t="shared" ca="1" si="1"/>
        <v>1</v>
      </c>
      <c r="Y262" s="10" t="str">
        <f t="shared" si="2"/>
        <v>Unique</v>
      </c>
      <c r="Z262" s="10"/>
      <c r="AA262" s="10" t="str">
        <f t="shared" si="3"/>
        <v>Clean</v>
      </c>
      <c r="AB262" s="15" t="str">
        <f t="shared" si="4"/>
        <v>Valid</v>
      </c>
      <c r="AC262" s="15">
        <v>4</v>
      </c>
      <c r="AD262" s="16" t="str">
        <f t="shared" si="5"/>
        <v>Valid</v>
      </c>
      <c r="AE262" s="16" t="str">
        <f t="shared" si="6"/>
        <v>Valid</v>
      </c>
      <c r="AF262" s="16" t="str">
        <f t="shared" ref="AF262:AG262" si="535">IF(ISNUMBER(B262),"Valid","Invalid")</f>
        <v>Valid</v>
      </c>
      <c r="AG262" s="16" t="str">
        <f t="shared" si="535"/>
        <v>Valid</v>
      </c>
      <c r="AH262" s="16" t="str">
        <f t="shared" ref="AH262:AI262" si="536">IF(OR(B262="",ISBLANK(B262)),"Missing","Valid")</f>
        <v>Valid</v>
      </c>
      <c r="AI262" s="16" t="str">
        <f t="shared" si="536"/>
        <v>Valid</v>
      </c>
      <c r="AJ262" s="16" t="b">
        <v>0</v>
      </c>
      <c r="AK262" s="16" t="b">
        <v>0</v>
      </c>
      <c r="AL262" s="16" t="b">
        <v>0</v>
      </c>
      <c r="AM262" s="16" t="b">
        <v>0</v>
      </c>
      <c r="AN262" s="16" t="b">
        <v>0</v>
      </c>
      <c r="AO262" s="16" t="b">
        <v>0</v>
      </c>
      <c r="AP262" s="16" t="b">
        <v>0</v>
      </c>
      <c r="AQ262" s="17">
        <f t="shared" si="9"/>
        <v>0.25</v>
      </c>
      <c r="AR262" s="12">
        <f t="shared" si="10"/>
        <v>15209.880000000001</v>
      </c>
      <c r="AS262" s="18">
        <f t="shared" si="11"/>
        <v>0</v>
      </c>
      <c r="AT262" s="12">
        <f t="shared" si="12"/>
        <v>4318.7300000000014</v>
      </c>
      <c r="AU262" s="18">
        <f t="shared" si="13"/>
        <v>0</v>
      </c>
      <c r="AV262" s="19">
        <f t="shared" si="14"/>
        <v>0.28394241111698454</v>
      </c>
      <c r="AW262" s="20" t="str">
        <f t="shared" si="15"/>
        <v>September</v>
      </c>
      <c r="AX262" s="21">
        <f t="shared" si="16"/>
        <v>2025</v>
      </c>
    </row>
    <row r="263" spans="1:50" ht="15.75" customHeight="1">
      <c r="A263" s="10" t="s">
        <v>921</v>
      </c>
      <c r="B263" s="11">
        <v>45826</v>
      </c>
      <c r="C263" s="11">
        <v>45832</v>
      </c>
      <c r="D263" s="10" t="s">
        <v>922</v>
      </c>
      <c r="E263" s="10" t="s">
        <v>161</v>
      </c>
      <c r="F263" s="10" t="s">
        <v>119</v>
      </c>
      <c r="G263" s="10" t="s">
        <v>54</v>
      </c>
      <c r="H263" s="10" t="s">
        <v>55</v>
      </c>
      <c r="I263" s="10" t="s">
        <v>56</v>
      </c>
      <c r="J263" s="10" t="s">
        <v>57</v>
      </c>
      <c r="K263" s="10" t="s">
        <v>120</v>
      </c>
      <c r="L263" s="10" t="s">
        <v>923</v>
      </c>
      <c r="M263" s="10" t="s">
        <v>88</v>
      </c>
      <c r="N263" s="12">
        <v>3</v>
      </c>
      <c r="O263" s="12">
        <v>686.74</v>
      </c>
      <c r="P263" s="12">
        <v>0.2</v>
      </c>
      <c r="Q263" s="12">
        <v>1648.18</v>
      </c>
      <c r="R263" s="12">
        <v>987.91</v>
      </c>
      <c r="S263" s="12">
        <v>660.27</v>
      </c>
      <c r="T263" s="10" t="s">
        <v>184</v>
      </c>
      <c r="U263" s="13" t="s">
        <v>97</v>
      </c>
      <c r="V263" s="14" t="e">
        <f t="shared" ca="1" si="0"/>
        <v>#NAME?</v>
      </c>
      <c r="W263" s="10" t="str">
        <f ca="1">IFERROR(__xludf.DUMMYFUNCTION("IF(COUNTIF($A:$A,A257)=1,
""Unique"",
IF(COUNTUNIQUE(FILTER($V$2:$V$934,$A$2:$A$934=A257))&gt;1,
""Conflicting Duplicate"",
""Exact Duplicate""))"),"Unique")</f>
        <v>Unique</v>
      </c>
      <c r="X263" s="10" t="b">
        <f t="shared" ca="1" si="1"/>
        <v>1</v>
      </c>
      <c r="Y263" s="10" t="str">
        <f t="shared" si="2"/>
        <v>Unique</v>
      </c>
      <c r="Z263" s="10"/>
      <c r="AA263" s="10" t="str">
        <f t="shared" si="3"/>
        <v>Clean</v>
      </c>
      <c r="AB263" s="15" t="str">
        <f t="shared" si="4"/>
        <v>Valid</v>
      </c>
      <c r="AC263" s="15">
        <v>6</v>
      </c>
      <c r="AD263" s="16" t="str">
        <f t="shared" si="5"/>
        <v>Valid</v>
      </c>
      <c r="AE263" s="16" t="str">
        <f t="shared" si="6"/>
        <v>Valid</v>
      </c>
      <c r="AF263" s="16" t="str">
        <f t="shared" ref="AF263:AG263" si="537">IF(ISNUMBER(B263),"Valid","Invalid")</f>
        <v>Valid</v>
      </c>
      <c r="AG263" s="16" t="str">
        <f t="shared" si="537"/>
        <v>Valid</v>
      </c>
      <c r="AH263" s="16" t="str">
        <f t="shared" ref="AH263:AI263" si="538">IF(OR(B263="",ISBLANK(B263)),"Missing","Valid")</f>
        <v>Valid</v>
      </c>
      <c r="AI263" s="16" t="str">
        <f t="shared" si="538"/>
        <v>Valid</v>
      </c>
      <c r="AJ263" s="16" t="b">
        <v>0</v>
      </c>
      <c r="AK263" s="16" t="b">
        <v>0</v>
      </c>
      <c r="AL263" s="16" t="b">
        <v>0</v>
      </c>
      <c r="AM263" s="16" t="b">
        <v>0</v>
      </c>
      <c r="AN263" s="16" t="b">
        <v>0</v>
      </c>
      <c r="AO263" s="16" t="b">
        <v>0</v>
      </c>
      <c r="AP263" s="16" t="b">
        <v>0</v>
      </c>
      <c r="AQ263" s="17">
        <f t="shared" si="9"/>
        <v>0.2</v>
      </c>
      <c r="AR263" s="12">
        <f t="shared" si="10"/>
        <v>1648.1760000000004</v>
      </c>
      <c r="AS263" s="18">
        <f t="shared" si="11"/>
        <v>3.9999999996780389E-3</v>
      </c>
      <c r="AT263" s="12">
        <f t="shared" si="12"/>
        <v>660.26600000000042</v>
      </c>
      <c r="AU263" s="18">
        <f t="shared" si="13"/>
        <v>3.999999999564352E-3</v>
      </c>
      <c r="AV263" s="19">
        <f t="shared" si="14"/>
        <v>0.40060406170214846</v>
      </c>
      <c r="AW263" s="20" t="str">
        <f t="shared" si="15"/>
        <v>June</v>
      </c>
      <c r="AX263" s="21">
        <f t="shared" si="16"/>
        <v>2025</v>
      </c>
    </row>
    <row r="264" spans="1:50" ht="15.75" customHeight="1">
      <c r="A264" s="10" t="s">
        <v>924</v>
      </c>
      <c r="B264" s="11">
        <v>45803</v>
      </c>
      <c r="C264" s="11">
        <v>45809</v>
      </c>
      <c r="D264" s="10" t="s">
        <v>659</v>
      </c>
      <c r="E264" s="10" t="s">
        <v>82</v>
      </c>
      <c r="F264" s="10" t="s">
        <v>66</v>
      </c>
      <c r="G264" s="10" t="s">
        <v>54</v>
      </c>
      <c r="H264" s="10" t="s">
        <v>380</v>
      </c>
      <c r="I264" s="10" t="s">
        <v>381</v>
      </c>
      <c r="J264" s="10" t="s">
        <v>103</v>
      </c>
      <c r="K264" s="10" t="s">
        <v>200</v>
      </c>
      <c r="L264" s="10" t="s">
        <v>925</v>
      </c>
      <c r="M264" s="10" t="s">
        <v>73</v>
      </c>
      <c r="N264" s="12">
        <v>4</v>
      </c>
      <c r="O264" s="12">
        <v>3349.86</v>
      </c>
      <c r="P264" s="12">
        <v>0</v>
      </c>
      <c r="Q264" s="12">
        <v>13399.44</v>
      </c>
      <c r="R264" s="12">
        <v>8581.35</v>
      </c>
      <c r="S264" s="12">
        <v>4818.09</v>
      </c>
      <c r="T264" s="10" t="s">
        <v>140</v>
      </c>
      <c r="U264" s="13" t="s">
        <v>132</v>
      </c>
      <c r="V264" s="14" t="e">
        <f t="shared" ca="1" si="0"/>
        <v>#NAME?</v>
      </c>
      <c r="W264" s="10" t="str">
        <f ca="1">IFERROR(__xludf.DUMMYFUNCTION("IF(COUNTIF($A:$A,A258)=1,
""Unique"",
IF(COUNTUNIQUE(FILTER($V$2:$V$934,$A$2:$A$934=A258))&gt;1,
""Conflicting Duplicate"",
""Exact Duplicate""))"),"Unique")</f>
        <v>Unique</v>
      </c>
      <c r="X264" s="10" t="b">
        <f t="shared" ca="1" si="1"/>
        <v>1</v>
      </c>
      <c r="Y264" s="10" t="str">
        <f t="shared" si="2"/>
        <v>Unique</v>
      </c>
      <c r="Z264" s="10"/>
      <c r="AA264" s="10" t="str">
        <f t="shared" si="3"/>
        <v>Clean</v>
      </c>
      <c r="AB264" s="15" t="str">
        <f t="shared" si="4"/>
        <v>Valid</v>
      </c>
      <c r="AC264" s="15">
        <v>6</v>
      </c>
      <c r="AD264" s="16" t="str">
        <f t="shared" si="5"/>
        <v>Valid</v>
      </c>
      <c r="AE264" s="16" t="str">
        <f t="shared" si="6"/>
        <v>Valid</v>
      </c>
      <c r="AF264" s="16" t="str">
        <f t="shared" ref="AF264:AG264" si="539">IF(ISNUMBER(B264),"Valid","Invalid")</f>
        <v>Valid</v>
      </c>
      <c r="AG264" s="16" t="str">
        <f t="shared" si="539"/>
        <v>Valid</v>
      </c>
      <c r="AH264" s="16" t="str">
        <f t="shared" ref="AH264:AI264" si="540">IF(OR(B264="",ISBLANK(B264)),"Missing","Valid")</f>
        <v>Valid</v>
      </c>
      <c r="AI264" s="16" t="str">
        <f t="shared" si="540"/>
        <v>Valid</v>
      </c>
      <c r="AJ264" s="16" t="b">
        <v>0</v>
      </c>
      <c r="AK264" s="16" t="b">
        <v>0</v>
      </c>
      <c r="AL264" s="16" t="b">
        <v>0</v>
      </c>
      <c r="AM264" s="16" t="b">
        <v>0</v>
      </c>
      <c r="AN264" s="16" t="b">
        <v>0</v>
      </c>
      <c r="AO264" s="16" t="b">
        <v>0</v>
      </c>
      <c r="AP264" s="16" t="b">
        <v>0</v>
      </c>
      <c r="AQ264" s="17">
        <f t="shared" si="9"/>
        <v>0</v>
      </c>
      <c r="AR264" s="12">
        <f t="shared" si="10"/>
        <v>13399.44</v>
      </c>
      <c r="AS264" s="18">
        <f t="shared" si="11"/>
        <v>0</v>
      </c>
      <c r="AT264" s="12">
        <f t="shared" si="12"/>
        <v>4818.09</v>
      </c>
      <c r="AU264" s="18">
        <f t="shared" si="13"/>
        <v>0</v>
      </c>
      <c r="AV264" s="19">
        <f t="shared" si="14"/>
        <v>0.3595739821962709</v>
      </c>
      <c r="AW264" s="20" t="str">
        <f t="shared" si="15"/>
        <v>May</v>
      </c>
      <c r="AX264" s="21">
        <f t="shared" si="16"/>
        <v>2025</v>
      </c>
    </row>
    <row r="265" spans="1:50" ht="15.75" customHeight="1">
      <c r="A265" s="10" t="s">
        <v>926</v>
      </c>
      <c r="B265" s="11">
        <v>45875</v>
      </c>
      <c r="C265" s="11">
        <v>45879</v>
      </c>
      <c r="D265" s="10" t="s">
        <v>927</v>
      </c>
      <c r="E265" s="10" t="s">
        <v>170</v>
      </c>
      <c r="F265" s="10" t="s">
        <v>66</v>
      </c>
      <c r="G265" s="10" t="s">
        <v>54</v>
      </c>
      <c r="H265" s="10" t="s">
        <v>380</v>
      </c>
      <c r="I265" s="10" t="s">
        <v>381</v>
      </c>
      <c r="J265" s="10" t="s">
        <v>57</v>
      </c>
      <c r="K265" s="10" t="s">
        <v>182</v>
      </c>
      <c r="L265" s="10" t="s">
        <v>928</v>
      </c>
      <c r="M265" s="10" t="s">
        <v>60</v>
      </c>
      <c r="N265" s="12">
        <v>9</v>
      </c>
      <c r="O265" s="12">
        <v>4042.45</v>
      </c>
      <c r="P265" s="12">
        <v>0.1</v>
      </c>
      <c r="Q265" s="12">
        <v>32743.84</v>
      </c>
      <c r="R265" s="12">
        <v>22452.05</v>
      </c>
      <c r="S265" s="12">
        <v>10291.790000000001</v>
      </c>
      <c r="T265" s="10" t="s">
        <v>140</v>
      </c>
      <c r="U265" s="13" t="s">
        <v>132</v>
      </c>
      <c r="V265" s="14" t="e">
        <f t="shared" ca="1" si="0"/>
        <v>#NAME?</v>
      </c>
      <c r="W265" s="10" t="str">
        <f ca="1">IFERROR(__xludf.DUMMYFUNCTION("IF(COUNTIF($A:$A,A259)=1,
""Unique"",
IF(COUNTUNIQUE(FILTER($V$2:$V$934,$A$2:$A$934=A259))&gt;1,
""Conflicting Duplicate"",
""Exact Duplicate""))"),"Unique")</f>
        <v>Unique</v>
      </c>
      <c r="X265" s="10" t="b">
        <f t="shared" ca="1" si="1"/>
        <v>1</v>
      </c>
      <c r="Y265" s="10" t="str">
        <f t="shared" si="2"/>
        <v>Unique</v>
      </c>
      <c r="Z265" s="10"/>
      <c r="AA265" s="10" t="str">
        <f t="shared" si="3"/>
        <v>Clean</v>
      </c>
      <c r="AB265" s="15" t="str">
        <f t="shared" si="4"/>
        <v>Valid</v>
      </c>
      <c r="AC265" s="15">
        <v>4</v>
      </c>
      <c r="AD265" s="16" t="str">
        <f t="shared" si="5"/>
        <v>Valid</v>
      </c>
      <c r="AE265" s="16" t="str">
        <f t="shared" si="6"/>
        <v>Valid</v>
      </c>
      <c r="AF265" s="16" t="str">
        <f t="shared" ref="AF265:AG265" si="541">IF(ISNUMBER(B265),"Valid","Invalid")</f>
        <v>Valid</v>
      </c>
      <c r="AG265" s="16" t="str">
        <f t="shared" si="541"/>
        <v>Valid</v>
      </c>
      <c r="AH265" s="16" t="str">
        <f t="shared" ref="AH265:AI265" si="542">IF(OR(B265="",ISBLANK(B265)),"Missing","Valid")</f>
        <v>Valid</v>
      </c>
      <c r="AI265" s="16" t="str">
        <f t="shared" si="542"/>
        <v>Valid</v>
      </c>
      <c r="AJ265" s="16" t="b">
        <v>0</v>
      </c>
      <c r="AK265" s="16" t="b">
        <v>0</v>
      </c>
      <c r="AL265" s="16" t="b">
        <v>0</v>
      </c>
      <c r="AM265" s="16" t="b">
        <v>0</v>
      </c>
      <c r="AN265" s="16" t="b">
        <v>0</v>
      </c>
      <c r="AO265" s="16" t="b">
        <v>0</v>
      </c>
      <c r="AP265" s="16" t="b">
        <v>0</v>
      </c>
      <c r="AQ265" s="17">
        <f t="shared" si="9"/>
        <v>0.1</v>
      </c>
      <c r="AR265" s="12">
        <f t="shared" si="10"/>
        <v>32743.844999999998</v>
      </c>
      <c r="AS265" s="18">
        <f t="shared" si="11"/>
        <v>-4.9999999973806553E-3</v>
      </c>
      <c r="AT265" s="12">
        <f t="shared" si="12"/>
        <v>10291.794999999998</v>
      </c>
      <c r="AU265" s="18">
        <f t="shared" si="13"/>
        <v>-4.9999999973806553E-3</v>
      </c>
      <c r="AV265" s="19">
        <f t="shared" si="14"/>
        <v>0.314312353970647</v>
      </c>
      <c r="AW265" s="20" t="str">
        <f t="shared" si="15"/>
        <v>August</v>
      </c>
      <c r="AX265" s="21">
        <f t="shared" si="16"/>
        <v>2025</v>
      </c>
    </row>
    <row r="266" spans="1:50" ht="15.75" customHeight="1">
      <c r="A266" s="10" t="s">
        <v>929</v>
      </c>
      <c r="B266" s="11">
        <v>45428</v>
      </c>
      <c r="C266" s="11">
        <v>45433</v>
      </c>
      <c r="D266" s="10" t="s">
        <v>930</v>
      </c>
      <c r="E266" s="10" t="s">
        <v>191</v>
      </c>
      <c r="F266" s="10" t="s">
        <v>66</v>
      </c>
      <c r="G266" s="10" t="s">
        <v>67</v>
      </c>
      <c r="H266" s="10" t="s">
        <v>174</v>
      </c>
      <c r="I266" s="10" t="s">
        <v>175</v>
      </c>
      <c r="J266" s="10" t="s">
        <v>103</v>
      </c>
      <c r="K266" s="10" t="s">
        <v>109</v>
      </c>
      <c r="L266" s="10" t="s">
        <v>931</v>
      </c>
      <c r="M266" s="10" t="s">
        <v>88</v>
      </c>
      <c r="N266" s="12">
        <v>4</v>
      </c>
      <c r="O266" s="12">
        <v>1503.07</v>
      </c>
      <c r="P266" s="12">
        <v>0</v>
      </c>
      <c r="Q266" s="12">
        <v>6012.28</v>
      </c>
      <c r="R266" s="12">
        <v>3927.64</v>
      </c>
      <c r="S266" s="12">
        <v>2084.64</v>
      </c>
      <c r="T266" s="10" t="s">
        <v>61</v>
      </c>
      <c r="U266" s="13" t="s">
        <v>62</v>
      </c>
      <c r="V266" s="14" t="e">
        <f t="shared" ca="1" si="0"/>
        <v>#NAME?</v>
      </c>
      <c r="W266" s="10" t="str">
        <f ca="1">IFERROR(__xludf.DUMMYFUNCTION("IF(COUNTIF($A:$A,A260)=1,
""Unique"",
IF(COUNTUNIQUE(FILTER($V$2:$V$934,$A$2:$A$934=A260))&gt;1,
""Conflicting Duplicate"",
""Exact Duplicate""))"),"Unique")</f>
        <v>Unique</v>
      </c>
      <c r="X266" s="10" t="b">
        <f t="shared" ca="1" si="1"/>
        <v>1</v>
      </c>
      <c r="Y266" s="10" t="str">
        <f t="shared" si="2"/>
        <v>Unique</v>
      </c>
      <c r="Z266" s="10"/>
      <c r="AA266" s="10" t="str">
        <f t="shared" si="3"/>
        <v>Clean</v>
      </c>
      <c r="AB266" s="15" t="str">
        <f t="shared" si="4"/>
        <v>Valid</v>
      </c>
      <c r="AC266" s="15">
        <v>5</v>
      </c>
      <c r="AD266" s="16" t="str">
        <f t="shared" si="5"/>
        <v>Valid</v>
      </c>
      <c r="AE266" s="16" t="str">
        <f t="shared" si="6"/>
        <v>Valid</v>
      </c>
      <c r="AF266" s="16" t="str">
        <f t="shared" ref="AF266:AG266" si="543">IF(ISNUMBER(B266),"Valid","Invalid")</f>
        <v>Valid</v>
      </c>
      <c r="AG266" s="16" t="str">
        <f t="shared" si="543"/>
        <v>Valid</v>
      </c>
      <c r="AH266" s="16" t="str">
        <f t="shared" ref="AH266:AI266" si="544">IF(OR(B266="",ISBLANK(B266)),"Missing","Valid")</f>
        <v>Valid</v>
      </c>
      <c r="AI266" s="16" t="str">
        <f t="shared" si="544"/>
        <v>Valid</v>
      </c>
      <c r="AJ266" s="16" t="b">
        <v>0</v>
      </c>
      <c r="AK266" s="16" t="b">
        <v>0</v>
      </c>
      <c r="AL266" s="16" t="b">
        <v>0</v>
      </c>
      <c r="AM266" s="16" t="b">
        <v>0</v>
      </c>
      <c r="AN266" s="16" t="b">
        <v>0</v>
      </c>
      <c r="AO266" s="16" t="b">
        <v>0</v>
      </c>
      <c r="AP266" s="16" t="b">
        <v>0</v>
      </c>
      <c r="AQ266" s="17">
        <f t="shared" si="9"/>
        <v>0</v>
      </c>
      <c r="AR266" s="12">
        <f t="shared" si="10"/>
        <v>6012.28</v>
      </c>
      <c r="AS266" s="18">
        <f t="shared" si="11"/>
        <v>0</v>
      </c>
      <c r="AT266" s="12">
        <f t="shared" si="12"/>
        <v>2084.64</v>
      </c>
      <c r="AU266" s="18">
        <f t="shared" si="13"/>
        <v>0</v>
      </c>
      <c r="AV266" s="19">
        <f t="shared" si="14"/>
        <v>0.34673035853286938</v>
      </c>
      <c r="AW266" s="20" t="str">
        <f t="shared" si="15"/>
        <v>May</v>
      </c>
      <c r="AX266" s="21">
        <f t="shared" si="16"/>
        <v>2024</v>
      </c>
    </row>
    <row r="267" spans="1:50" ht="15.75" customHeight="1">
      <c r="A267" s="10" t="s">
        <v>932</v>
      </c>
      <c r="B267" s="11">
        <v>45610</v>
      </c>
      <c r="C267" s="11">
        <v>45618</v>
      </c>
      <c r="D267" s="10" t="s">
        <v>933</v>
      </c>
      <c r="E267" s="10" t="s">
        <v>143</v>
      </c>
      <c r="F267" s="10" t="s">
        <v>119</v>
      </c>
      <c r="G267" s="10" t="s">
        <v>67</v>
      </c>
      <c r="H267" s="10" t="s">
        <v>174</v>
      </c>
      <c r="I267" s="10" t="s">
        <v>175</v>
      </c>
      <c r="J267" s="10" t="s">
        <v>70</v>
      </c>
      <c r="K267" s="10" t="s">
        <v>187</v>
      </c>
      <c r="L267" s="10" t="s">
        <v>934</v>
      </c>
      <c r="M267" s="10" t="s">
        <v>73</v>
      </c>
      <c r="N267" s="12">
        <v>1</v>
      </c>
      <c r="O267" s="12">
        <v>582.37</v>
      </c>
      <c r="P267" s="12">
        <v>0.15</v>
      </c>
      <c r="Q267" s="12">
        <v>495.01</v>
      </c>
      <c r="R267" s="12">
        <v>285.13</v>
      </c>
      <c r="S267" s="12">
        <v>209.88</v>
      </c>
      <c r="T267" s="10" t="s">
        <v>131</v>
      </c>
      <c r="U267" s="13" t="s">
        <v>97</v>
      </c>
      <c r="V267" s="14" t="e">
        <f t="shared" ca="1" si="0"/>
        <v>#NAME?</v>
      </c>
      <c r="W267" s="10" t="str">
        <f ca="1">IFERROR(__xludf.DUMMYFUNCTION("IF(COUNTIF($A:$A,A261)=1,
""Unique"",
IF(COUNTUNIQUE(FILTER($V$2:$V$934,$A$2:$A$934=A261))&gt;1,
""Conflicting Duplicate"",
""Exact Duplicate""))"),"Unique")</f>
        <v>Unique</v>
      </c>
      <c r="X267" s="10" t="b">
        <f t="shared" ca="1" si="1"/>
        <v>1</v>
      </c>
      <c r="Y267" s="10" t="str">
        <f t="shared" si="2"/>
        <v>Unique</v>
      </c>
      <c r="Z267" s="10"/>
      <c r="AA267" s="10" t="str">
        <f t="shared" si="3"/>
        <v>Clean</v>
      </c>
      <c r="AB267" s="15" t="str">
        <f t="shared" si="4"/>
        <v>Valid</v>
      </c>
      <c r="AC267" s="15">
        <v>8</v>
      </c>
      <c r="AD267" s="16" t="str">
        <f t="shared" si="5"/>
        <v>Valid</v>
      </c>
      <c r="AE267" s="16" t="str">
        <f t="shared" si="6"/>
        <v>Valid</v>
      </c>
      <c r="AF267" s="16" t="str">
        <f t="shared" ref="AF267:AG267" si="545">IF(ISNUMBER(B267),"Valid","Invalid")</f>
        <v>Valid</v>
      </c>
      <c r="AG267" s="16" t="str">
        <f t="shared" si="545"/>
        <v>Valid</v>
      </c>
      <c r="AH267" s="16" t="str">
        <f t="shared" ref="AH267:AI267" si="546">IF(OR(B267="",ISBLANK(B267)),"Missing","Valid")</f>
        <v>Valid</v>
      </c>
      <c r="AI267" s="16" t="str">
        <f t="shared" si="546"/>
        <v>Valid</v>
      </c>
      <c r="AJ267" s="16" t="b">
        <v>0</v>
      </c>
      <c r="AK267" s="16" t="b">
        <v>0</v>
      </c>
      <c r="AL267" s="16" t="b">
        <v>0</v>
      </c>
      <c r="AM267" s="16" t="b">
        <v>0</v>
      </c>
      <c r="AN267" s="16" t="b">
        <v>0</v>
      </c>
      <c r="AO267" s="16" t="b">
        <v>0</v>
      </c>
      <c r="AP267" s="16" t="b">
        <v>0</v>
      </c>
      <c r="AQ267" s="17">
        <f t="shared" si="9"/>
        <v>0.15</v>
      </c>
      <c r="AR267" s="12">
        <f t="shared" si="10"/>
        <v>495.0145</v>
      </c>
      <c r="AS267" s="18">
        <f t="shared" si="11"/>
        <v>-4.500000000007276E-3</v>
      </c>
      <c r="AT267" s="12">
        <f t="shared" si="12"/>
        <v>209.8845</v>
      </c>
      <c r="AU267" s="18">
        <f t="shared" si="13"/>
        <v>-4.500000000007276E-3</v>
      </c>
      <c r="AV267" s="19">
        <f t="shared" si="14"/>
        <v>0.42399667080459258</v>
      </c>
      <c r="AW267" s="20" t="str">
        <f t="shared" si="15"/>
        <v>November</v>
      </c>
      <c r="AX267" s="21">
        <f t="shared" si="16"/>
        <v>2024</v>
      </c>
    </row>
    <row r="268" spans="1:50" ht="15.75" customHeight="1">
      <c r="A268" s="10" t="s">
        <v>935</v>
      </c>
      <c r="B268" s="11">
        <v>45780</v>
      </c>
      <c r="C268" s="11">
        <v>45787</v>
      </c>
      <c r="D268" s="10" t="s">
        <v>936</v>
      </c>
      <c r="E268" s="10" t="s">
        <v>108</v>
      </c>
      <c r="F268" s="10" t="s">
        <v>124</v>
      </c>
      <c r="G268" s="10" t="s">
        <v>92</v>
      </c>
      <c r="H268" s="10" t="s">
        <v>93</v>
      </c>
      <c r="I268" s="10" t="s">
        <v>94</v>
      </c>
      <c r="J268" s="10" t="s">
        <v>57</v>
      </c>
      <c r="K268" s="10" t="s">
        <v>153</v>
      </c>
      <c r="L268" s="10" t="s">
        <v>937</v>
      </c>
      <c r="M268" s="10" t="s">
        <v>60</v>
      </c>
      <c r="N268" s="12">
        <v>3</v>
      </c>
      <c r="O268" s="12">
        <v>4339.24</v>
      </c>
      <c r="P268" s="12">
        <v>0</v>
      </c>
      <c r="Q268" s="12">
        <v>13017.72</v>
      </c>
      <c r="R268" s="12">
        <v>10170.57</v>
      </c>
      <c r="S268" s="12">
        <v>2847.15</v>
      </c>
      <c r="T268" s="10" t="s">
        <v>61</v>
      </c>
      <c r="U268" s="13" t="s">
        <v>62</v>
      </c>
      <c r="V268" s="14" t="e">
        <f t="shared" ca="1" si="0"/>
        <v>#NAME?</v>
      </c>
      <c r="W268" s="10" t="str">
        <f ca="1">IFERROR(__xludf.DUMMYFUNCTION("IF(COUNTIF($A:$A,A262)=1,
""Unique"",
IF(COUNTUNIQUE(FILTER($V$2:$V$934,$A$2:$A$934=A262))&gt;1,
""Conflicting Duplicate"",
""Exact Duplicate""))"),"Unique")</f>
        <v>Unique</v>
      </c>
      <c r="X268" s="10" t="b">
        <f t="shared" ca="1" si="1"/>
        <v>1</v>
      </c>
      <c r="Y268" s="10" t="str">
        <f t="shared" si="2"/>
        <v>Unique</v>
      </c>
      <c r="Z268" s="10"/>
      <c r="AA268" s="10" t="str">
        <f t="shared" si="3"/>
        <v>Clean</v>
      </c>
      <c r="AB268" s="15" t="str">
        <f t="shared" si="4"/>
        <v>Valid</v>
      </c>
      <c r="AC268" s="15">
        <v>7</v>
      </c>
      <c r="AD268" s="16" t="str">
        <f t="shared" si="5"/>
        <v>Valid</v>
      </c>
      <c r="AE268" s="16" t="str">
        <f t="shared" si="6"/>
        <v>Valid</v>
      </c>
      <c r="AF268" s="16" t="str">
        <f t="shared" ref="AF268:AG268" si="547">IF(ISNUMBER(B268),"Valid","Invalid")</f>
        <v>Valid</v>
      </c>
      <c r="AG268" s="16" t="str">
        <f t="shared" si="547"/>
        <v>Valid</v>
      </c>
      <c r="AH268" s="16" t="str">
        <f t="shared" ref="AH268:AI268" si="548">IF(OR(B268="",ISBLANK(B268)),"Missing","Valid")</f>
        <v>Valid</v>
      </c>
      <c r="AI268" s="16" t="str">
        <f t="shared" si="548"/>
        <v>Valid</v>
      </c>
      <c r="AJ268" s="16" t="b">
        <v>0</v>
      </c>
      <c r="AK268" s="16" t="b">
        <v>0</v>
      </c>
      <c r="AL268" s="16" t="b">
        <v>0</v>
      </c>
      <c r="AM268" s="16" t="b">
        <v>0</v>
      </c>
      <c r="AN268" s="16" t="b">
        <v>0</v>
      </c>
      <c r="AO268" s="16" t="b">
        <v>0</v>
      </c>
      <c r="AP268" s="16" t="b">
        <v>0</v>
      </c>
      <c r="AQ268" s="17">
        <f t="shared" si="9"/>
        <v>0</v>
      </c>
      <c r="AR268" s="12">
        <f t="shared" si="10"/>
        <v>13017.72</v>
      </c>
      <c r="AS268" s="18">
        <f t="shared" si="11"/>
        <v>0</v>
      </c>
      <c r="AT268" s="12">
        <f t="shared" si="12"/>
        <v>2847.1499999999996</v>
      </c>
      <c r="AU268" s="18">
        <f t="shared" si="13"/>
        <v>0</v>
      </c>
      <c r="AV268" s="19">
        <f t="shared" si="14"/>
        <v>0.21871341525244051</v>
      </c>
      <c r="AW268" s="20" t="str">
        <f t="shared" si="15"/>
        <v>May</v>
      </c>
      <c r="AX268" s="21">
        <f t="shared" si="16"/>
        <v>2025</v>
      </c>
    </row>
    <row r="269" spans="1:50" ht="15.75" customHeight="1">
      <c r="A269" s="10" t="s">
        <v>938</v>
      </c>
      <c r="B269" s="11">
        <v>45805</v>
      </c>
      <c r="C269" s="11">
        <v>45812</v>
      </c>
      <c r="D269" s="10" t="s">
        <v>939</v>
      </c>
      <c r="E269" s="10" t="s">
        <v>191</v>
      </c>
      <c r="F269" s="10" t="s">
        <v>119</v>
      </c>
      <c r="G269" s="10" t="s">
        <v>67</v>
      </c>
      <c r="H269" s="10" t="s">
        <v>258</v>
      </c>
      <c r="I269" s="10" t="s">
        <v>259</v>
      </c>
      <c r="J269" s="10" t="s">
        <v>70</v>
      </c>
      <c r="K269" s="10" t="s">
        <v>86</v>
      </c>
      <c r="L269" s="10" t="s">
        <v>940</v>
      </c>
      <c r="M269" s="10" t="s">
        <v>79</v>
      </c>
      <c r="N269" s="12">
        <v>4</v>
      </c>
      <c r="O269" s="12">
        <v>261.8</v>
      </c>
      <c r="P269" s="12">
        <v>0.25</v>
      </c>
      <c r="Q269" s="12">
        <v>785.4</v>
      </c>
      <c r="R269" s="12">
        <v>557.22</v>
      </c>
      <c r="S269" s="12">
        <v>228.18</v>
      </c>
      <c r="T269" s="10" t="s">
        <v>61</v>
      </c>
      <c r="U269" s="13" t="s">
        <v>62</v>
      </c>
      <c r="V269" s="14" t="e">
        <f t="shared" ca="1" si="0"/>
        <v>#NAME?</v>
      </c>
      <c r="W269" s="10" t="str">
        <f ca="1">IFERROR(__xludf.DUMMYFUNCTION("IF(COUNTIF($A:$A,A263)=1,
""Unique"",
IF(COUNTUNIQUE(FILTER($V$2:$V$934,$A$2:$A$934=A263))&gt;1,
""Conflicting Duplicate"",
""Exact Duplicate""))"),"Unique")</f>
        <v>Unique</v>
      </c>
      <c r="X269" s="10" t="b">
        <f t="shared" ca="1" si="1"/>
        <v>1</v>
      </c>
      <c r="Y269" s="10" t="str">
        <f t="shared" si="2"/>
        <v>Unique</v>
      </c>
      <c r="Z269" s="10"/>
      <c r="AA269" s="10" t="str">
        <f t="shared" si="3"/>
        <v>Clean</v>
      </c>
      <c r="AB269" s="15" t="str">
        <f t="shared" si="4"/>
        <v>Valid</v>
      </c>
      <c r="AC269" s="15">
        <v>7</v>
      </c>
      <c r="AD269" s="16" t="str">
        <f t="shared" si="5"/>
        <v>Valid</v>
      </c>
      <c r="AE269" s="16" t="str">
        <f t="shared" si="6"/>
        <v>Valid</v>
      </c>
      <c r="AF269" s="16" t="str">
        <f t="shared" ref="AF269:AG269" si="549">IF(ISNUMBER(B269),"Valid","Invalid")</f>
        <v>Valid</v>
      </c>
      <c r="AG269" s="16" t="str">
        <f t="shared" si="549"/>
        <v>Valid</v>
      </c>
      <c r="AH269" s="16" t="str">
        <f t="shared" ref="AH269:AI269" si="550">IF(OR(B269="",ISBLANK(B269)),"Missing","Valid")</f>
        <v>Valid</v>
      </c>
      <c r="AI269" s="16" t="str">
        <f t="shared" si="550"/>
        <v>Valid</v>
      </c>
      <c r="AJ269" s="16" t="b">
        <v>0</v>
      </c>
      <c r="AK269" s="16" t="b">
        <v>0</v>
      </c>
      <c r="AL269" s="16" t="b">
        <v>0</v>
      </c>
      <c r="AM269" s="16" t="b">
        <v>0</v>
      </c>
      <c r="AN269" s="16" t="b">
        <v>0</v>
      </c>
      <c r="AO269" s="16" t="b">
        <v>0</v>
      </c>
      <c r="AP269" s="16" t="b">
        <v>0</v>
      </c>
      <c r="AQ269" s="17">
        <f t="shared" si="9"/>
        <v>0.25</v>
      </c>
      <c r="AR269" s="12">
        <f t="shared" si="10"/>
        <v>785.40000000000009</v>
      </c>
      <c r="AS269" s="18">
        <f t="shared" si="11"/>
        <v>0</v>
      </c>
      <c r="AT269" s="12">
        <f t="shared" si="12"/>
        <v>228.18000000000006</v>
      </c>
      <c r="AU269" s="18">
        <f t="shared" si="13"/>
        <v>0</v>
      </c>
      <c r="AV269" s="19">
        <f t="shared" si="14"/>
        <v>0.29052711993888469</v>
      </c>
      <c r="AW269" s="20" t="str">
        <f t="shared" si="15"/>
        <v>May</v>
      </c>
      <c r="AX269" s="21">
        <f t="shared" si="16"/>
        <v>2025</v>
      </c>
    </row>
    <row r="270" spans="1:50" ht="15.75" customHeight="1">
      <c r="A270" s="10" t="s">
        <v>941</v>
      </c>
      <c r="B270" s="11">
        <v>45886</v>
      </c>
      <c r="C270" s="11">
        <v>45886</v>
      </c>
      <c r="D270" s="10" t="s">
        <v>942</v>
      </c>
      <c r="E270" s="10" t="s">
        <v>157</v>
      </c>
      <c r="F270" s="10" t="s">
        <v>124</v>
      </c>
      <c r="G270" s="10" t="s">
        <v>54</v>
      </c>
      <c r="H270" s="10" t="s">
        <v>151</v>
      </c>
      <c r="I270" s="10" t="s">
        <v>152</v>
      </c>
      <c r="J270" s="10" t="s">
        <v>103</v>
      </c>
      <c r="K270" s="10" t="s">
        <v>104</v>
      </c>
      <c r="L270" s="10" t="s">
        <v>943</v>
      </c>
      <c r="M270" s="10" t="s">
        <v>79</v>
      </c>
      <c r="N270" s="12">
        <v>7</v>
      </c>
      <c r="O270" s="12">
        <v>632.20000000000005</v>
      </c>
      <c r="P270" s="12">
        <v>0.25</v>
      </c>
      <c r="Q270" s="12">
        <v>3319.05</v>
      </c>
      <c r="R270" s="12">
        <v>2124.6</v>
      </c>
      <c r="S270" s="12">
        <v>1194.45</v>
      </c>
      <c r="T270" s="10" t="s">
        <v>61</v>
      </c>
      <c r="U270" s="13" t="s">
        <v>62</v>
      </c>
      <c r="V270" s="14" t="e">
        <f t="shared" ca="1" si="0"/>
        <v>#NAME?</v>
      </c>
      <c r="W270" s="10" t="str">
        <f ca="1">IFERROR(__xludf.DUMMYFUNCTION("IF(COUNTIF($A:$A,A264)=1,
""Unique"",
IF(COUNTUNIQUE(FILTER($V$2:$V$934,$A$2:$A$934=A264))&gt;1,
""Conflicting Duplicate"",
""Exact Duplicate""))"),"Unique")</f>
        <v>Unique</v>
      </c>
      <c r="X270" s="10" t="b">
        <f t="shared" ca="1" si="1"/>
        <v>1</v>
      </c>
      <c r="Y270" s="10" t="str">
        <f t="shared" si="2"/>
        <v>Unique</v>
      </c>
      <c r="Z270" s="10"/>
      <c r="AA270" s="10" t="str">
        <f t="shared" si="3"/>
        <v>Clean</v>
      </c>
      <c r="AB270" s="15" t="str">
        <f t="shared" si="4"/>
        <v>Valid</v>
      </c>
      <c r="AC270" s="15">
        <v>0</v>
      </c>
      <c r="AD270" s="16" t="str">
        <f t="shared" si="5"/>
        <v>Valid</v>
      </c>
      <c r="AE270" s="16" t="str">
        <f t="shared" si="6"/>
        <v>Valid</v>
      </c>
      <c r="AF270" s="16" t="str">
        <f t="shared" ref="AF270:AG270" si="551">IF(ISNUMBER(B270),"Valid","Invalid")</f>
        <v>Valid</v>
      </c>
      <c r="AG270" s="16" t="str">
        <f t="shared" si="551"/>
        <v>Valid</v>
      </c>
      <c r="AH270" s="16" t="str">
        <f t="shared" ref="AH270:AI270" si="552">IF(OR(B270="",ISBLANK(B270)),"Missing","Valid")</f>
        <v>Valid</v>
      </c>
      <c r="AI270" s="16" t="str">
        <f t="shared" si="552"/>
        <v>Valid</v>
      </c>
      <c r="AJ270" s="16" t="b">
        <v>0</v>
      </c>
      <c r="AK270" s="16" t="b">
        <v>0</v>
      </c>
      <c r="AL270" s="16" t="b">
        <v>0</v>
      </c>
      <c r="AM270" s="16" t="b">
        <v>0</v>
      </c>
      <c r="AN270" s="16" t="b">
        <v>0</v>
      </c>
      <c r="AO270" s="16" t="b">
        <v>0</v>
      </c>
      <c r="AP270" s="16" t="b">
        <v>0</v>
      </c>
      <c r="AQ270" s="17">
        <f t="shared" si="9"/>
        <v>0.25</v>
      </c>
      <c r="AR270" s="12">
        <f t="shared" si="10"/>
        <v>3319.05</v>
      </c>
      <c r="AS270" s="18">
        <f t="shared" si="11"/>
        <v>0</v>
      </c>
      <c r="AT270" s="12">
        <f t="shared" si="12"/>
        <v>1194.4500000000003</v>
      </c>
      <c r="AU270" s="18">
        <f t="shared" si="13"/>
        <v>0</v>
      </c>
      <c r="AV270" s="19">
        <f t="shared" si="14"/>
        <v>0.35987707325891449</v>
      </c>
      <c r="AW270" s="20" t="str">
        <f t="shared" si="15"/>
        <v>August</v>
      </c>
      <c r="AX270" s="21">
        <f t="shared" si="16"/>
        <v>2025</v>
      </c>
    </row>
    <row r="271" spans="1:50" ht="15.75" customHeight="1">
      <c r="A271" s="10" t="s">
        <v>944</v>
      </c>
      <c r="B271" s="11">
        <v>45698</v>
      </c>
      <c r="C271" s="11">
        <v>45700</v>
      </c>
      <c r="D271" s="10" t="s">
        <v>945</v>
      </c>
      <c r="E271" s="10" t="s">
        <v>147</v>
      </c>
      <c r="F271" s="10" t="s">
        <v>66</v>
      </c>
      <c r="G271" s="10" t="s">
        <v>92</v>
      </c>
      <c r="H271" s="10" t="s">
        <v>55</v>
      </c>
      <c r="I271" s="10" t="s">
        <v>138</v>
      </c>
      <c r="J271" s="10" t="s">
        <v>70</v>
      </c>
      <c r="K271" s="10" t="s">
        <v>71</v>
      </c>
      <c r="L271" s="10" t="s">
        <v>946</v>
      </c>
      <c r="M271" s="10" t="s">
        <v>73</v>
      </c>
      <c r="N271" s="12">
        <v>1</v>
      </c>
      <c r="O271" s="12">
        <v>1925.86</v>
      </c>
      <c r="P271" s="12">
        <v>0</v>
      </c>
      <c r="Q271" s="12">
        <v>1925.86</v>
      </c>
      <c r="R271" s="12">
        <v>1321.89</v>
      </c>
      <c r="S271" s="12">
        <v>603.97</v>
      </c>
      <c r="T271" s="10" t="s">
        <v>61</v>
      </c>
      <c r="U271" s="13" t="s">
        <v>62</v>
      </c>
      <c r="V271" s="14" t="e">
        <f t="shared" ca="1" si="0"/>
        <v>#NAME?</v>
      </c>
      <c r="W271" s="10" t="str">
        <f ca="1">IFERROR(__xludf.DUMMYFUNCTION("IF(COUNTIF($A:$A,A265)=1,
""Unique"",
IF(COUNTUNIQUE(FILTER($V$2:$V$934,$A$2:$A$934=A265))&gt;1,
""Conflicting Duplicate"",
""Exact Duplicate""))"),"Unique")</f>
        <v>Unique</v>
      </c>
      <c r="X271" s="10" t="b">
        <f t="shared" ca="1" si="1"/>
        <v>1</v>
      </c>
      <c r="Y271" s="10" t="str">
        <f t="shared" si="2"/>
        <v>Unique</v>
      </c>
      <c r="Z271" s="10"/>
      <c r="AA271" s="10" t="str">
        <f t="shared" si="3"/>
        <v>Clean</v>
      </c>
      <c r="AB271" s="15" t="str">
        <f t="shared" si="4"/>
        <v>Valid</v>
      </c>
      <c r="AC271" s="15">
        <v>2</v>
      </c>
      <c r="AD271" s="16" t="str">
        <f t="shared" si="5"/>
        <v>Valid</v>
      </c>
      <c r="AE271" s="16" t="str">
        <f t="shared" si="6"/>
        <v>Valid</v>
      </c>
      <c r="AF271" s="16" t="str">
        <f t="shared" ref="AF271:AG271" si="553">IF(ISNUMBER(B271),"Valid","Invalid")</f>
        <v>Valid</v>
      </c>
      <c r="AG271" s="16" t="str">
        <f t="shared" si="553"/>
        <v>Valid</v>
      </c>
      <c r="AH271" s="16" t="str">
        <f t="shared" ref="AH271:AI271" si="554">IF(OR(B271="",ISBLANK(B271)),"Missing","Valid")</f>
        <v>Valid</v>
      </c>
      <c r="AI271" s="16" t="str">
        <f t="shared" si="554"/>
        <v>Valid</v>
      </c>
      <c r="AJ271" s="16" t="b">
        <v>0</v>
      </c>
      <c r="AK271" s="16" t="b">
        <v>0</v>
      </c>
      <c r="AL271" s="16" t="b">
        <v>0</v>
      </c>
      <c r="AM271" s="16" t="b">
        <v>0</v>
      </c>
      <c r="AN271" s="16" t="b">
        <v>0</v>
      </c>
      <c r="AO271" s="16" t="b">
        <v>0</v>
      </c>
      <c r="AP271" s="16" t="b">
        <v>0</v>
      </c>
      <c r="AQ271" s="17">
        <f t="shared" si="9"/>
        <v>0</v>
      </c>
      <c r="AR271" s="12">
        <f t="shared" si="10"/>
        <v>1925.86</v>
      </c>
      <c r="AS271" s="18">
        <f t="shared" si="11"/>
        <v>0</v>
      </c>
      <c r="AT271" s="12">
        <f t="shared" si="12"/>
        <v>603.9699999999998</v>
      </c>
      <c r="AU271" s="18">
        <f t="shared" si="13"/>
        <v>0</v>
      </c>
      <c r="AV271" s="19">
        <f t="shared" si="14"/>
        <v>0.31361054282242729</v>
      </c>
      <c r="AW271" s="20" t="str">
        <f t="shared" si="15"/>
        <v>February</v>
      </c>
      <c r="AX271" s="21">
        <f t="shared" si="16"/>
        <v>2025</v>
      </c>
    </row>
    <row r="272" spans="1:50" ht="15.75" customHeight="1">
      <c r="A272" s="10" t="s">
        <v>947</v>
      </c>
      <c r="B272" s="11">
        <v>45303</v>
      </c>
      <c r="C272" s="11">
        <v>45304</v>
      </c>
      <c r="D272" s="10" t="s">
        <v>948</v>
      </c>
      <c r="E272" s="10" t="s">
        <v>118</v>
      </c>
      <c r="F272" s="10" t="s">
        <v>119</v>
      </c>
      <c r="G272" s="10" t="s">
        <v>54</v>
      </c>
      <c r="H272" s="10" t="s">
        <v>165</v>
      </c>
      <c r="I272" s="10" t="s">
        <v>166</v>
      </c>
      <c r="J272" s="10" t="s">
        <v>103</v>
      </c>
      <c r="K272" s="10" t="s">
        <v>304</v>
      </c>
      <c r="L272" s="10" t="s">
        <v>949</v>
      </c>
      <c r="M272" s="10" t="s">
        <v>73</v>
      </c>
      <c r="N272" s="12">
        <v>3</v>
      </c>
      <c r="O272" s="12">
        <v>827.44</v>
      </c>
      <c r="P272" s="12">
        <v>0</v>
      </c>
      <c r="Q272" s="12">
        <v>2482.3200000000002</v>
      </c>
      <c r="R272" s="12">
        <v>1520.21</v>
      </c>
      <c r="S272" s="12">
        <v>962.11</v>
      </c>
      <c r="T272" s="10" t="s">
        <v>61</v>
      </c>
      <c r="U272" s="13" t="s">
        <v>62</v>
      </c>
      <c r="V272" s="14" t="e">
        <f t="shared" ca="1" si="0"/>
        <v>#NAME?</v>
      </c>
      <c r="W272" s="10" t="str">
        <f ca="1">IFERROR(__xludf.DUMMYFUNCTION("IF(COUNTIF($A:$A,A266)=1,
""Unique"",
IF(COUNTUNIQUE(FILTER($V$2:$V$934,$A$2:$A$934=A266))&gt;1,
""Conflicting Duplicate"",
""Exact Duplicate""))"),"Unique")</f>
        <v>Unique</v>
      </c>
      <c r="X272" s="10" t="b">
        <f t="shared" ca="1" si="1"/>
        <v>1</v>
      </c>
      <c r="Y272" s="10" t="str">
        <f t="shared" si="2"/>
        <v>Unique</v>
      </c>
      <c r="Z272" s="10"/>
      <c r="AA272" s="10" t="str">
        <f t="shared" si="3"/>
        <v>Clean</v>
      </c>
      <c r="AB272" s="15" t="str">
        <f t="shared" si="4"/>
        <v>Valid</v>
      </c>
      <c r="AC272" s="15">
        <v>1</v>
      </c>
      <c r="AD272" s="16" t="str">
        <f t="shared" si="5"/>
        <v>Valid</v>
      </c>
      <c r="AE272" s="16" t="str">
        <f t="shared" si="6"/>
        <v>Valid</v>
      </c>
      <c r="AF272" s="16" t="str">
        <f t="shared" ref="AF272:AG272" si="555">IF(ISNUMBER(B272),"Valid","Invalid")</f>
        <v>Valid</v>
      </c>
      <c r="AG272" s="16" t="str">
        <f t="shared" si="555"/>
        <v>Valid</v>
      </c>
      <c r="AH272" s="16" t="str">
        <f t="shared" ref="AH272:AI272" si="556">IF(OR(B272="",ISBLANK(B272)),"Missing","Valid")</f>
        <v>Valid</v>
      </c>
      <c r="AI272" s="16" t="str">
        <f t="shared" si="556"/>
        <v>Valid</v>
      </c>
      <c r="AJ272" s="16" t="b">
        <v>0</v>
      </c>
      <c r="AK272" s="16" t="b">
        <v>0</v>
      </c>
      <c r="AL272" s="16" t="b">
        <v>0</v>
      </c>
      <c r="AM272" s="16" t="b">
        <v>0</v>
      </c>
      <c r="AN272" s="16" t="b">
        <v>0</v>
      </c>
      <c r="AO272" s="16" t="b">
        <v>0</v>
      </c>
      <c r="AP272" s="16" t="b">
        <v>0</v>
      </c>
      <c r="AQ272" s="17">
        <f t="shared" si="9"/>
        <v>0</v>
      </c>
      <c r="AR272" s="12">
        <f t="shared" si="10"/>
        <v>2482.3200000000002</v>
      </c>
      <c r="AS272" s="18">
        <f t="shared" si="11"/>
        <v>0</v>
      </c>
      <c r="AT272" s="12">
        <f t="shared" si="12"/>
        <v>962.11000000000013</v>
      </c>
      <c r="AU272" s="18">
        <f t="shared" si="13"/>
        <v>0</v>
      </c>
      <c r="AV272" s="19">
        <f t="shared" si="14"/>
        <v>0.38758500112797706</v>
      </c>
      <c r="AW272" s="20" t="str">
        <f t="shared" si="15"/>
        <v>January</v>
      </c>
      <c r="AX272" s="21">
        <f t="shared" si="16"/>
        <v>2024</v>
      </c>
    </row>
    <row r="273" spans="1:50" ht="15.75" customHeight="1">
      <c r="A273" s="10" t="s">
        <v>950</v>
      </c>
      <c r="B273" s="11">
        <v>45647</v>
      </c>
      <c r="C273" s="11">
        <v>45651</v>
      </c>
      <c r="D273" s="10" t="s">
        <v>951</v>
      </c>
      <c r="E273" s="10" t="s">
        <v>118</v>
      </c>
      <c r="F273" s="10" t="s">
        <v>53</v>
      </c>
      <c r="G273" s="10" t="s">
        <v>83</v>
      </c>
      <c r="H273" s="10" t="s">
        <v>84</v>
      </c>
      <c r="I273" s="10" t="s">
        <v>85</v>
      </c>
      <c r="J273" s="10" t="s">
        <v>57</v>
      </c>
      <c r="K273" s="10" t="s">
        <v>182</v>
      </c>
      <c r="L273" s="10" t="s">
        <v>952</v>
      </c>
      <c r="M273" s="10" t="s">
        <v>88</v>
      </c>
      <c r="N273" s="12">
        <v>7</v>
      </c>
      <c r="O273" s="12">
        <v>1667.75</v>
      </c>
      <c r="P273" s="12">
        <v>0</v>
      </c>
      <c r="Q273" s="12">
        <v>11674.25</v>
      </c>
      <c r="R273" s="12">
        <v>9621.19</v>
      </c>
      <c r="S273" s="12">
        <v>2053.06</v>
      </c>
      <c r="T273" s="10" t="s">
        <v>184</v>
      </c>
      <c r="U273" s="13" t="s">
        <v>97</v>
      </c>
      <c r="V273" s="14" t="e">
        <f t="shared" ca="1" si="0"/>
        <v>#NAME?</v>
      </c>
      <c r="W273" s="10" t="str">
        <f ca="1">IFERROR(__xludf.DUMMYFUNCTION("IF(COUNTIF($A:$A,A267)=1,
""Unique"",
IF(COUNTUNIQUE(FILTER($V$2:$V$934,$A$2:$A$934=A267))&gt;1,
""Conflicting Duplicate"",
""Exact Duplicate""))"),"Unique")</f>
        <v>Unique</v>
      </c>
      <c r="X273" s="10" t="b">
        <f t="shared" ca="1" si="1"/>
        <v>1</v>
      </c>
      <c r="Y273" s="10" t="str">
        <f t="shared" si="2"/>
        <v>Unique</v>
      </c>
      <c r="Z273" s="10"/>
      <c r="AA273" s="10" t="str">
        <f t="shared" si="3"/>
        <v>Clean</v>
      </c>
      <c r="AB273" s="15" t="str">
        <f t="shared" si="4"/>
        <v>Valid</v>
      </c>
      <c r="AC273" s="15">
        <v>4</v>
      </c>
      <c r="AD273" s="16" t="str">
        <f t="shared" si="5"/>
        <v>Valid</v>
      </c>
      <c r="AE273" s="16" t="str">
        <f t="shared" si="6"/>
        <v>Valid</v>
      </c>
      <c r="AF273" s="16" t="str">
        <f t="shared" ref="AF273:AG273" si="557">IF(ISNUMBER(B273),"Valid","Invalid")</f>
        <v>Valid</v>
      </c>
      <c r="AG273" s="16" t="str">
        <f t="shared" si="557"/>
        <v>Valid</v>
      </c>
      <c r="AH273" s="16" t="str">
        <f t="shared" ref="AH273:AI273" si="558">IF(OR(B273="",ISBLANK(B273)),"Missing","Valid")</f>
        <v>Valid</v>
      </c>
      <c r="AI273" s="16" t="str">
        <f t="shared" si="558"/>
        <v>Valid</v>
      </c>
      <c r="AJ273" s="16" t="b">
        <v>0</v>
      </c>
      <c r="AK273" s="16" t="b">
        <v>0</v>
      </c>
      <c r="AL273" s="16" t="b">
        <v>0</v>
      </c>
      <c r="AM273" s="16" t="b">
        <v>0</v>
      </c>
      <c r="AN273" s="16" t="b">
        <v>0</v>
      </c>
      <c r="AO273" s="16" t="b">
        <v>0</v>
      </c>
      <c r="AP273" s="16" t="b">
        <v>0</v>
      </c>
      <c r="AQ273" s="17">
        <f t="shared" si="9"/>
        <v>0</v>
      </c>
      <c r="AR273" s="12">
        <f t="shared" si="10"/>
        <v>11674.25</v>
      </c>
      <c r="AS273" s="18">
        <f t="shared" si="11"/>
        <v>0</v>
      </c>
      <c r="AT273" s="12">
        <f t="shared" si="12"/>
        <v>2053.0599999999995</v>
      </c>
      <c r="AU273" s="18">
        <f t="shared" si="13"/>
        <v>0</v>
      </c>
      <c r="AV273" s="19">
        <f t="shared" si="14"/>
        <v>0.17586226095894808</v>
      </c>
      <c r="AW273" s="20" t="str">
        <f t="shared" si="15"/>
        <v>December</v>
      </c>
      <c r="AX273" s="21">
        <f t="shared" si="16"/>
        <v>2024</v>
      </c>
    </row>
    <row r="274" spans="1:50" ht="15.75" customHeight="1">
      <c r="A274" s="10" t="s">
        <v>953</v>
      </c>
      <c r="B274" s="11">
        <v>45522</v>
      </c>
      <c r="C274" s="11">
        <v>45528</v>
      </c>
      <c r="D274" s="10" t="s">
        <v>954</v>
      </c>
      <c r="E274" s="10" t="s">
        <v>82</v>
      </c>
      <c r="F274" s="10" t="s">
        <v>53</v>
      </c>
      <c r="G274" s="10" t="s">
        <v>83</v>
      </c>
      <c r="H274" s="10" t="s">
        <v>113</v>
      </c>
      <c r="I274" s="10" t="s">
        <v>114</v>
      </c>
      <c r="J274" s="10" t="s">
        <v>70</v>
      </c>
      <c r="K274" s="10" t="s">
        <v>95</v>
      </c>
      <c r="L274" s="10" t="s">
        <v>955</v>
      </c>
      <c r="M274" s="10" t="s">
        <v>79</v>
      </c>
      <c r="N274" s="12">
        <v>7</v>
      </c>
      <c r="O274" s="12">
        <v>557.21</v>
      </c>
      <c r="P274" s="12">
        <v>0.1</v>
      </c>
      <c r="Q274" s="12">
        <v>3510.42</v>
      </c>
      <c r="R274" s="12">
        <v>2191.5</v>
      </c>
      <c r="S274" s="12">
        <v>1213.48</v>
      </c>
      <c r="T274" s="10" t="s">
        <v>61</v>
      </c>
      <c r="U274" s="13" t="s">
        <v>62</v>
      </c>
      <c r="V274" s="14" t="e">
        <f t="shared" ca="1" si="0"/>
        <v>#NAME?</v>
      </c>
      <c r="W274" s="10" t="str">
        <f ca="1">IFERROR(__xludf.DUMMYFUNCTION("IF(COUNTIF($A:$A,A268)=1,
""Unique"",
IF(COUNTUNIQUE(FILTER($V$2:$V$934,$A$2:$A$934=A268))&gt;1,
""Conflicting Duplicate"",
""Exact Duplicate""))"),"Unique")</f>
        <v>Unique</v>
      </c>
      <c r="X274" s="10" t="b">
        <f t="shared" ca="1" si="1"/>
        <v>1</v>
      </c>
      <c r="Y274" s="10" t="str">
        <f t="shared" si="2"/>
        <v>Duplicate Order ID</v>
      </c>
      <c r="Z274" s="10"/>
      <c r="AA274" s="10" t="str">
        <f t="shared" si="3"/>
        <v>Clean</v>
      </c>
      <c r="AB274" s="15" t="str">
        <f t="shared" si="4"/>
        <v>Valid</v>
      </c>
      <c r="AC274" s="15">
        <v>6</v>
      </c>
      <c r="AD274" s="16" t="str">
        <f t="shared" si="5"/>
        <v>Valid</v>
      </c>
      <c r="AE274" s="16" t="str">
        <f t="shared" si="6"/>
        <v>Valid</v>
      </c>
      <c r="AF274" s="16" t="str">
        <f t="shared" ref="AF274:AG274" si="559">IF(ISNUMBER(B274),"Valid","Invalid")</f>
        <v>Valid</v>
      </c>
      <c r="AG274" s="16" t="str">
        <f t="shared" si="559"/>
        <v>Valid</v>
      </c>
      <c r="AH274" s="16" t="str">
        <f t="shared" ref="AH274:AI274" si="560">IF(OR(B274="",ISBLANK(B274)),"Missing","Valid")</f>
        <v>Valid</v>
      </c>
      <c r="AI274" s="16" t="str">
        <f t="shared" si="560"/>
        <v>Valid</v>
      </c>
      <c r="AJ274" s="16" t="b">
        <v>0</v>
      </c>
      <c r="AK274" s="16" t="b">
        <v>0</v>
      </c>
      <c r="AL274" s="16" t="b">
        <v>0</v>
      </c>
      <c r="AM274" s="16" t="b">
        <v>0</v>
      </c>
      <c r="AN274" s="16" t="b">
        <v>0</v>
      </c>
      <c r="AO274" s="16" t="b">
        <v>0</v>
      </c>
      <c r="AP274" s="16" t="b">
        <v>0</v>
      </c>
      <c r="AQ274" s="17">
        <f t="shared" si="9"/>
        <v>0.1</v>
      </c>
      <c r="AR274" s="12">
        <f t="shared" si="10"/>
        <v>3510.4230000000002</v>
      </c>
      <c r="AS274" s="18">
        <f t="shared" si="11"/>
        <v>-3.0000000001564331E-3</v>
      </c>
      <c r="AT274" s="12">
        <f t="shared" si="12"/>
        <v>1318.9230000000002</v>
      </c>
      <c r="AU274" s="18">
        <f t="shared" si="13"/>
        <v>-105.44300000000021</v>
      </c>
      <c r="AV274" s="19">
        <f t="shared" si="14"/>
        <v>0.37571625983535323</v>
      </c>
      <c r="AW274" s="20" t="str">
        <f t="shared" si="15"/>
        <v>August</v>
      </c>
      <c r="AX274" s="21">
        <f t="shared" si="16"/>
        <v>2024</v>
      </c>
    </row>
    <row r="275" spans="1:50" ht="15.75" customHeight="1">
      <c r="A275" s="10" t="s">
        <v>956</v>
      </c>
      <c r="B275" s="11">
        <v>45701</v>
      </c>
      <c r="C275" s="11">
        <v>45701</v>
      </c>
      <c r="D275" s="10" t="s">
        <v>957</v>
      </c>
      <c r="E275" s="10" t="s">
        <v>76</v>
      </c>
      <c r="F275" s="10" t="s">
        <v>53</v>
      </c>
      <c r="G275" s="10" t="s">
        <v>67</v>
      </c>
      <c r="H275" s="10" t="s">
        <v>174</v>
      </c>
      <c r="I275" s="10" t="s">
        <v>175</v>
      </c>
      <c r="J275" s="10" t="s">
        <v>57</v>
      </c>
      <c r="K275" s="10" t="s">
        <v>58</v>
      </c>
      <c r="L275" s="10" t="s">
        <v>958</v>
      </c>
      <c r="M275" s="10" t="s">
        <v>60</v>
      </c>
      <c r="N275" s="12">
        <v>9</v>
      </c>
      <c r="O275" s="12">
        <v>2521.63</v>
      </c>
      <c r="P275" s="12">
        <v>0</v>
      </c>
      <c r="Q275" s="12">
        <v>22694.67</v>
      </c>
      <c r="R275" s="12">
        <v>15405.36</v>
      </c>
      <c r="S275" s="12">
        <v>7289.31</v>
      </c>
      <c r="T275" s="10" t="s">
        <v>61</v>
      </c>
      <c r="U275" s="13" t="s">
        <v>132</v>
      </c>
      <c r="V275" s="14" t="e">
        <f t="shared" ca="1" si="0"/>
        <v>#NAME?</v>
      </c>
      <c r="W275" s="10" t="str">
        <f ca="1">IFERROR(__xludf.DUMMYFUNCTION("IF(COUNTIF($A:$A,A269)=1,
""Unique"",
IF(COUNTUNIQUE(FILTER($V$2:$V$934,$A$2:$A$934=A269))&gt;1,
""Conflicting Duplicate"",
""Exact Duplicate""))"),"Unique")</f>
        <v>Unique</v>
      </c>
      <c r="X275" s="10" t="b">
        <f t="shared" ca="1" si="1"/>
        <v>1</v>
      </c>
      <c r="Y275" s="10" t="str">
        <f t="shared" si="2"/>
        <v>Unique</v>
      </c>
      <c r="Z275" s="10"/>
      <c r="AA275" s="10" t="str">
        <f t="shared" si="3"/>
        <v>Clean</v>
      </c>
      <c r="AB275" s="15" t="str">
        <f t="shared" si="4"/>
        <v>Valid</v>
      </c>
      <c r="AC275" s="15">
        <v>0</v>
      </c>
      <c r="AD275" s="16" t="str">
        <f t="shared" si="5"/>
        <v>Valid</v>
      </c>
      <c r="AE275" s="16" t="str">
        <f t="shared" si="6"/>
        <v>Valid</v>
      </c>
      <c r="AF275" s="16" t="str">
        <f t="shared" ref="AF275:AG275" si="561">IF(ISNUMBER(B275),"Valid","Invalid")</f>
        <v>Valid</v>
      </c>
      <c r="AG275" s="16" t="str">
        <f t="shared" si="561"/>
        <v>Valid</v>
      </c>
      <c r="AH275" s="16" t="str">
        <f t="shared" ref="AH275:AI275" si="562">IF(OR(B275="",ISBLANK(B275)),"Missing","Valid")</f>
        <v>Valid</v>
      </c>
      <c r="AI275" s="16" t="str">
        <f t="shared" si="562"/>
        <v>Valid</v>
      </c>
      <c r="AJ275" s="16" t="b">
        <v>0</v>
      </c>
      <c r="AK275" s="16" t="b">
        <v>0</v>
      </c>
      <c r="AL275" s="16" t="b">
        <v>0</v>
      </c>
      <c r="AM275" s="16" t="b">
        <v>0</v>
      </c>
      <c r="AN275" s="16" t="b">
        <v>0</v>
      </c>
      <c r="AO275" s="16" t="b">
        <v>0</v>
      </c>
      <c r="AP275" s="16" t="b">
        <v>0</v>
      </c>
      <c r="AQ275" s="17">
        <f t="shared" si="9"/>
        <v>0</v>
      </c>
      <c r="AR275" s="12">
        <f t="shared" si="10"/>
        <v>22694.670000000002</v>
      </c>
      <c r="AS275" s="18">
        <f t="shared" si="11"/>
        <v>0</v>
      </c>
      <c r="AT275" s="12">
        <f t="shared" si="12"/>
        <v>7289.3100000000013</v>
      </c>
      <c r="AU275" s="18">
        <f t="shared" si="13"/>
        <v>0</v>
      </c>
      <c r="AV275" s="19">
        <f t="shared" si="14"/>
        <v>0.32119039404406413</v>
      </c>
      <c r="AW275" s="20" t="str">
        <f t="shared" si="15"/>
        <v>February</v>
      </c>
      <c r="AX275" s="21">
        <f t="shared" si="16"/>
        <v>2025</v>
      </c>
    </row>
    <row r="276" spans="1:50" ht="15.75" customHeight="1">
      <c r="A276" s="10" t="s">
        <v>959</v>
      </c>
      <c r="B276" s="11">
        <v>45389</v>
      </c>
      <c r="C276" s="11">
        <v>45396</v>
      </c>
      <c r="D276" s="10" t="s">
        <v>960</v>
      </c>
      <c r="E276" s="10" t="s">
        <v>170</v>
      </c>
      <c r="F276" s="10" t="s">
        <v>53</v>
      </c>
      <c r="G276" s="10" t="s">
        <v>83</v>
      </c>
      <c r="H276" s="10" t="s">
        <v>214</v>
      </c>
      <c r="I276" s="10" t="s">
        <v>215</v>
      </c>
      <c r="J276" s="10" t="s">
        <v>103</v>
      </c>
      <c r="K276" s="10" t="s">
        <v>109</v>
      </c>
      <c r="L276" s="10" t="s">
        <v>961</v>
      </c>
      <c r="M276" s="10" t="s">
        <v>88</v>
      </c>
      <c r="N276" s="12">
        <v>6</v>
      </c>
      <c r="O276" s="12">
        <v>4246.71</v>
      </c>
      <c r="P276" s="12">
        <v>0.15</v>
      </c>
      <c r="Q276" s="12">
        <v>21658.22</v>
      </c>
      <c r="R276" s="12">
        <v>15490.69</v>
      </c>
      <c r="S276" s="12">
        <v>6167.53</v>
      </c>
      <c r="T276" s="10" t="s">
        <v>184</v>
      </c>
      <c r="U276" s="13" t="s">
        <v>132</v>
      </c>
      <c r="V276" s="14" t="e">
        <f t="shared" ca="1" si="0"/>
        <v>#NAME?</v>
      </c>
      <c r="W276" s="10" t="str">
        <f ca="1">IFERROR(__xludf.DUMMYFUNCTION("IF(COUNTIF($A:$A,A270)=1,
""Unique"",
IF(COUNTUNIQUE(FILTER($V$2:$V$934,$A$2:$A$934=A270))&gt;1,
""Conflicting Duplicate"",
""Exact Duplicate""))"),"Unique")</f>
        <v>Unique</v>
      </c>
      <c r="X276" s="10" t="b">
        <f t="shared" ca="1" si="1"/>
        <v>1</v>
      </c>
      <c r="Y276" s="10" t="str">
        <f t="shared" si="2"/>
        <v>Unique</v>
      </c>
      <c r="Z276" s="10"/>
      <c r="AA276" s="10" t="str">
        <f t="shared" si="3"/>
        <v>Clean</v>
      </c>
      <c r="AB276" s="15" t="str">
        <f t="shared" si="4"/>
        <v>Valid</v>
      </c>
      <c r="AC276" s="15">
        <v>7</v>
      </c>
      <c r="AD276" s="16" t="str">
        <f t="shared" si="5"/>
        <v>Valid</v>
      </c>
      <c r="AE276" s="16" t="str">
        <f t="shared" si="6"/>
        <v>Valid</v>
      </c>
      <c r="AF276" s="16" t="str">
        <f t="shared" ref="AF276:AG276" si="563">IF(ISNUMBER(B276),"Valid","Invalid")</f>
        <v>Valid</v>
      </c>
      <c r="AG276" s="16" t="str">
        <f t="shared" si="563"/>
        <v>Valid</v>
      </c>
      <c r="AH276" s="16" t="str">
        <f t="shared" ref="AH276:AI276" si="564">IF(OR(B276="",ISBLANK(B276)),"Missing","Valid")</f>
        <v>Valid</v>
      </c>
      <c r="AI276" s="16" t="str">
        <f t="shared" si="564"/>
        <v>Valid</v>
      </c>
      <c r="AJ276" s="16" t="b">
        <v>0</v>
      </c>
      <c r="AK276" s="16" t="b">
        <v>0</v>
      </c>
      <c r="AL276" s="16" t="b">
        <v>0</v>
      </c>
      <c r="AM276" s="16" t="b">
        <v>0</v>
      </c>
      <c r="AN276" s="16" t="b">
        <v>0</v>
      </c>
      <c r="AO276" s="16" t="b">
        <v>0</v>
      </c>
      <c r="AP276" s="16" t="b">
        <v>0</v>
      </c>
      <c r="AQ276" s="17">
        <f t="shared" si="9"/>
        <v>0.15</v>
      </c>
      <c r="AR276" s="12">
        <f t="shared" si="10"/>
        <v>21658.221000000001</v>
      </c>
      <c r="AS276" s="18">
        <f t="shared" si="11"/>
        <v>-1.0000000002037268E-3</v>
      </c>
      <c r="AT276" s="12">
        <f t="shared" si="12"/>
        <v>6167.5310000000009</v>
      </c>
      <c r="AU276" s="18">
        <f t="shared" si="13"/>
        <v>-1.0000000011132215E-3</v>
      </c>
      <c r="AV276" s="19">
        <f t="shared" si="14"/>
        <v>0.28476627881856043</v>
      </c>
      <c r="AW276" s="20" t="str">
        <f t="shared" si="15"/>
        <v>April</v>
      </c>
      <c r="AX276" s="21">
        <f t="shared" si="16"/>
        <v>2024</v>
      </c>
    </row>
    <row r="277" spans="1:50" ht="15.75" customHeight="1">
      <c r="A277" s="10" t="s">
        <v>962</v>
      </c>
      <c r="B277" s="11">
        <v>45337</v>
      </c>
      <c r="C277" s="11">
        <v>45344</v>
      </c>
      <c r="D277" s="10" t="s">
        <v>963</v>
      </c>
      <c r="E277" s="10" t="s">
        <v>143</v>
      </c>
      <c r="F277" s="10" t="s">
        <v>66</v>
      </c>
      <c r="G277" s="10" t="s">
        <v>67</v>
      </c>
      <c r="H277" s="10" t="s">
        <v>128</v>
      </c>
      <c r="I277" s="10" t="s">
        <v>129</v>
      </c>
      <c r="J277" s="10" t="s">
        <v>70</v>
      </c>
      <c r="K277" s="10" t="s">
        <v>86</v>
      </c>
      <c r="L277" s="10" t="s">
        <v>964</v>
      </c>
      <c r="M277" s="10" t="s">
        <v>73</v>
      </c>
      <c r="N277" s="12">
        <v>1</v>
      </c>
      <c r="O277" s="12">
        <v>980.51</v>
      </c>
      <c r="P277" s="12">
        <v>0</v>
      </c>
      <c r="Q277" s="12">
        <v>980.51</v>
      </c>
      <c r="R277" s="12">
        <v>660.92</v>
      </c>
      <c r="S277" s="12">
        <v>319.58999999999997</v>
      </c>
      <c r="T277" s="10" t="s">
        <v>61</v>
      </c>
      <c r="U277" s="13" t="s">
        <v>62</v>
      </c>
      <c r="V277" s="14" t="e">
        <f t="shared" ca="1" si="0"/>
        <v>#NAME?</v>
      </c>
      <c r="W277" s="10" t="str">
        <f ca="1">IFERROR(__xludf.DUMMYFUNCTION("IF(COUNTIF($A:$A,A271)=1,
""Unique"",
IF(COUNTUNIQUE(FILTER($V$2:$V$934,$A$2:$A$934=A271))&gt;1,
""Conflicting Duplicate"",
""Exact Duplicate""))"),"Unique")</f>
        <v>Unique</v>
      </c>
      <c r="X277" s="10" t="b">
        <f t="shared" ca="1" si="1"/>
        <v>1</v>
      </c>
      <c r="Y277" s="10" t="str">
        <f t="shared" si="2"/>
        <v>Unique</v>
      </c>
      <c r="Z277" s="10"/>
      <c r="AA277" s="10" t="str">
        <f t="shared" si="3"/>
        <v>Clean</v>
      </c>
      <c r="AB277" s="15" t="str">
        <f t="shared" si="4"/>
        <v>Valid</v>
      </c>
      <c r="AC277" s="15">
        <v>7</v>
      </c>
      <c r="AD277" s="16" t="str">
        <f t="shared" si="5"/>
        <v>Valid</v>
      </c>
      <c r="AE277" s="16" t="str">
        <f t="shared" si="6"/>
        <v>Valid</v>
      </c>
      <c r="AF277" s="16" t="str">
        <f t="shared" ref="AF277:AG277" si="565">IF(ISNUMBER(B277),"Valid","Invalid")</f>
        <v>Valid</v>
      </c>
      <c r="AG277" s="16" t="str">
        <f t="shared" si="565"/>
        <v>Valid</v>
      </c>
      <c r="AH277" s="16" t="str">
        <f t="shared" ref="AH277:AI277" si="566">IF(OR(B277="",ISBLANK(B277)),"Missing","Valid")</f>
        <v>Valid</v>
      </c>
      <c r="AI277" s="16" t="str">
        <f t="shared" si="566"/>
        <v>Valid</v>
      </c>
      <c r="AJ277" s="16" t="b">
        <v>0</v>
      </c>
      <c r="AK277" s="16" t="b">
        <v>0</v>
      </c>
      <c r="AL277" s="16" t="b">
        <v>0</v>
      </c>
      <c r="AM277" s="16" t="b">
        <v>0</v>
      </c>
      <c r="AN277" s="16" t="b">
        <v>0</v>
      </c>
      <c r="AO277" s="16" t="b">
        <v>0</v>
      </c>
      <c r="AP277" s="16" t="b">
        <v>0</v>
      </c>
      <c r="AQ277" s="17">
        <f t="shared" si="9"/>
        <v>0</v>
      </c>
      <c r="AR277" s="12">
        <f t="shared" si="10"/>
        <v>980.51</v>
      </c>
      <c r="AS277" s="18">
        <f t="shared" si="11"/>
        <v>0</v>
      </c>
      <c r="AT277" s="12">
        <f t="shared" si="12"/>
        <v>319.59000000000003</v>
      </c>
      <c r="AU277" s="18">
        <f t="shared" si="13"/>
        <v>0</v>
      </c>
      <c r="AV277" s="19">
        <f t="shared" si="14"/>
        <v>0.32594262169687205</v>
      </c>
      <c r="AW277" s="20" t="str">
        <f t="shared" si="15"/>
        <v>February</v>
      </c>
      <c r="AX277" s="21">
        <f t="shared" si="16"/>
        <v>2024</v>
      </c>
    </row>
    <row r="278" spans="1:50" ht="15.75" customHeight="1">
      <c r="A278" s="10" t="s">
        <v>965</v>
      </c>
      <c r="B278" s="11">
        <v>45313</v>
      </c>
      <c r="C278" s="11">
        <v>45314</v>
      </c>
      <c r="D278" s="10" t="s">
        <v>966</v>
      </c>
      <c r="E278" s="10" t="s">
        <v>157</v>
      </c>
      <c r="F278" s="10" t="s">
        <v>66</v>
      </c>
      <c r="G278" s="10" t="s">
        <v>234</v>
      </c>
      <c r="H278" s="10" t="s">
        <v>195</v>
      </c>
      <c r="I278" s="10" t="s">
        <v>196</v>
      </c>
      <c r="J278" s="10" t="s">
        <v>70</v>
      </c>
      <c r="K278" s="10" t="s">
        <v>95</v>
      </c>
      <c r="L278" s="10" t="s">
        <v>967</v>
      </c>
      <c r="M278" s="10" t="s">
        <v>60</v>
      </c>
      <c r="N278" s="12">
        <v>6</v>
      </c>
      <c r="O278" s="12">
        <v>3391.53</v>
      </c>
      <c r="P278" s="12">
        <v>-0.14000000000000001</v>
      </c>
      <c r="Q278" s="12">
        <v>15261.89</v>
      </c>
      <c r="R278" s="12">
        <v>8413.5300000000007</v>
      </c>
      <c r="S278" s="12">
        <v>6848.36</v>
      </c>
      <c r="T278" s="10" t="s">
        <v>61</v>
      </c>
      <c r="U278" s="13" t="s">
        <v>62</v>
      </c>
      <c r="V278" s="14" t="e">
        <f t="shared" ca="1" si="0"/>
        <v>#NAME?</v>
      </c>
      <c r="W278" s="10" t="str">
        <f ca="1">IFERROR(__xludf.DUMMYFUNCTION("IF(COUNTIF($A:$A,A272)=1,
""Unique"",
IF(COUNTUNIQUE(FILTER($V$2:$V$934,$A$2:$A$934=A272))&gt;1,
""Conflicting Duplicate"",
""Exact Duplicate""))"),"Unique")</f>
        <v>Unique</v>
      </c>
      <c r="X278" s="10" t="b">
        <f t="shared" ca="1" si="1"/>
        <v>1</v>
      </c>
      <c r="Y278" s="10" t="str">
        <f t="shared" si="2"/>
        <v>Duplicate Order ID</v>
      </c>
      <c r="Z278" s="10"/>
      <c r="AA278" s="10" t="str">
        <f t="shared" si="3"/>
        <v>Invalid</v>
      </c>
      <c r="AB278" s="15" t="str">
        <f t="shared" si="4"/>
        <v>Valid</v>
      </c>
      <c r="AC278" s="15">
        <v>1</v>
      </c>
      <c r="AD278" s="16" t="str">
        <f t="shared" si="5"/>
        <v>Valid</v>
      </c>
      <c r="AE278" s="16" t="str">
        <f t="shared" si="6"/>
        <v>Valid</v>
      </c>
      <c r="AF278" s="16" t="str">
        <f t="shared" ref="AF278:AG278" si="567">IF(ISNUMBER(B278),"Valid","Invalid")</f>
        <v>Valid</v>
      </c>
      <c r="AG278" s="16" t="str">
        <f t="shared" si="567"/>
        <v>Valid</v>
      </c>
      <c r="AH278" s="16" t="str">
        <f t="shared" ref="AH278:AI278" si="568">IF(OR(B278="",ISBLANK(B278)),"Missing","Valid")</f>
        <v>Valid</v>
      </c>
      <c r="AI278" s="16" t="str">
        <f t="shared" si="568"/>
        <v>Valid</v>
      </c>
      <c r="AJ278" s="16" t="b">
        <v>1</v>
      </c>
      <c r="AK278" s="16" t="b">
        <v>0</v>
      </c>
      <c r="AL278" s="16" t="b">
        <v>0</v>
      </c>
      <c r="AM278" s="16" t="b">
        <v>1</v>
      </c>
      <c r="AN278" s="16" t="b">
        <v>0</v>
      </c>
      <c r="AO278" s="16" t="b">
        <v>0</v>
      </c>
      <c r="AP278" s="16" t="b">
        <v>1</v>
      </c>
      <c r="AQ278" s="17">
        <f t="shared" si="9"/>
        <v>-0.14000000000000001</v>
      </c>
      <c r="AR278" s="12">
        <f t="shared" si="10"/>
        <v>23198.065200000005</v>
      </c>
      <c r="AS278" s="18">
        <f t="shared" si="11"/>
        <v>-7936.1752000000051</v>
      </c>
      <c r="AT278" s="12">
        <f t="shared" si="12"/>
        <v>14784.535200000004</v>
      </c>
      <c r="AU278" s="18">
        <f t="shared" si="13"/>
        <v>-7936.1752000000042</v>
      </c>
      <c r="AV278" s="19">
        <f t="shared" si="14"/>
        <v>0.63731759836591895</v>
      </c>
      <c r="AW278" s="20" t="str">
        <f t="shared" si="15"/>
        <v>January</v>
      </c>
      <c r="AX278" s="21">
        <f t="shared" si="16"/>
        <v>2024</v>
      </c>
    </row>
    <row r="279" spans="1:50" ht="15.75" customHeight="1">
      <c r="A279" s="10" t="s">
        <v>968</v>
      </c>
      <c r="B279" s="11">
        <v>45812</v>
      </c>
      <c r="C279" s="11">
        <v>45812</v>
      </c>
      <c r="D279" s="10" t="s">
        <v>820</v>
      </c>
      <c r="E279" s="10" t="s">
        <v>76</v>
      </c>
      <c r="F279" s="10" t="s">
        <v>119</v>
      </c>
      <c r="G279" s="10" t="s">
        <v>54</v>
      </c>
      <c r="H279" s="10" t="s">
        <v>266</v>
      </c>
      <c r="I279" s="10" t="s">
        <v>267</v>
      </c>
      <c r="J279" s="10" t="s">
        <v>103</v>
      </c>
      <c r="K279" s="10" t="s">
        <v>104</v>
      </c>
      <c r="L279" s="10" t="s">
        <v>969</v>
      </c>
      <c r="M279" s="10" t="s">
        <v>60</v>
      </c>
      <c r="N279" s="12">
        <v>1</v>
      </c>
      <c r="O279" s="12">
        <v>2133.73</v>
      </c>
      <c r="P279" s="12">
        <v>0.15</v>
      </c>
      <c r="Q279" s="12">
        <v>2008.39</v>
      </c>
      <c r="R279" s="12">
        <v>1002.57</v>
      </c>
      <c r="S279" s="12">
        <v>811.1</v>
      </c>
      <c r="T279" s="10" t="s">
        <v>140</v>
      </c>
      <c r="U279" s="13" t="s">
        <v>97</v>
      </c>
      <c r="V279" s="14" t="e">
        <f t="shared" ca="1" si="0"/>
        <v>#NAME?</v>
      </c>
      <c r="W279" s="10" t="str">
        <f ca="1">IFERROR(__xludf.DUMMYFUNCTION("IF(COUNTIF($A:$A,A273)=1,
""Unique"",
IF(COUNTUNIQUE(FILTER($V$2:$V$934,$A$2:$A$934=A273))&gt;1,
""Conflicting Duplicate"",
""Exact Duplicate""))"),"Unique")</f>
        <v>Unique</v>
      </c>
      <c r="X279" s="10" t="b">
        <f t="shared" ca="1" si="1"/>
        <v>1</v>
      </c>
      <c r="Y279" s="10" t="str">
        <f t="shared" si="2"/>
        <v>Unique</v>
      </c>
      <c r="Z279" s="10"/>
      <c r="AA279" s="10" t="str">
        <f t="shared" si="3"/>
        <v>Clean</v>
      </c>
      <c r="AB279" s="15" t="str">
        <f t="shared" si="4"/>
        <v>Valid</v>
      </c>
      <c r="AC279" s="15">
        <v>0</v>
      </c>
      <c r="AD279" s="16" t="str">
        <f t="shared" si="5"/>
        <v>Valid</v>
      </c>
      <c r="AE279" s="16" t="str">
        <f t="shared" si="6"/>
        <v>Valid</v>
      </c>
      <c r="AF279" s="16" t="str">
        <f t="shared" ref="AF279:AG279" si="569">IF(ISNUMBER(B279),"Valid","Invalid")</f>
        <v>Valid</v>
      </c>
      <c r="AG279" s="16" t="str">
        <f t="shared" si="569"/>
        <v>Valid</v>
      </c>
      <c r="AH279" s="16" t="str">
        <f t="shared" ref="AH279:AI279" si="570">IF(OR(B279="",ISBLANK(B279)),"Missing","Valid")</f>
        <v>Valid</v>
      </c>
      <c r="AI279" s="16" t="str">
        <f t="shared" si="570"/>
        <v>Valid</v>
      </c>
      <c r="AJ279" s="16" t="b">
        <v>0</v>
      </c>
      <c r="AK279" s="16" t="b">
        <v>0</v>
      </c>
      <c r="AL279" s="16" t="b">
        <v>0</v>
      </c>
      <c r="AM279" s="16" t="b">
        <v>0</v>
      </c>
      <c r="AN279" s="16" t="b">
        <v>0</v>
      </c>
      <c r="AO279" s="16" t="b">
        <v>0</v>
      </c>
      <c r="AP279" s="16" t="b">
        <v>0</v>
      </c>
      <c r="AQ279" s="17">
        <f t="shared" si="9"/>
        <v>0.15</v>
      </c>
      <c r="AR279" s="12">
        <f t="shared" si="10"/>
        <v>1813.6704999999999</v>
      </c>
      <c r="AS279" s="18">
        <f t="shared" si="11"/>
        <v>194.71950000000015</v>
      </c>
      <c r="AT279" s="12">
        <f t="shared" si="12"/>
        <v>811.1004999999999</v>
      </c>
      <c r="AU279" s="18">
        <f t="shared" si="13"/>
        <v>-4.9999999987448973E-4</v>
      </c>
      <c r="AV279" s="19">
        <f t="shared" si="14"/>
        <v>0.4472149158295291</v>
      </c>
      <c r="AW279" s="20" t="str">
        <f t="shared" si="15"/>
        <v>June</v>
      </c>
      <c r="AX279" s="21">
        <f t="shared" si="16"/>
        <v>2025</v>
      </c>
    </row>
    <row r="280" spans="1:50" ht="15.75" customHeight="1">
      <c r="A280" s="10" t="s">
        <v>970</v>
      </c>
      <c r="B280" s="11">
        <v>45723</v>
      </c>
      <c r="C280" s="11">
        <v>45730</v>
      </c>
      <c r="D280" s="10" t="s">
        <v>971</v>
      </c>
      <c r="E280" s="10" t="s">
        <v>143</v>
      </c>
      <c r="F280" s="10" t="s">
        <v>66</v>
      </c>
      <c r="G280" s="10" t="s">
        <v>54</v>
      </c>
      <c r="H280" s="10" t="s">
        <v>380</v>
      </c>
      <c r="I280" s="10" t="s">
        <v>381</v>
      </c>
      <c r="J280" s="10" t="s">
        <v>103</v>
      </c>
      <c r="K280" s="10" t="s">
        <v>104</v>
      </c>
      <c r="L280" s="10" t="s">
        <v>972</v>
      </c>
      <c r="M280" s="10" t="s">
        <v>73</v>
      </c>
      <c r="N280" s="12">
        <v>1</v>
      </c>
      <c r="O280" s="12">
        <v>3979.64</v>
      </c>
      <c r="P280" s="12">
        <v>0.05</v>
      </c>
      <c r="Q280" s="12">
        <v>3780.66</v>
      </c>
      <c r="R280" s="12">
        <v>2148.31</v>
      </c>
      <c r="S280" s="12">
        <v>1632.35</v>
      </c>
      <c r="T280" s="10" t="s">
        <v>61</v>
      </c>
      <c r="U280" s="13" t="s">
        <v>132</v>
      </c>
      <c r="V280" s="14" t="e">
        <f t="shared" ca="1" si="0"/>
        <v>#NAME?</v>
      </c>
      <c r="W280" s="10" t="str">
        <f ca="1">IFERROR(__xludf.DUMMYFUNCTION("IF(COUNTIF($A:$A,A274)=1,
""Unique"",
IF(COUNTUNIQUE(FILTER($V$2:$V$934,$A$2:$A$934=A274))&gt;1,
""Conflicting Duplicate"",
""Exact Duplicate""))"),"Conflicting Duplicate")</f>
        <v>Conflicting Duplicate</v>
      </c>
      <c r="X280" s="10" t="b">
        <f t="shared" ca="1" si="1"/>
        <v>1</v>
      </c>
      <c r="Y280" s="10" t="str">
        <f t="shared" si="2"/>
        <v>Unique</v>
      </c>
      <c r="Z280" s="10"/>
      <c r="AA280" s="10" t="str">
        <f t="shared" si="3"/>
        <v>Clean</v>
      </c>
      <c r="AB280" s="15" t="str">
        <f t="shared" si="4"/>
        <v>Valid</v>
      </c>
      <c r="AC280" s="15">
        <v>7</v>
      </c>
      <c r="AD280" s="16" t="str">
        <f t="shared" si="5"/>
        <v>Valid</v>
      </c>
      <c r="AE280" s="16" t="str">
        <f t="shared" si="6"/>
        <v>Valid</v>
      </c>
      <c r="AF280" s="16" t="str">
        <f t="shared" ref="AF280:AG280" si="571">IF(ISNUMBER(B280),"Valid","Invalid")</f>
        <v>Valid</v>
      </c>
      <c r="AG280" s="16" t="str">
        <f t="shared" si="571"/>
        <v>Valid</v>
      </c>
      <c r="AH280" s="16" t="str">
        <f t="shared" ref="AH280:AI280" si="572">IF(OR(B280="",ISBLANK(B280)),"Missing","Valid")</f>
        <v>Valid</v>
      </c>
      <c r="AI280" s="16" t="str">
        <f t="shared" si="572"/>
        <v>Valid</v>
      </c>
      <c r="AJ280" s="16" t="b">
        <v>0</v>
      </c>
      <c r="AK280" s="16" t="b">
        <v>0</v>
      </c>
      <c r="AL280" s="16" t="b">
        <v>0</v>
      </c>
      <c r="AM280" s="16" t="b">
        <v>0</v>
      </c>
      <c r="AN280" s="16" t="b">
        <v>0</v>
      </c>
      <c r="AO280" s="16" t="b">
        <v>0</v>
      </c>
      <c r="AP280" s="16" t="b">
        <v>0</v>
      </c>
      <c r="AQ280" s="17">
        <f t="shared" si="9"/>
        <v>0.05</v>
      </c>
      <c r="AR280" s="12">
        <f t="shared" si="10"/>
        <v>3780.6579999999999</v>
      </c>
      <c r="AS280" s="18">
        <f t="shared" si="11"/>
        <v>1.9999999999527063E-3</v>
      </c>
      <c r="AT280" s="12">
        <f t="shared" si="12"/>
        <v>1632.348</v>
      </c>
      <c r="AU280" s="18">
        <f t="shared" si="13"/>
        <v>1.9999999999527063E-3</v>
      </c>
      <c r="AV280" s="19">
        <f t="shared" si="14"/>
        <v>0.43176293650470365</v>
      </c>
      <c r="AW280" s="20" t="str">
        <f t="shared" si="15"/>
        <v>March</v>
      </c>
      <c r="AX280" s="21">
        <f t="shared" si="16"/>
        <v>2025</v>
      </c>
    </row>
    <row r="281" spans="1:50" ht="15.75" customHeight="1">
      <c r="A281" s="10" t="s">
        <v>973</v>
      </c>
      <c r="B281" s="11">
        <v>45391</v>
      </c>
      <c r="C281" s="11">
        <v>45392</v>
      </c>
      <c r="D281" s="10" t="s">
        <v>974</v>
      </c>
      <c r="E281" s="10" t="s">
        <v>170</v>
      </c>
      <c r="F281" s="10" t="s">
        <v>66</v>
      </c>
      <c r="G281" s="10" t="s">
        <v>92</v>
      </c>
      <c r="H281" s="10" t="s">
        <v>93</v>
      </c>
      <c r="I281" s="10" t="s">
        <v>94</v>
      </c>
      <c r="J281" s="10" t="s">
        <v>57</v>
      </c>
      <c r="K281" s="10" t="s">
        <v>153</v>
      </c>
      <c r="L281" s="10" t="s">
        <v>975</v>
      </c>
      <c r="M281" s="10" t="s">
        <v>79</v>
      </c>
      <c r="N281" s="12">
        <v>1</v>
      </c>
      <c r="O281" s="12">
        <v>4359.12</v>
      </c>
      <c r="P281" s="12">
        <v>0.05</v>
      </c>
      <c r="Q281" s="12">
        <v>4141.16</v>
      </c>
      <c r="R281" s="12">
        <v>2754.17</v>
      </c>
      <c r="S281" s="12">
        <v>1386.99</v>
      </c>
      <c r="T281" s="10" t="s">
        <v>61</v>
      </c>
      <c r="U281" s="13" t="s">
        <v>62</v>
      </c>
      <c r="V281" s="14" t="e">
        <f t="shared" ca="1" si="0"/>
        <v>#NAME?</v>
      </c>
      <c r="W281" s="10" t="str">
        <f ca="1">IFERROR(__xludf.DUMMYFUNCTION("IF(COUNTIF($A:$A,A275)=1,
""Unique"",
IF(COUNTUNIQUE(FILTER($V$2:$V$934,$A$2:$A$934=A275))&gt;1,
""Conflicting Duplicate"",
""Exact Duplicate""))"),"Unique")</f>
        <v>Unique</v>
      </c>
      <c r="X281" s="10" t="b">
        <f t="shared" ca="1" si="1"/>
        <v>1</v>
      </c>
      <c r="Y281" s="10" t="str">
        <f t="shared" si="2"/>
        <v>Unique</v>
      </c>
      <c r="Z281" s="10"/>
      <c r="AA281" s="10" t="str">
        <f t="shared" si="3"/>
        <v>Clean</v>
      </c>
      <c r="AB281" s="15" t="str">
        <f t="shared" si="4"/>
        <v>Valid</v>
      </c>
      <c r="AC281" s="15">
        <v>1</v>
      </c>
      <c r="AD281" s="16" t="str">
        <f t="shared" si="5"/>
        <v>Valid</v>
      </c>
      <c r="AE281" s="16" t="str">
        <f t="shared" si="6"/>
        <v>Valid</v>
      </c>
      <c r="AF281" s="16" t="str">
        <f t="shared" ref="AF281:AG281" si="573">IF(ISNUMBER(B281),"Valid","Invalid")</f>
        <v>Valid</v>
      </c>
      <c r="AG281" s="16" t="str">
        <f t="shared" si="573"/>
        <v>Valid</v>
      </c>
      <c r="AH281" s="16" t="str">
        <f t="shared" ref="AH281:AI281" si="574">IF(OR(B281="",ISBLANK(B281)),"Missing","Valid")</f>
        <v>Valid</v>
      </c>
      <c r="AI281" s="16" t="str">
        <f t="shared" si="574"/>
        <v>Valid</v>
      </c>
      <c r="AJ281" s="16" t="b">
        <v>0</v>
      </c>
      <c r="AK281" s="16" t="b">
        <v>0</v>
      </c>
      <c r="AL281" s="16" t="b">
        <v>0</v>
      </c>
      <c r="AM281" s="16" t="b">
        <v>0</v>
      </c>
      <c r="AN281" s="16" t="b">
        <v>0</v>
      </c>
      <c r="AO281" s="16" t="b">
        <v>0</v>
      </c>
      <c r="AP281" s="16" t="b">
        <v>0</v>
      </c>
      <c r="AQ281" s="17">
        <f t="shared" si="9"/>
        <v>0.05</v>
      </c>
      <c r="AR281" s="12">
        <f t="shared" si="10"/>
        <v>4141.1639999999998</v>
      </c>
      <c r="AS281" s="18">
        <f t="shared" si="11"/>
        <v>-3.9999999999054126E-3</v>
      </c>
      <c r="AT281" s="12">
        <f t="shared" si="12"/>
        <v>1386.9939999999997</v>
      </c>
      <c r="AU281" s="18">
        <f t="shared" si="13"/>
        <v>-3.9999999996780389E-3</v>
      </c>
      <c r="AV281" s="19">
        <f t="shared" si="14"/>
        <v>0.33492853700070796</v>
      </c>
      <c r="AW281" s="20" t="str">
        <f t="shared" si="15"/>
        <v>April</v>
      </c>
      <c r="AX281" s="21">
        <f t="shared" si="16"/>
        <v>2024</v>
      </c>
    </row>
    <row r="282" spans="1:50" ht="15.75" customHeight="1">
      <c r="A282" s="10" t="s">
        <v>976</v>
      </c>
      <c r="B282" s="11">
        <v>45649</v>
      </c>
      <c r="C282" s="11">
        <v>45652</v>
      </c>
      <c r="D282" s="10" t="s">
        <v>977</v>
      </c>
      <c r="E282" s="10" t="s">
        <v>118</v>
      </c>
      <c r="F282" s="10" t="s">
        <v>53</v>
      </c>
      <c r="G282" s="10" t="s">
        <v>83</v>
      </c>
      <c r="H282" s="10" t="s">
        <v>204</v>
      </c>
      <c r="I282" s="10" t="s">
        <v>205</v>
      </c>
      <c r="J282" s="10" t="s">
        <v>103</v>
      </c>
      <c r="K282" s="10" t="s">
        <v>109</v>
      </c>
      <c r="L282" s="10" t="s">
        <v>978</v>
      </c>
      <c r="M282" s="10" t="s">
        <v>88</v>
      </c>
      <c r="N282" s="12">
        <v>9</v>
      </c>
      <c r="O282" s="12">
        <v>993.67</v>
      </c>
      <c r="P282" s="12">
        <v>0</v>
      </c>
      <c r="Q282" s="12">
        <v>8943.0300000000007</v>
      </c>
      <c r="R282" s="12">
        <v>5165.38</v>
      </c>
      <c r="S282" s="12">
        <v>3777.65</v>
      </c>
      <c r="T282" s="10" t="s">
        <v>61</v>
      </c>
      <c r="U282" s="13" t="s">
        <v>62</v>
      </c>
      <c r="V282" s="14" t="e">
        <f t="shared" ca="1" si="0"/>
        <v>#NAME?</v>
      </c>
      <c r="W282" s="10" t="str">
        <f ca="1">IFERROR(__xludf.DUMMYFUNCTION("IF(COUNTIF($A:$A,A276)=1,
""Unique"",
IF(COUNTUNIQUE(FILTER($V$2:$V$934,$A$2:$A$934=A276))&gt;1,
""Conflicting Duplicate"",
""Exact Duplicate""))"),"Unique")</f>
        <v>Unique</v>
      </c>
      <c r="X282" s="10" t="b">
        <f t="shared" ca="1" si="1"/>
        <v>1</v>
      </c>
      <c r="Y282" s="10" t="str">
        <f t="shared" si="2"/>
        <v>Duplicate Order ID</v>
      </c>
      <c r="Z282" s="10"/>
      <c r="AA282" s="10" t="str">
        <f t="shared" si="3"/>
        <v>Clean</v>
      </c>
      <c r="AB282" s="15" t="str">
        <f t="shared" si="4"/>
        <v>Valid</v>
      </c>
      <c r="AC282" s="15">
        <v>3</v>
      </c>
      <c r="AD282" s="16" t="str">
        <f t="shared" si="5"/>
        <v>Valid</v>
      </c>
      <c r="AE282" s="16" t="str">
        <f t="shared" si="6"/>
        <v>Valid</v>
      </c>
      <c r="AF282" s="16" t="str">
        <f t="shared" ref="AF282:AG282" si="575">IF(ISNUMBER(B282),"Valid","Invalid")</f>
        <v>Valid</v>
      </c>
      <c r="AG282" s="16" t="str">
        <f t="shared" si="575"/>
        <v>Valid</v>
      </c>
      <c r="AH282" s="16" t="str">
        <f t="shared" ref="AH282:AI282" si="576">IF(OR(B282="",ISBLANK(B282)),"Missing","Valid")</f>
        <v>Valid</v>
      </c>
      <c r="AI282" s="16" t="str">
        <f t="shared" si="576"/>
        <v>Valid</v>
      </c>
      <c r="AJ282" s="16" t="b">
        <v>0</v>
      </c>
      <c r="AK282" s="16" t="b">
        <v>0</v>
      </c>
      <c r="AL282" s="16" t="b">
        <v>0</v>
      </c>
      <c r="AM282" s="16" t="b">
        <v>0</v>
      </c>
      <c r="AN282" s="16" t="b">
        <v>0</v>
      </c>
      <c r="AO282" s="16" t="b">
        <v>0</v>
      </c>
      <c r="AP282" s="16" t="b">
        <v>0</v>
      </c>
      <c r="AQ282" s="17">
        <f t="shared" si="9"/>
        <v>0</v>
      </c>
      <c r="AR282" s="12">
        <f t="shared" si="10"/>
        <v>8943.0299999999988</v>
      </c>
      <c r="AS282" s="18">
        <f t="shared" si="11"/>
        <v>0</v>
      </c>
      <c r="AT282" s="12">
        <f t="shared" si="12"/>
        <v>3777.6499999999987</v>
      </c>
      <c r="AU282" s="18">
        <f t="shared" si="13"/>
        <v>0</v>
      </c>
      <c r="AV282" s="19">
        <f t="shared" si="14"/>
        <v>0.42241276167026154</v>
      </c>
      <c r="AW282" s="20" t="str">
        <f t="shared" si="15"/>
        <v>December</v>
      </c>
      <c r="AX282" s="21">
        <f t="shared" si="16"/>
        <v>2024</v>
      </c>
    </row>
    <row r="283" spans="1:50" ht="15.75" customHeight="1">
      <c r="A283" s="10" t="s">
        <v>979</v>
      </c>
      <c r="B283" s="11">
        <v>45863</v>
      </c>
      <c r="C283" s="11">
        <v>45865</v>
      </c>
      <c r="D283" s="10" t="s">
        <v>980</v>
      </c>
      <c r="E283" s="10" t="s">
        <v>294</v>
      </c>
      <c r="F283" s="10" t="s">
        <v>53</v>
      </c>
      <c r="G283" s="10" t="s">
        <v>67</v>
      </c>
      <c r="H283" s="10" t="s">
        <v>258</v>
      </c>
      <c r="I283" s="10" t="s">
        <v>259</v>
      </c>
      <c r="J283" s="10" t="s">
        <v>57</v>
      </c>
      <c r="K283" s="10" t="s">
        <v>182</v>
      </c>
      <c r="L283" s="10" t="s">
        <v>981</v>
      </c>
      <c r="M283" s="10" t="s">
        <v>60</v>
      </c>
      <c r="N283" s="12">
        <v>6</v>
      </c>
      <c r="O283" s="12">
        <v>3438.38</v>
      </c>
      <c r="P283" s="12">
        <v>0.2</v>
      </c>
      <c r="Q283" s="12">
        <v>16504.22</v>
      </c>
      <c r="R283" s="12">
        <v>11262.71</v>
      </c>
      <c r="S283" s="12">
        <v>5241.51</v>
      </c>
      <c r="T283" s="10" t="s">
        <v>61</v>
      </c>
      <c r="U283" s="13" t="s">
        <v>62</v>
      </c>
      <c r="V283" s="14" t="e">
        <f t="shared" ca="1" si="0"/>
        <v>#NAME?</v>
      </c>
      <c r="W283" s="10" t="str">
        <f ca="1">IFERROR(__xludf.DUMMYFUNCTION("IF(COUNTIF($A:$A,A277)=1,
""Unique"",
IF(COUNTUNIQUE(FILTER($V$2:$V$934,$A$2:$A$934=A277))&gt;1,
""Conflicting Duplicate"",
""Exact Duplicate""))"),"Unique")</f>
        <v>Unique</v>
      </c>
      <c r="X283" s="10" t="b">
        <f t="shared" ca="1" si="1"/>
        <v>1</v>
      </c>
      <c r="Y283" s="10" t="str">
        <f t="shared" si="2"/>
        <v>Unique</v>
      </c>
      <c r="Z283" s="10"/>
      <c r="AA283" s="10" t="str">
        <f t="shared" si="3"/>
        <v>Clean</v>
      </c>
      <c r="AB283" s="15" t="str">
        <f t="shared" si="4"/>
        <v>Valid</v>
      </c>
      <c r="AC283" s="15">
        <v>2</v>
      </c>
      <c r="AD283" s="16" t="str">
        <f t="shared" si="5"/>
        <v>Valid</v>
      </c>
      <c r="AE283" s="16" t="str">
        <f t="shared" si="6"/>
        <v>Valid</v>
      </c>
      <c r="AF283" s="16" t="str">
        <f t="shared" ref="AF283:AG283" si="577">IF(ISNUMBER(B283),"Valid","Invalid")</f>
        <v>Valid</v>
      </c>
      <c r="AG283" s="16" t="str">
        <f t="shared" si="577"/>
        <v>Valid</v>
      </c>
      <c r="AH283" s="16" t="str">
        <f t="shared" ref="AH283:AI283" si="578">IF(OR(B283="",ISBLANK(B283)),"Missing","Valid")</f>
        <v>Valid</v>
      </c>
      <c r="AI283" s="16" t="str">
        <f t="shared" si="578"/>
        <v>Valid</v>
      </c>
      <c r="AJ283" s="16" t="b">
        <v>0</v>
      </c>
      <c r="AK283" s="16" t="b">
        <v>0</v>
      </c>
      <c r="AL283" s="16" t="b">
        <v>0</v>
      </c>
      <c r="AM283" s="16" t="b">
        <v>0</v>
      </c>
      <c r="AN283" s="16" t="b">
        <v>0</v>
      </c>
      <c r="AO283" s="16" t="b">
        <v>0</v>
      </c>
      <c r="AP283" s="16" t="b">
        <v>0</v>
      </c>
      <c r="AQ283" s="17">
        <f t="shared" si="9"/>
        <v>0.2</v>
      </c>
      <c r="AR283" s="12">
        <f t="shared" si="10"/>
        <v>16504.223999999998</v>
      </c>
      <c r="AS283" s="18">
        <f t="shared" si="11"/>
        <v>-3.9999999971769284E-3</v>
      </c>
      <c r="AT283" s="12">
        <f t="shared" si="12"/>
        <v>5241.5139999999992</v>
      </c>
      <c r="AU283" s="18">
        <f t="shared" si="13"/>
        <v>-3.9999999989959178E-3</v>
      </c>
      <c r="AV283" s="19">
        <f t="shared" si="14"/>
        <v>0.31758621308096641</v>
      </c>
      <c r="AW283" s="20" t="str">
        <f t="shared" si="15"/>
        <v>July</v>
      </c>
      <c r="AX283" s="21">
        <f t="shared" si="16"/>
        <v>2025</v>
      </c>
    </row>
    <row r="284" spans="1:50" ht="15.75" customHeight="1">
      <c r="A284" s="10" t="s">
        <v>982</v>
      </c>
      <c r="B284" s="11">
        <v>45566</v>
      </c>
      <c r="C284" s="11">
        <v>45567</v>
      </c>
      <c r="D284" s="10" t="s">
        <v>983</v>
      </c>
      <c r="E284" s="10" t="s">
        <v>52</v>
      </c>
      <c r="F284" s="10" t="s">
        <v>124</v>
      </c>
      <c r="G284" s="10" t="s">
        <v>67</v>
      </c>
      <c r="H284" s="10" t="s">
        <v>195</v>
      </c>
      <c r="I284" s="10" t="s">
        <v>196</v>
      </c>
      <c r="J284" s="10" t="s">
        <v>70</v>
      </c>
      <c r="K284" s="10" t="s">
        <v>71</v>
      </c>
      <c r="L284" s="10" t="s">
        <v>984</v>
      </c>
      <c r="M284" s="10" t="s">
        <v>60</v>
      </c>
      <c r="N284" s="12">
        <v>2</v>
      </c>
      <c r="O284" s="12">
        <v>2298</v>
      </c>
      <c r="P284" s="12">
        <v>0</v>
      </c>
      <c r="Q284" s="12">
        <v>4596</v>
      </c>
      <c r="R284" s="12">
        <v>3220.33</v>
      </c>
      <c r="S284" s="12">
        <v>1375.67</v>
      </c>
      <c r="T284" s="10" t="s">
        <v>61</v>
      </c>
      <c r="U284" s="13" t="s">
        <v>62</v>
      </c>
      <c r="V284" s="14" t="e">
        <f t="shared" ca="1" si="0"/>
        <v>#NAME?</v>
      </c>
      <c r="W284" s="10" t="str">
        <f ca="1">IFERROR(__xludf.DUMMYFUNCTION("IF(COUNTIF($A:$A,A278)=1,
""Unique"",
IF(COUNTUNIQUE(FILTER($V$2:$V$934,$A$2:$A$934=A278))&gt;1,
""Conflicting Duplicate"",
""Exact Duplicate""))"),"Exact Duplicate")</f>
        <v>Exact Duplicate</v>
      </c>
      <c r="X284" s="10" t="b">
        <f t="shared" ca="1" si="1"/>
        <v>1</v>
      </c>
      <c r="Y284" s="10" t="str">
        <f t="shared" si="2"/>
        <v>Unique</v>
      </c>
      <c r="Z284" s="10"/>
      <c r="AA284" s="10" t="str">
        <f t="shared" si="3"/>
        <v>Clean</v>
      </c>
      <c r="AB284" s="15" t="str">
        <f t="shared" si="4"/>
        <v>Valid</v>
      </c>
      <c r="AC284" s="15">
        <v>1</v>
      </c>
      <c r="AD284" s="16" t="str">
        <f t="shared" si="5"/>
        <v>Valid</v>
      </c>
      <c r="AE284" s="16" t="str">
        <f t="shared" si="6"/>
        <v>Valid</v>
      </c>
      <c r="AF284" s="16" t="str">
        <f t="shared" ref="AF284:AG284" si="579">IF(ISNUMBER(B284),"Valid","Invalid")</f>
        <v>Valid</v>
      </c>
      <c r="AG284" s="16" t="str">
        <f t="shared" si="579"/>
        <v>Valid</v>
      </c>
      <c r="AH284" s="16" t="str">
        <f t="shared" ref="AH284:AI284" si="580">IF(OR(B284="",ISBLANK(B284)),"Missing","Valid")</f>
        <v>Valid</v>
      </c>
      <c r="AI284" s="16" t="str">
        <f t="shared" si="580"/>
        <v>Valid</v>
      </c>
      <c r="AJ284" s="16" t="b">
        <v>0</v>
      </c>
      <c r="AK284" s="16" t="b">
        <v>0</v>
      </c>
      <c r="AL284" s="16" t="b">
        <v>0</v>
      </c>
      <c r="AM284" s="16" t="b">
        <v>0</v>
      </c>
      <c r="AN284" s="16" t="b">
        <v>0</v>
      </c>
      <c r="AO284" s="16" t="b">
        <v>0</v>
      </c>
      <c r="AP284" s="16" t="b">
        <v>0</v>
      </c>
      <c r="AQ284" s="17">
        <f t="shared" si="9"/>
        <v>0</v>
      </c>
      <c r="AR284" s="12">
        <f t="shared" si="10"/>
        <v>4596</v>
      </c>
      <c r="AS284" s="18">
        <f t="shared" si="11"/>
        <v>0</v>
      </c>
      <c r="AT284" s="12">
        <f t="shared" si="12"/>
        <v>1375.67</v>
      </c>
      <c r="AU284" s="18">
        <f t="shared" si="13"/>
        <v>0</v>
      </c>
      <c r="AV284" s="19">
        <f t="shared" si="14"/>
        <v>0.29931897302001742</v>
      </c>
      <c r="AW284" s="20" t="str">
        <f t="shared" si="15"/>
        <v>October</v>
      </c>
      <c r="AX284" s="21">
        <f t="shared" si="16"/>
        <v>2024</v>
      </c>
    </row>
    <row r="285" spans="1:50" ht="15.75" customHeight="1">
      <c r="A285" s="10" t="s">
        <v>985</v>
      </c>
      <c r="B285" s="11">
        <v>45729</v>
      </c>
      <c r="C285" s="11">
        <v>45736</v>
      </c>
      <c r="D285" s="10" t="s">
        <v>986</v>
      </c>
      <c r="E285" s="10" t="s">
        <v>100</v>
      </c>
      <c r="F285" s="10" t="s">
        <v>53</v>
      </c>
      <c r="G285" s="10" t="s">
        <v>92</v>
      </c>
      <c r="H285" s="10" t="s">
        <v>93</v>
      </c>
      <c r="I285" s="10" t="s">
        <v>94</v>
      </c>
      <c r="J285" s="10" t="s">
        <v>70</v>
      </c>
      <c r="K285" s="10" t="s">
        <v>86</v>
      </c>
      <c r="L285" s="10" t="s">
        <v>987</v>
      </c>
      <c r="M285" s="10" t="s">
        <v>79</v>
      </c>
      <c r="N285" s="12">
        <v>1</v>
      </c>
      <c r="O285" s="12">
        <v>1814.01</v>
      </c>
      <c r="P285" s="12">
        <v>0</v>
      </c>
      <c r="Q285" s="12">
        <v>1814.01</v>
      </c>
      <c r="R285" s="12">
        <v>1033.47</v>
      </c>
      <c r="S285" s="12">
        <v>780.54</v>
      </c>
      <c r="T285" s="10" t="s">
        <v>61</v>
      </c>
      <c r="U285" s="13" t="s">
        <v>62</v>
      </c>
      <c r="V285" s="14" t="e">
        <f t="shared" ca="1" si="0"/>
        <v>#NAME?</v>
      </c>
      <c r="W285" s="10" t="str">
        <f ca="1">IFERROR(__xludf.DUMMYFUNCTION("IF(COUNTIF($A:$A,A279)=1,
""Unique"",
IF(COUNTUNIQUE(FILTER($V$2:$V$934,$A$2:$A$934=A279))&gt;1,
""Conflicting Duplicate"",
""Exact Duplicate""))"),"Unique")</f>
        <v>Unique</v>
      </c>
      <c r="X285" s="10" t="b">
        <f t="shared" ca="1" si="1"/>
        <v>1</v>
      </c>
      <c r="Y285" s="10" t="str">
        <f t="shared" si="2"/>
        <v>Unique</v>
      </c>
      <c r="Z285" s="10"/>
      <c r="AA285" s="10" t="str">
        <f t="shared" si="3"/>
        <v>Clean</v>
      </c>
      <c r="AB285" s="15" t="str">
        <f t="shared" si="4"/>
        <v>Valid</v>
      </c>
      <c r="AC285" s="15">
        <v>7</v>
      </c>
      <c r="AD285" s="16" t="str">
        <f t="shared" si="5"/>
        <v>Valid</v>
      </c>
      <c r="AE285" s="16" t="str">
        <f t="shared" si="6"/>
        <v>Valid</v>
      </c>
      <c r="AF285" s="16" t="str">
        <f t="shared" ref="AF285:AG285" si="581">IF(ISNUMBER(B285),"Valid","Invalid")</f>
        <v>Valid</v>
      </c>
      <c r="AG285" s="16" t="str">
        <f t="shared" si="581"/>
        <v>Valid</v>
      </c>
      <c r="AH285" s="16" t="str">
        <f t="shared" ref="AH285:AI285" si="582">IF(OR(B285="",ISBLANK(B285)),"Missing","Valid")</f>
        <v>Valid</v>
      </c>
      <c r="AI285" s="16" t="str">
        <f t="shared" si="582"/>
        <v>Valid</v>
      </c>
      <c r="AJ285" s="16" t="b">
        <v>0</v>
      </c>
      <c r="AK285" s="16" t="b">
        <v>0</v>
      </c>
      <c r="AL285" s="16" t="b">
        <v>0</v>
      </c>
      <c r="AM285" s="16" t="b">
        <v>0</v>
      </c>
      <c r="AN285" s="16" t="b">
        <v>0</v>
      </c>
      <c r="AO285" s="16" t="b">
        <v>0</v>
      </c>
      <c r="AP285" s="16" t="b">
        <v>0</v>
      </c>
      <c r="AQ285" s="17">
        <f t="shared" si="9"/>
        <v>0</v>
      </c>
      <c r="AR285" s="12">
        <f t="shared" si="10"/>
        <v>1814.01</v>
      </c>
      <c r="AS285" s="18">
        <f t="shared" si="11"/>
        <v>0</v>
      </c>
      <c r="AT285" s="12">
        <f t="shared" si="12"/>
        <v>780.54</v>
      </c>
      <c r="AU285" s="18">
        <f t="shared" si="13"/>
        <v>0</v>
      </c>
      <c r="AV285" s="19">
        <f t="shared" si="14"/>
        <v>0.43028428729720342</v>
      </c>
      <c r="AW285" s="20" t="str">
        <f t="shared" si="15"/>
        <v>March</v>
      </c>
      <c r="AX285" s="21">
        <f t="shared" si="16"/>
        <v>2025</v>
      </c>
    </row>
    <row r="286" spans="1:50" ht="15.75" customHeight="1">
      <c r="A286" s="10" t="s">
        <v>988</v>
      </c>
      <c r="B286" s="11">
        <v>45634</v>
      </c>
      <c r="C286" s="11">
        <v>45640</v>
      </c>
      <c r="D286" s="10" t="s">
        <v>989</v>
      </c>
      <c r="E286" s="10" t="s">
        <v>52</v>
      </c>
      <c r="F286" s="10" t="s">
        <v>53</v>
      </c>
      <c r="G286" s="10" t="s">
        <v>67</v>
      </c>
      <c r="H286" s="10" t="s">
        <v>68</v>
      </c>
      <c r="I286" s="10" t="s">
        <v>69</v>
      </c>
      <c r="J286" s="10" t="s">
        <v>70</v>
      </c>
      <c r="K286" s="10" t="s">
        <v>71</v>
      </c>
      <c r="L286" s="10" t="s">
        <v>990</v>
      </c>
      <c r="M286" s="10" t="s">
        <v>73</v>
      </c>
      <c r="N286" s="12">
        <v>3</v>
      </c>
      <c r="O286" s="12">
        <v>1576.92</v>
      </c>
      <c r="P286" s="12">
        <v>0</v>
      </c>
      <c r="Q286" s="12">
        <v>4730.76</v>
      </c>
      <c r="R286" s="12">
        <v>3139.73</v>
      </c>
      <c r="S286" s="12">
        <v>1591.03</v>
      </c>
      <c r="T286" s="10" t="s">
        <v>61</v>
      </c>
      <c r="U286" s="13" t="s">
        <v>132</v>
      </c>
      <c r="V286" s="14" t="e">
        <f t="shared" ca="1" si="0"/>
        <v>#NAME?</v>
      </c>
      <c r="W286" s="10" t="str">
        <f ca="1">IFERROR(__xludf.DUMMYFUNCTION("IF(COUNTIF($A:$A,A280)=1,
""Unique"",
IF(COUNTUNIQUE(FILTER($V$2:$V$934,$A$2:$A$934=A280))&gt;1,
""Conflicting Duplicate"",
""Exact Duplicate""))"),"Unique")</f>
        <v>Unique</v>
      </c>
      <c r="X286" s="10" t="b">
        <f t="shared" ca="1" si="1"/>
        <v>1</v>
      </c>
      <c r="Y286" s="10" t="str">
        <f t="shared" si="2"/>
        <v>Unique</v>
      </c>
      <c r="Z286" s="10"/>
      <c r="AA286" s="10" t="str">
        <f t="shared" si="3"/>
        <v>Clean</v>
      </c>
      <c r="AB286" s="15" t="str">
        <f t="shared" si="4"/>
        <v>Valid</v>
      </c>
      <c r="AC286" s="15">
        <v>6</v>
      </c>
      <c r="AD286" s="16" t="str">
        <f t="shared" si="5"/>
        <v>Valid</v>
      </c>
      <c r="AE286" s="16" t="str">
        <f t="shared" si="6"/>
        <v>Valid</v>
      </c>
      <c r="AF286" s="16" t="str">
        <f t="shared" ref="AF286:AG286" si="583">IF(ISNUMBER(B286),"Valid","Invalid")</f>
        <v>Valid</v>
      </c>
      <c r="AG286" s="16" t="str">
        <f t="shared" si="583"/>
        <v>Valid</v>
      </c>
      <c r="AH286" s="16" t="str">
        <f t="shared" ref="AH286:AI286" si="584">IF(OR(B286="",ISBLANK(B286)),"Missing","Valid")</f>
        <v>Valid</v>
      </c>
      <c r="AI286" s="16" t="str">
        <f t="shared" si="584"/>
        <v>Valid</v>
      </c>
      <c r="AJ286" s="16" t="b">
        <v>0</v>
      </c>
      <c r="AK286" s="16" t="b">
        <v>0</v>
      </c>
      <c r="AL286" s="16" t="b">
        <v>0</v>
      </c>
      <c r="AM286" s="16" t="b">
        <v>0</v>
      </c>
      <c r="AN286" s="16" t="b">
        <v>0</v>
      </c>
      <c r="AO286" s="16" t="b">
        <v>0</v>
      </c>
      <c r="AP286" s="16" t="b">
        <v>0</v>
      </c>
      <c r="AQ286" s="17">
        <f t="shared" si="9"/>
        <v>0</v>
      </c>
      <c r="AR286" s="12">
        <f t="shared" si="10"/>
        <v>4730.76</v>
      </c>
      <c r="AS286" s="18">
        <f t="shared" si="11"/>
        <v>0</v>
      </c>
      <c r="AT286" s="12">
        <f t="shared" si="12"/>
        <v>1591.0300000000002</v>
      </c>
      <c r="AU286" s="18">
        <f t="shared" si="13"/>
        <v>0</v>
      </c>
      <c r="AV286" s="19">
        <f t="shared" si="14"/>
        <v>0.33631594077907145</v>
      </c>
      <c r="AW286" s="20" t="str">
        <f t="shared" si="15"/>
        <v>December</v>
      </c>
      <c r="AX286" s="21">
        <f t="shared" si="16"/>
        <v>2024</v>
      </c>
    </row>
    <row r="287" spans="1:50" ht="15.75" customHeight="1">
      <c r="A287" s="10" t="s">
        <v>991</v>
      </c>
      <c r="B287" s="11">
        <v>45884</v>
      </c>
      <c r="C287" s="11">
        <v>45889</v>
      </c>
      <c r="D287" s="10" t="s">
        <v>992</v>
      </c>
      <c r="E287" s="10" t="s">
        <v>108</v>
      </c>
      <c r="F287" s="10" t="s">
        <v>124</v>
      </c>
      <c r="G287" s="10" t="s">
        <v>54</v>
      </c>
      <c r="H287" s="10" t="s">
        <v>55</v>
      </c>
      <c r="I287" s="10" t="s">
        <v>56</v>
      </c>
      <c r="J287" s="10" t="s">
        <v>57</v>
      </c>
      <c r="K287" s="10" t="s">
        <v>153</v>
      </c>
      <c r="L287" s="10" t="s">
        <v>993</v>
      </c>
      <c r="M287" s="10" t="s">
        <v>88</v>
      </c>
      <c r="N287" s="12">
        <v>9</v>
      </c>
      <c r="O287" s="12">
        <v>4081.77</v>
      </c>
      <c r="P287" s="12">
        <v>0</v>
      </c>
      <c r="Q287" s="12">
        <v>36735.93</v>
      </c>
      <c r="R287" s="12">
        <v>30820.84</v>
      </c>
      <c r="S287" s="12">
        <v>5915.09</v>
      </c>
      <c r="T287" s="10" t="s">
        <v>61</v>
      </c>
      <c r="U287" s="13" t="s">
        <v>62</v>
      </c>
      <c r="V287" s="14" t="e">
        <f t="shared" ca="1" si="0"/>
        <v>#NAME?</v>
      </c>
      <c r="W287" s="10" t="str">
        <f ca="1">IFERROR(__xludf.DUMMYFUNCTION("IF(COUNTIF($A:$A,A281)=1,
""Unique"",
IF(COUNTUNIQUE(FILTER($V$2:$V$934,$A$2:$A$934=A281))&gt;1,
""Conflicting Duplicate"",
""Exact Duplicate""))"),"Unique")</f>
        <v>Unique</v>
      </c>
      <c r="X287" s="10" t="b">
        <f t="shared" ca="1" si="1"/>
        <v>1</v>
      </c>
      <c r="Y287" s="10" t="str">
        <f t="shared" si="2"/>
        <v>Unique</v>
      </c>
      <c r="Z287" s="10"/>
      <c r="AA287" s="10" t="str">
        <f t="shared" si="3"/>
        <v>Clean</v>
      </c>
      <c r="AB287" s="15" t="str">
        <f t="shared" si="4"/>
        <v>Valid</v>
      </c>
      <c r="AC287" s="15">
        <v>5</v>
      </c>
      <c r="AD287" s="16" t="str">
        <f t="shared" si="5"/>
        <v>Valid</v>
      </c>
      <c r="AE287" s="16" t="str">
        <f t="shared" si="6"/>
        <v>Valid</v>
      </c>
      <c r="AF287" s="16" t="str">
        <f t="shared" ref="AF287:AG287" si="585">IF(ISNUMBER(B287),"Valid","Invalid")</f>
        <v>Valid</v>
      </c>
      <c r="AG287" s="16" t="str">
        <f t="shared" si="585"/>
        <v>Valid</v>
      </c>
      <c r="AH287" s="16" t="str">
        <f t="shared" ref="AH287:AI287" si="586">IF(OR(B287="",ISBLANK(B287)),"Missing","Valid")</f>
        <v>Valid</v>
      </c>
      <c r="AI287" s="16" t="str">
        <f t="shared" si="586"/>
        <v>Valid</v>
      </c>
      <c r="AJ287" s="16" t="b">
        <v>0</v>
      </c>
      <c r="AK287" s="16" t="b">
        <v>0</v>
      </c>
      <c r="AL287" s="16" t="b">
        <v>0</v>
      </c>
      <c r="AM287" s="16" t="b">
        <v>0</v>
      </c>
      <c r="AN287" s="16" t="b">
        <v>0</v>
      </c>
      <c r="AO287" s="16" t="b">
        <v>0</v>
      </c>
      <c r="AP287" s="16" t="b">
        <v>0</v>
      </c>
      <c r="AQ287" s="17">
        <f t="shared" si="9"/>
        <v>0</v>
      </c>
      <c r="AR287" s="12">
        <f t="shared" si="10"/>
        <v>36735.93</v>
      </c>
      <c r="AS287" s="18">
        <f t="shared" si="11"/>
        <v>0</v>
      </c>
      <c r="AT287" s="12">
        <f t="shared" si="12"/>
        <v>5915.09</v>
      </c>
      <c r="AU287" s="18">
        <f t="shared" si="13"/>
        <v>0</v>
      </c>
      <c r="AV287" s="19">
        <f t="shared" si="14"/>
        <v>0.16101647624001897</v>
      </c>
      <c r="AW287" s="20" t="str">
        <f t="shared" si="15"/>
        <v>August</v>
      </c>
      <c r="AX287" s="21">
        <f t="shared" si="16"/>
        <v>2025</v>
      </c>
    </row>
    <row r="288" spans="1:50" ht="15.75" customHeight="1">
      <c r="A288" s="10" t="s">
        <v>994</v>
      </c>
      <c r="B288" s="11">
        <v>45350</v>
      </c>
      <c r="C288" s="11">
        <v>45353</v>
      </c>
      <c r="D288" s="10" t="s">
        <v>995</v>
      </c>
      <c r="E288" s="10" t="s">
        <v>143</v>
      </c>
      <c r="F288" s="10" t="s">
        <v>66</v>
      </c>
      <c r="G288" s="10" t="s">
        <v>54</v>
      </c>
      <c r="H288" s="10" t="s">
        <v>380</v>
      </c>
      <c r="I288" s="10" t="s">
        <v>381</v>
      </c>
      <c r="J288" s="10" t="s">
        <v>70</v>
      </c>
      <c r="K288" s="10" t="s">
        <v>86</v>
      </c>
      <c r="L288" s="10" t="s">
        <v>996</v>
      </c>
      <c r="M288" s="10" t="s">
        <v>79</v>
      </c>
      <c r="N288" s="12">
        <v>7</v>
      </c>
      <c r="O288" s="12">
        <v>701.8</v>
      </c>
      <c r="P288" s="12">
        <v>0.1</v>
      </c>
      <c r="Q288" s="12">
        <v>4421.34</v>
      </c>
      <c r="R288" s="12">
        <v>2489.98</v>
      </c>
      <c r="S288" s="12">
        <v>1931.36</v>
      </c>
      <c r="T288" s="10" t="s">
        <v>140</v>
      </c>
      <c r="U288" s="13" t="s">
        <v>132</v>
      </c>
      <c r="V288" s="14" t="e">
        <f t="shared" ca="1" si="0"/>
        <v>#NAME?</v>
      </c>
      <c r="W288" s="10" t="str">
        <f ca="1">IFERROR(__xludf.DUMMYFUNCTION("IF(COUNTIF($A:$A,A282)=1,
""Unique"",
IF(COUNTUNIQUE(FILTER($V$2:$V$934,$A$2:$A$934=A282))&gt;1,
""Conflicting Duplicate"",
""Exact Duplicate""))"),"Exact Duplicate")</f>
        <v>Exact Duplicate</v>
      </c>
      <c r="X288" s="10" t="b">
        <f t="shared" ca="1" si="1"/>
        <v>1</v>
      </c>
      <c r="Y288" s="10" t="str">
        <f t="shared" si="2"/>
        <v>Unique</v>
      </c>
      <c r="Z288" s="10"/>
      <c r="AA288" s="10" t="str">
        <f t="shared" si="3"/>
        <v>Clean</v>
      </c>
      <c r="AB288" s="15" t="str">
        <f t="shared" si="4"/>
        <v>Valid</v>
      </c>
      <c r="AC288" s="15">
        <v>3</v>
      </c>
      <c r="AD288" s="16" t="str">
        <f t="shared" si="5"/>
        <v>Valid</v>
      </c>
      <c r="AE288" s="16" t="str">
        <f t="shared" si="6"/>
        <v>Valid</v>
      </c>
      <c r="AF288" s="16" t="str">
        <f t="shared" ref="AF288:AG288" si="587">IF(ISNUMBER(B288),"Valid","Invalid")</f>
        <v>Valid</v>
      </c>
      <c r="AG288" s="16" t="str">
        <f t="shared" si="587"/>
        <v>Valid</v>
      </c>
      <c r="AH288" s="16" t="str">
        <f t="shared" ref="AH288:AI288" si="588">IF(OR(B288="",ISBLANK(B288)),"Missing","Valid")</f>
        <v>Valid</v>
      </c>
      <c r="AI288" s="16" t="str">
        <f t="shared" si="588"/>
        <v>Valid</v>
      </c>
      <c r="AJ288" s="16" t="b">
        <v>0</v>
      </c>
      <c r="AK288" s="16" t="b">
        <v>0</v>
      </c>
      <c r="AL288" s="16" t="b">
        <v>0</v>
      </c>
      <c r="AM288" s="16" t="b">
        <v>0</v>
      </c>
      <c r="AN288" s="16" t="b">
        <v>0</v>
      </c>
      <c r="AO288" s="16" t="b">
        <v>0</v>
      </c>
      <c r="AP288" s="16" t="b">
        <v>0</v>
      </c>
      <c r="AQ288" s="17">
        <f t="shared" si="9"/>
        <v>0.1</v>
      </c>
      <c r="AR288" s="12">
        <f t="shared" si="10"/>
        <v>4421.3399999999992</v>
      </c>
      <c r="AS288" s="18">
        <f t="shared" si="11"/>
        <v>0</v>
      </c>
      <c r="AT288" s="12">
        <f t="shared" si="12"/>
        <v>1931.3599999999992</v>
      </c>
      <c r="AU288" s="18">
        <f t="shared" si="13"/>
        <v>0</v>
      </c>
      <c r="AV288" s="19">
        <f t="shared" si="14"/>
        <v>0.43682684435035524</v>
      </c>
      <c r="AW288" s="20" t="str">
        <f t="shared" si="15"/>
        <v>February</v>
      </c>
      <c r="AX288" s="21">
        <f t="shared" si="16"/>
        <v>2024</v>
      </c>
    </row>
    <row r="289" spans="1:50" ht="15.75" customHeight="1">
      <c r="A289" s="10" t="s">
        <v>997</v>
      </c>
      <c r="B289" s="11">
        <v>45540</v>
      </c>
      <c r="C289" s="11">
        <v>45542</v>
      </c>
      <c r="D289" s="10" t="s">
        <v>998</v>
      </c>
      <c r="E289" s="10" t="s">
        <v>108</v>
      </c>
      <c r="F289" s="10" t="s">
        <v>66</v>
      </c>
      <c r="G289" s="10" t="s">
        <v>83</v>
      </c>
      <c r="H289" s="10" t="s">
        <v>277</v>
      </c>
      <c r="I289" s="10" t="s">
        <v>278</v>
      </c>
      <c r="J289" s="10" t="s">
        <v>103</v>
      </c>
      <c r="K289" s="10" t="s">
        <v>109</v>
      </c>
      <c r="L289" s="10" t="s">
        <v>999</v>
      </c>
      <c r="M289" s="10" t="s">
        <v>88</v>
      </c>
      <c r="N289" s="12">
        <v>3</v>
      </c>
      <c r="O289" s="12">
        <v>2555.66</v>
      </c>
      <c r="P289" s="12">
        <v>0.15</v>
      </c>
      <c r="Q289" s="12">
        <v>6516.93</v>
      </c>
      <c r="R289" s="12">
        <v>4511.54</v>
      </c>
      <c r="S289" s="12">
        <v>2005.39</v>
      </c>
      <c r="T289" s="10" t="s">
        <v>61</v>
      </c>
      <c r="U289" s="13" t="s">
        <v>97</v>
      </c>
      <c r="V289" s="14" t="e">
        <f t="shared" ca="1" si="0"/>
        <v>#NAME?</v>
      </c>
      <c r="W289" s="10" t="str">
        <f ca="1">IFERROR(__xludf.DUMMYFUNCTION("IF(COUNTIF($A:$A,A283)=1,
""Unique"",
IF(COUNTUNIQUE(FILTER($V$2:$V$934,$A$2:$A$934=A283))&gt;1,
""Conflicting Duplicate"",
""Exact Duplicate""))"),"Unique")</f>
        <v>Unique</v>
      </c>
      <c r="X289" s="10" t="b">
        <f t="shared" ca="1" si="1"/>
        <v>1</v>
      </c>
      <c r="Y289" s="10" t="str">
        <f t="shared" si="2"/>
        <v>Unique</v>
      </c>
      <c r="Z289" s="10"/>
      <c r="AA289" s="10" t="str">
        <f t="shared" si="3"/>
        <v>Clean</v>
      </c>
      <c r="AB289" s="15" t="str">
        <f t="shared" si="4"/>
        <v>Valid</v>
      </c>
      <c r="AC289" s="15">
        <v>2</v>
      </c>
      <c r="AD289" s="16" t="str">
        <f t="shared" si="5"/>
        <v>Valid</v>
      </c>
      <c r="AE289" s="16" t="str">
        <f t="shared" si="6"/>
        <v>Valid</v>
      </c>
      <c r="AF289" s="16" t="str">
        <f t="shared" ref="AF289:AG289" si="589">IF(ISNUMBER(B289),"Valid","Invalid")</f>
        <v>Valid</v>
      </c>
      <c r="AG289" s="16" t="str">
        <f t="shared" si="589"/>
        <v>Valid</v>
      </c>
      <c r="AH289" s="16" t="str">
        <f t="shared" ref="AH289:AI289" si="590">IF(OR(B289="",ISBLANK(B289)),"Missing","Valid")</f>
        <v>Valid</v>
      </c>
      <c r="AI289" s="16" t="str">
        <f t="shared" si="590"/>
        <v>Valid</v>
      </c>
      <c r="AJ289" s="16" t="b">
        <v>0</v>
      </c>
      <c r="AK289" s="16" t="b">
        <v>0</v>
      </c>
      <c r="AL289" s="16" t="b">
        <v>0</v>
      </c>
      <c r="AM289" s="16" t="b">
        <v>0</v>
      </c>
      <c r="AN289" s="16" t="b">
        <v>0</v>
      </c>
      <c r="AO289" s="16" t="b">
        <v>0</v>
      </c>
      <c r="AP289" s="16" t="b">
        <v>0</v>
      </c>
      <c r="AQ289" s="17">
        <f t="shared" si="9"/>
        <v>0.15</v>
      </c>
      <c r="AR289" s="12">
        <f t="shared" si="10"/>
        <v>6516.9329999999991</v>
      </c>
      <c r="AS289" s="18">
        <f t="shared" si="11"/>
        <v>-2.999999998792191E-3</v>
      </c>
      <c r="AT289" s="12">
        <f t="shared" si="12"/>
        <v>2005.3929999999991</v>
      </c>
      <c r="AU289" s="18">
        <f t="shared" si="13"/>
        <v>-2.9999999990195647E-3</v>
      </c>
      <c r="AV289" s="19">
        <f t="shared" si="14"/>
        <v>0.30772036477895343</v>
      </c>
      <c r="AW289" s="20" t="str">
        <f t="shared" si="15"/>
        <v>September</v>
      </c>
      <c r="AX289" s="21">
        <f t="shared" si="16"/>
        <v>2024</v>
      </c>
    </row>
    <row r="290" spans="1:50" ht="15.75" customHeight="1">
      <c r="A290" s="10" t="s">
        <v>1000</v>
      </c>
      <c r="B290" s="11">
        <v>45467</v>
      </c>
      <c r="C290" s="11">
        <v>45467</v>
      </c>
      <c r="D290" s="10" t="s">
        <v>1001</v>
      </c>
      <c r="E290" s="10" t="s">
        <v>170</v>
      </c>
      <c r="F290" s="10" t="s">
        <v>66</v>
      </c>
      <c r="G290" s="10" t="s">
        <v>67</v>
      </c>
      <c r="H290" s="10" t="s">
        <v>174</v>
      </c>
      <c r="I290" s="10" t="s">
        <v>175</v>
      </c>
      <c r="J290" s="10" t="s">
        <v>57</v>
      </c>
      <c r="K290" s="10" t="s">
        <v>182</v>
      </c>
      <c r="L290" s="10" t="s">
        <v>1002</v>
      </c>
      <c r="M290" s="10" t="s">
        <v>73</v>
      </c>
      <c r="N290" s="12">
        <v>2</v>
      </c>
      <c r="O290" s="12">
        <v>4359.8999999999996</v>
      </c>
      <c r="P290" s="12">
        <v>0.15</v>
      </c>
      <c r="Q290" s="12">
        <v>7411.83</v>
      </c>
      <c r="R290" s="12">
        <v>4904.63</v>
      </c>
      <c r="S290" s="12">
        <v>2507.1999999999998</v>
      </c>
      <c r="T290" s="10" t="s">
        <v>61</v>
      </c>
      <c r="U290" s="13" t="s">
        <v>62</v>
      </c>
      <c r="V290" s="14" t="e">
        <f t="shared" ca="1" si="0"/>
        <v>#NAME?</v>
      </c>
      <c r="W290" s="10" t="str">
        <f ca="1">IFERROR(__xludf.DUMMYFUNCTION("IF(COUNTIF($A:$A,A284)=1,
""Unique"",
IF(COUNTUNIQUE(FILTER($V$2:$V$934,$A$2:$A$934=A284))&gt;1,
""Conflicting Duplicate"",
""Exact Duplicate""))"),"Unique")</f>
        <v>Unique</v>
      </c>
      <c r="X290" s="10" t="b">
        <f t="shared" ca="1" si="1"/>
        <v>1</v>
      </c>
      <c r="Y290" s="10" t="str">
        <f t="shared" si="2"/>
        <v>Unique</v>
      </c>
      <c r="Z290" s="10"/>
      <c r="AA290" s="10" t="str">
        <f t="shared" si="3"/>
        <v>Clean</v>
      </c>
      <c r="AB290" s="15" t="str">
        <f t="shared" si="4"/>
        <v>Valid</v>
      </c>
      <c r="AC290" s="15">
        <v>0</v>
      </c>
      <c r="AD290" s="16" t="str">
        <f t="shared" si="5"/>
        <v>Valid</v>
      </c>
      <c r="AE290" s="16" t="str">
        <f t="shared" si="6"/>
        <v>Valid</v>
      </c>
      <c r="AF290" s="16" t="str">
        <f t="shared" ref="AF290:AG290" si="591">IF(ISNUMBER(B290),"Valid","Invalid")</f>
        <v>Valid</v>
      </c>
      <c r="AG290" s="16" t="str">
        <f t="shared" si="591"/>
        <v>Valid</v>
      </c>
      <c r="AH290" s="16" t="str">
        <f t="shared" ref="AH290:AI290" si="592">IF(OR(B290="",ISBLANK(B290)),"Missing","Valid")</f>
        <v>Valid</v>
      </c>
      <c r="AI290" s="16" t="str">
        <f t="shared" si="592"/>
        <v>Valid</v>
      </c>
      <c r="AJ290" s="16" t="b">
        <v>0</v>
      </c>
      <c r="AK290" s="16" t="b">
        <v>0</v>
      </c>
      <c r="AL290" s="16" t="b">
        <v>0</v>
      </c>
      <c r="AM290" s="16" t="b">
        <v>0</v>
      </c>
      <c r="AN290" s="16" t="b">
        <v>0</v>
      </c>
      <c r="AO290" s="16" t="b">
        <v>0</v>
      </c>
      <c r="AP290" s="16" t="b">
        <v>0</v>
      </c>
      <c r="AQ290" s="17">
        <f t="shared" si="9"/>
        <v>0.15</v>
      </c>
      <c r="AR290" s="12">
        <f t="shared" si="10"/>
        <v>7411.829999999999</v>
      </c>
      <c r="AS290" s="18">
        <f t="shared" si="11"/>
        <v>0</v>
      </c>
      <c r="AT290" s="12">
        <f t="shared" si="12"/>
        <v>2507.1999999999989</v>
      </c>
      <c r="AU290" s="18">
        <f t="shared" si="13"/>
        <v>0</v>
      </c>
      <c r="AV290" s="19">
        <f t="shared" si="14"/>
        <v>0.3382700358750807</v>
      </c>
      <c r="AW290" s="20" t="str">
        <f t="shared" si="15"/>
        <v>June</v>
      </c>
      <c r="AX290" s="21">
        <f t="shared" si="16"/>
        <v>2024</v>
      </c>
    </row>
    <row r="291" spans="1:50" ht="15.75" customHeight="1">
      <c r="A291" s="10" t="s">
        <v>1003</v>
      </c>
      <c r="B291" s="11">
        <v>45827</v>
      </c>
      <c r="C291" s="11">
        <v>45835</v>
      </c>
      <c r="D291" s="10" t="s">
        <v>1004</v>
      </c>
      <c r="E291" s="10" t="s">
        <v>52</v>
      </c>
      <c r="F291" s="10" t="s">
        <v>124</v>
      </c>
      <c r="G291" s="10" t="s">
        <v>83</v>
      </c>
      <c r="H291" s="10" t="s">
        <v>277</v>
      </c>
      <c r="I291" s="10" t="s">
        <v>278</v>
      </c>
      <c r="J291" s="10" t="s">
        <v>70</v>
      </c>
      <c r="K291" s="10" t="s">
        <v>187</v>
      </c>
      <c r="L291" s="10" t="s">
        <v>1005</v>
      </c>
      <c r="M291" s="10" t="s">
        <v>79</v>
      </c>
      <c r="N291" s="12">
        <v>2</v>
      </c>
      <c r="O291" s="12">
        <v>4346.6899999999996</v>
      </c>
      <c r="P291" s="12">
        <v>0.05</v>
      </c>
      <c r="Q291" s="12">
        <v>8258.7099999999991</v>
      </c>
      <c r="R291" s="12">
        <v>7018.97</v>
      </c>
      <c r="S291" s="12">
        <v>1239.74</v>
      </c>
      <c r="T291" s="10" t="s">
        <v>61</v>
      </c>
      <c r="U291" s="13" t="s">
        <v>62</v>
      </c>
      <c r="V291" s="14" t="e">
        <f t="shared" ca="1" si="0"/>
        <v>#NAME?</v>
      </c>
      <c r="W291" s="10" t="str">
        <f ca="1">IFERROR(__xludf.DUMMYFUNCTION("IF(COUNTIF($A:$A,A285)=1,
""Unique"",
IF(COUNTUNIQUE(FILTER($V$2:$V$934,$A$2:$A$934=A285))&gt;1,
""Conflicting Duplicate"",
""Exact Duplicate""))"),"Unique")</f>
        <v>Unique</v>
      </c>
      <c r="X291" s="10" t="b">
        <f t="shared" ca="1" si="1"/>
        <v>1</v>
      </c>
      <c r="Y291" s="10" t="str">
        <f t="shared" si="2"/>
        <v>Unique</v>
      </c>
      <c r="Z291" s="10"/>
      <c r="AA291" s="10" t="str">
        <f t="shared" si="3"/>
        <v>Clean</v>
      </c>
      <c r="AB291" s="15" t="str">
        <f t="shared" si="4"/>
        <v>Valid</v>
      </c>
      <c r="AC291" s="15">
        <v>8</v>
      </c>
      <c r="AD291" s="16" t="str">
        <f t="shared" si="5"/>
        <v>Valid</v>
      </c>
      <c r="AE291" s="16" t="str">
        <f t="shared" si="6"/>
        <v>Valid</v>
      </c>
      <c r="AF291" s="16" t="str">
        <f t="shared" ref="AF291:AG291" si="593">IF(ISNUMBER(B291),"Valid","Invalid")</f>
        <v>Valid</v>
      </c>
      <c r="AG291" s="16" t="str">
        <f t="shared" si="593"/>
        <v>Valid</v>
      </c>
      <c r="AH291" s="16" t="str">
        <f t="shared" ref="AH291:AI291" si="594">IF(OR(B291="",ISBLANK(B291)),"Missing","Valid")</f>
        <v>Valid</v>
      </c>
      <c r="AI291" s="16" t="str">
        <f t="shared" si="594"/>
        <v>Valid</v>
      </c>
      <c r="AJ291" s="16" t="b">
        <v>0</v>
      </c>
      <c r="AK291" s="16" t="b">
        <v>0</v>
      </c>
      <c r="AL291" s="16" t="b">
        <v>0</v>
      </c>
      <c r="AM291" s="16" t="b">
        <v>0</v>
      </c>
      <c r="AN291" s="16" t="b">
        <v>0</v>
      </c>
      <c r="AO291" s="16" t="b">
        <v>0</v>
      </c>
      <c r="AP291" s="16" t="b">
        <v>0</v>
      </c>
      <c r="AQ291" s="17">
        <f t="shared" si="9"/>
        <v>0.05</v>
      </c>
      <c r="AR291" s="12">
        <f t="shared" si="10"/>
        <v>8258.7109999999993</v>
      </c>
      <c r="AS291" s="18">
        <f t="shared" si="11"/>
        <v>-1.0000000002037268E-3</v>
      </c>
      <c r="AT291" s="12">
        <f t="shared" si="12"/>
        <v>1239.7409999999991</v>
      </c>
      <c r="AU291" s="18">
        <f t="shared" si="13"/>
        <v>-9.9999999906685844E-4</v>
      </c>
      <c r="AV291" s="19">
        <f t="shared" si="14"/>
        <v>0.15011313508851432</v>
      </c>
      <c r="AW291" s="20" t="str">
        <f t="shared" si="15"/>
        <v>June</v>
      </c>
      <c r="AX291" s="21">
        <f t="shared" si="16"/>
        <v>2025</v>
      </c>
    </row>
    <row r="292" spans="1:50" ht="15.75" customHeight="1">
      <c r="A292" s="10" t="s">
        <v>1006</v>
      </c>
      <c r="B292" s="11">
        <v>45891</v>
      </c>
      <c r="C292" s="11">
        <v>45895</v>
      </c>
      <c r="D292" s="10" t="s">
        <v>1007</v>
      </c>
      <c r="E292" s="10" t="s">
        <v>191</v>
      </c>
      <c r="F292" s="10" t="s">
        <v>124</v>
      </c>
      <c r="G292" s="10" t="s">
        <v>67</v>
      </c>
      <c r="H292" s="10" t="s">
        <v>258</v>
      </c>
      <c r="I292" s="10" t="s">
        <v>259</v>
      </c>
      <c r="J292" s="10" t="s">
        <v>70</v>
      </c>
      <c r="K292" s="10" t="s">
        <v>71</v>
      </c>
      <c r="L292" s="10" t="s">
        <v>1008</v>
      </c>
      <c r="M292" s="10" t="s">
        <v>88</v>
      </c>
      <c r="N292" s="12">
        <v>1</v>
      </c>
      <c r="O292" s="12">
        <v>1842.63</v>
      </c>
      <c r="P292" s="12">
        <v>0.1</v>
      </c>
      <c r="Q292" s="12">
        <v>1658.37</v>
      </c>
      <c r="R292" s="12">
        <v>971.12</v>
      </c>
      <c r="S292" s="12">
        <v>687.25</v>
      </c>
      <c r="T292" s="10" t="s">
        <v>61</v>
      </c>
      <c r="U292" s="13" t="s">
        <v>62</v>
      </c>
      <c r="V292" s="14" t="e">
        <f t="shared" ca="1" si="0"/>
        <v>#NAME?</v>
      </c>
      <c r="W292" s="10" t="str">
        <f ca="1">IFERROR(__xludf.DUMMYFUNCTION("IF(COUNTIF($A:$A,A286)=1,
""Unique"",
IF(COUNTUNIQUE(FILTER($V$2:$V$934,$A$2:$A$934=A286))&gt;1,
""Conflicting Duplicate"",
""Exact Duplicate""))"),"Unique")</f>
        <v>Unique</v>
      </c>
      <c r="X292" s="10" t="b">
        <f t="shared" ca="1" si="1"/>
        <v>1</v>
      </c>
      <c r="Y292" s="10" t="str">
        <f t="shared" si="2"/>
        <v>Unique</v>
      </c>
      <c r="Z292" s="10"/>
      <c r="AA292" s="10" t="str">
        <f t="shared" si="3"/>
        <v>Clean</v>
      </c>
      <c r="AB292" s="15" t="str">
        <f t="shared" si="4"/>
        <v>Valid</v>
      </c>
      <c r="AC292" s="15">
        <v>4</v>
      </c>
      <c r="AD292" s="16" t="str">
        <f t="shared" si="5"/>
        <v>Valid</v>
      </c>
      <c r="AE292" s="16" t="str">
        <f t="shared" si="6"/>
        <v>Valid</v>
      </c>
      <c r="AF292" s="16" t="str">
        <f t="shared" ref="AF292:AG292" si="595">IF(ISNUMBER(B292),"Valid","Invalid")</f>
        <v>Valid</v>
      </c>
      <c r="AG292" s="16" t="str">
        <f t="shared" si="595"/>
        <v>Valid</v>
      </c>
      <c r="AH292" s="16" t="str">
        <f t="shared" ref="AH292:AI292" si="596">IF(OR(B292="",ISBLANK(B292)),"Missing","Valid")</f>
        <v>Valid</v>
      </c>
      <c r="AI292" s="16" t="str">
        <f t="shared" si="596"/>
        <v>Valid</v>
      </c>
      <c r="AJ292" s="16" t="b">
        <v>0</v>
      </c>
      <c r="AK292" s="16" t="b">
        <v>0</v>
      </c>
      <c r="AL292" s="16" t="b">
        <v>0</v>
      </c>
      <c r="AM292" s="16" t="b">
        <v>0</v>
      </c>
      <c r="AN292" s="16" t="b">
        <v>0</v>
      </c>
      <c r="AO292" s="16" t="b">
        <v>0</v>
      </c>
      <c r="AP292" s="16" t="b">
        <v>0</v>
      </c>
      <c r="AQ292" s="17">
        <f t="shared" si="9"/>
        <v>0.1</v>
      </c>
      <c r="AR292" s="12">
        <f t="shared" si="10"/>
        <v>1658.3670000000002</v>
      </c>
      <c r="AS292" s="18">
        <f t="shared" si="11"/>
        <v>2.9999999997016857E-3</v>
      </c>
      <c r="AT292" s="12">
        <f t="shared" si="12"/>
        <v>687.24700000000018</v>
      </c>
      <c r="AU292" s="18">
        <f t="shared" si="13"/>
        <v>2.9999999998153726E-3</v>
      </c>
      <c r="AV292" s="19">
        <f t="shared" si="14"/>
        <v>0.41441188832146331</v>
      </c>
      <c r="AW292" s="20" t="str">
        <f t="shared" si="15"/>
        <v>August</v>
      </c>
      <c r="AX292" s="21">
        <f t="shared" si="16"/>
        <v>2025</v>
      </c>
    </row>
    <row r="293" spans="1:50" ht="15.75" customHeight="1">
      <c r="A293" s="10" t="s">
        <v>1009</v>
      </c>
      <c r="B293" s="11">
        <v>45387</v>
      </c>
      <c r="C293" s="11">
        <v>45392</v>
      </c>
      <c r="D293" s="10" t="s">
        <v>1010</v>
      </c>
      <c r="E293" s="10" t="s">
        <v>143</v>
      </c>
      <c r="F293" s="10" t="s">
        <v>124</v>
      </c>
      <c r="G293" s="10" t="s">
        <v>54</v>
      </c>
      <c r="H293" s="10" t="s">
        <v>55</v>
      </c>
      <c r="I293" s="10" t="s">
        <v>56</v>
      </c>
      <c r="J293" s="10" t="s">
        <v>57</v>
      </c>
      <c r="K293" s="10" t="s">
        <v>182</v>
      </c>
      <c r="L293" s="10" t="s">
        <v>1011</v>
      </c>
      <c r="M293" s="10" t="s">
        <v>88</v>
      </c>
      <c r="N293" s="12">
        <v>4</v>
      </c>
      <c r="O293" s="12">
        <v>3228.66</v>
      </c>
      <c r="P293" s="12">
        <v>0.25</v>
      </c>
      <c r="Q293" s="12">
        <v>9685.98</v>
      </c>
      <c r="R293" s="12">
        <v>7730.04</v>
      </c>
      <c r="S293" s="12">
        <v>1955.94</v>
      </c>
      <c r="T293" s="10" t="s">
        <v>61</v>
      </c>
      <c r="U293" s="13" t="s">
        <v>62</v>
      </c>
      <c r="V293" s="14" t="e">
        <f t="shared" ca="1" si="0"/>
        <v>#NAME?</v>
      </c>
      <c r="W293" s="10" t="str">
        <f ca="1">IFERROR(__xludf.DUMMYFUNCTION("IF(COUNTIF($A:$A,A287)=1,
""Unique"",
IF(COUNTUNIQUE(FILTER($V$2:$V$934,$A$2:$A$934=A287))&gt;1,
""Conflicting Duplicate"",
""Exact Duplicate""))"),"Unique")</f>
        <v>Unique</v>
      </c>
      <c r="X293" s="10" t="b">
        <f t="shared" ca="1" si="1"/>
        <v>1</v>
      </c>
      <c r="Y293" s="10" t="str">
        <f t="shared" si="2"/>
        <v>Unique</v>
      </c>
      <c r="Z293" s="10"/>
      <c r="AA293" s="10" t="str">
        <f t="shared" si="3"/>
        <v>Clean</v>
      </c>
      <c r="AB293" s="15" t="str">
        <f t="shared" si="4"/>
        <v>Valid</v>
      </c>
      <c r="AC293" s="15">
        <v>5</v>
      </c>
      <c r="AD293" s="16" t="str">
        <f t="shared" si="5"/>
        <v>Valid</v>
      </c>
      <c r="AE293" s="16" t="str">
        <f t="shared" si="6"/>
        <v>Valid</v>
      </c>
      <c r="AF293" s="16" t="str">
        <f t="shared" ref="AF293:AG293" si="597">IF(ISNUMBER(B293),"Valid","Invalid")</f>
        <v>Valid</v>
      </c>
      <c r="AG293" s="16" t="str">
        <f t="shared" si="597"/>
        <v>Valid</v>
      </c>
      <c r="AH293" s="16" t="str">
        <f t="shared" ref="AH293:AI293" si="598">IF(OR(B293="",ISBLANK(B293)),"Missing","Valid")</f>
        <v>Valid</v>
      </c>
      <c r="AI293" s="16" t="str">
        <f t="shared" si="598"/>
        <v>Valid</v>
      </c>
      <c r="AJ293" s="16" t="b">
        <v>0</v>
      </c>
      <c r="AK293" s="16" t="b">
        <v>0</v>
      </c>
      <c r="AL293" s="16" t="b">
        <v>0</v>
      </c>
      <c r="AM293" s="16" t="b">
        <v>0</v>
      </c>
      <c r="AN293" s="16" t="b">
        <v>0</v>
      </c>
      <c r="AO293" s="16" t="b">
        <v>0</v>
      </c>
      <c r="AP293" s="16" t="b">
        <v>0</v>
      </c>
      <c r="AQ293" s="17">
        <f t="shared" si="9"/>
        <v>0.25</v>
      </c>
      <c r="AR293" s="12">
        <f t="shared" si="10"/>
        <v>9685.98</v>
      </c>
      <c r="AS293" s="18">
        <f t="shared" si="11"/>
        <v>0</v>
      </c>
      <c r="AT293" s="12">
        <f t="shared" si="12"/>
        <v>1955.9399999999996</v>
      </c>
      <c r="AU293" s="18">
        <f t="shared" si="13"/>
        <v>0</v>
      </c>
      <c r="AV293" s="19">
        <f t="shared" si="14"/>
        <v>0.20193516815025425</v>
      </c>
      <c r="AW293" s="20" t="str">
        <f t="shared" si="15"/>
        <v>April</v>
      </c>
      <c r="AX293" s="21">
        <f t="shared" si="16"/>
        <v>2024</v>
      </c>
    </row>
    <row r="294" spans="1:50" ht="15.75" customHeight="1">
      <c r="A294" s="10" t="s">
        <v>1012</v>
      </c>
      <c r="B294" s="11">
        <v>45716</v>
      </c>
      <c r="C294" s="11">
        <v>45719</v>
      </c>
      <c r="D294" s="10" t="s">
        <v>1013</v>
      </c>
      <c r="E294" s="10" t="s">
        <v>294</v>
      </c>
      <c r="F294" s="10" t="s">
        <v>124</v>
      </c>
      <c r="G294" s="10" t="s">
        <v>54</v>
      </c>
      <c r="H294" s="10" t="s">
        <v>266</v>
      </c>
      <c r="I294" s="10" t="s">
        <v>267</v>
      </c>
      <c r="J294" s="10" t="s">
        <v>57</v>
      </c>
      <c r="K294" s="10" t="s">
        <v>77</v>
      </c>
      <c r="L294" s="10" t="s">
        <v>1014</v>
      </c>
      <c r="M294" s="10" t="s">
        <v>73</v>
      </c>
      <c r="N294" s="12">
        <v>9</v>
      </c>
      <c r="O294" s="12">
        <v>3748.95</v>
      </c>
      <c r="P294" s="12">
        <v>0</v>
      </c>
      <c r="Q294" s="12">
        <v>33740.550000000003</v>
      </c>
      <c r="R294" s="12">
        <v>24621.89</v>
      </c>
      <c r="S294" s="12">
        <v>9118.66</v>
      </c>
      <c r="T294" s="10" t="s">
        <v>140</v>
      </c>
      <c r="U294" s="13" t="s">
        <v>97</v>
      </c>
      <c r="V294" s="14" t="e">
        <f t="shared" ca="1" si="0"/>
        <v>#NAME?</v>
      </c>
      <c r="W294" s="10" t="str">
        <f ca="1">IFERROR(__xludf.DUMMYFUNCTION("IF(COUNTIF($A:$A,A288)=1,
""Unique"",
IF(COUNTUNIQUE(FILTER($V$2:$V$934,$A$2:$A$934=A288))&gt;1,
""Conflicting Duplicate"",
""Exact Duplicate""))"),"Unique")</f>
        <v>Unique</v>
      </c>
      <c r="X294" s="10" t="b">
        <f t="shared" ca="1" si="1"/>
        <v>1</v>
      </c>
      <c r="Y294" s="10" t="str">
        <f t="shared" si="2"/>
        <v>Unique</v>
      </c>
      <c r="Z294" s="10"/>
      <c r="AA294" s="10" t="str">
        <f t="shared" si="3"/>
        <v>Clean</v>
      </c>
      <c r="AB294" s="15" t="str">
        <f t="shared" si="4"/>
        <v>Valid</v>
      </c>
      <c r="AC294" s="15">
        <v>3</v>
      </c>
      <c r="AD294" s="16" t="str">
        <f t="shared" si="5"/>
        <v>Valid</v>
      </c>
      <c r="AE294" s="16" t="str">
        <f t="shared" si="6"/>
        <v>Valid</v>
      </c>
      <c r="AF294" s="16" t="str">
        <f t="shared" ref="AF294:AG294" si="599">IF(ISNUMBER(B294),"Valid","Invalid")</f>
        <v>Valid</v>
      </c>
      <c r="AG294" s="16" t="str">
        <f t="shared" si="599"/>
        <v>Valid</v>
      </c>
      <c r="AH294" s="16" t="str">
        <f t="shared" ref="AH294:AI294" si="600">IF(OR(B294="",ISBLANK(B294)),"Missing","Valid")</f>
        <v>Valid</v>
      </c>
      <c r="AI294" s="16" t="str">
        <f t="shared" si="600"/>
        <v>Valid</v>
      </c>
      <c r="AJ294" s="16" t="b">
        <v>0</v>
      </c>
      <c r="AK294" s="16" t="b">
        <v>0</v>
      </c>
      <c r="AL294" s="16" t="b">
        <v>0</v>
      </c>
      <c r="AM294" s="16" t="b">
        <v>0</v>
      </c>
      <c r="AN294" s="16" t="b">
        <v>0</v>
      </c>
      <c r="AO294" s="16" t="b">
        <v>0</v>
      </c>
      <c r="AP294" s="16" t="b">
        <v>0</v>
      </c>
      <c r="AQ294" s="17">
        <f t="shared" si="9"/>
        <v>0</v>
      </c>
      <c r="AR294" s="12">
        <f t="shared" si="10"/>
        <v>33740.549999999996</v>
      </c>
      <c r="AS294" s="18">
        <f t="shared" si="11"/>
        <v>0</v>
      </c>
      <c r="AT294" s="12">
        <f t="shared" si="12"/>
        <v>9118.6599999999962</v>
      </c>
      <c r="AU294" s="18">
        <f t="shared" si="13"/>
        <v>0</v>
      </c>
      <c r="AV294" s="19">
        <f t="shared" si="14"/>
        <v>0.2702581908119458</v>
      </c>
      <c r="AW294" s="20" t="str">
        <f t="shared" si="15"/>
        <v>February</v>
      </c>
      <c r="AX294" s="21">
        <f t="shared" si="16"/>
        <v>2025</v>
      </c>
    </row>
    <row r="295" spans="1:50" ht="15.75" customHeight="1">
      <c r="A295" s="10" t="s">
        <v>1015</v>
      </c>
      <c r="B295" s="11">
        <v>45358</v>
      </c>
      <c r="C295" s="11">
        <v>45362</v>
      </c>
      <c r="D295" s="10" t="s">
        <v>1016</v>
      </c>
      <c r="E295" s="10" t="s">
        <v>82</v>
      </c>
      <c r="F295" s="10" t="s">
        <v>124</v>
      </c>
      <c r="G295" s="10" t="s">
        <v>83</v>
      </c>
      <c r="H295" s="10" t="s">
        <v>84</v>
      </c>
      <c r="I295" s="10" t="s">
        <v>85</v>
      </c>
      <c r="J295" s="10" t="s">
        <v>103</v>
      </c>
      <c r="K295" s="10" t="s">
        <v>200</v>
      </c>
      <c r="L295" s="10" t="s">
        <v>1017</v>
      </c>
      <c r="M295" s="10" t="s">
        <v>79</v>
      </c>
      <c r="N295" s="12">
        <v>2</v>
      </c>
      <c r="O295" s="12">
        <v>4401.51</v>
      </c>
      <c r="P295" s="12">
        <v>0.65</v>
      </c>
      <c r="Q295" s="12">
        <v>8362.8700000000008</v>
      </c>
      <c r="R295" s="12">
        <v>6541.04</v>
      </c>
      <c r="S295" s="12">
        <v>1821.83</v>
      </c>
      <c r="T295" s="10" t="s">
        <v>61</v>
      </c>
      <c r="U295" s="13" t="s">
        <v>62</v>
      </c>
      <c r="V295" s="14" t="e">
        <f t="shared" ca="1" si="0"/>
        <v>#NAME?</v>
      </c>
      <c r="W295" s="10" t="str">
        <f ca="1">IFERROR(__xludf.DUMMYFUNCTION("IF(COUNTIF($A:$A,A289)=1,
""Unique"",
IF(COUNTUNIQUE(FILTER($V$2:$V$934,$A$2:$A$934=A289))&gt;1,
""Conflicting Duplicate"",
""Exact Duplicate""))"),"Unique")</f>
        <v>Unique</v>
      </c>
      <c r="X295" s="10" t="b">
        <f t="shared" ca="1" si="1"/>
        <v>1</v>
      </c>
      <c r="Y295" s="10" t="str">
        <f t="shared" si="2"/>
        <v>Unique</v>
      </c>
      <c r="Z295" s="10"/>
      <c r="AA295" s="10" t="str">
        <f t="shared" si="3"/>
        <v>Clean</v>
      </c>
      <c r="AB295" s="15" t="str">
        <f t="shared" si="4"/>
        <v>Valid</v>
      </c>
      <c r="AC295" s="15">
        <v>4</v>
      </c>
      <c r="AD295" s="16" t="str">
        <f t="shared" si="5"/>
        <v>Valid</v>
      </c>
      <c r="AE295" s="16" t="str">
        <f t="shared" si="6"/>
        <v>Valid</v>
      </c>
      <c r="AF295" s="16" t="str">
        <f t="shared" ref="AF295:AG295" si="601">IF(ISNUMBER(B295),"Valid","Invalid")</f>
        <v>Valid</v>
      </c>
      <c r="AG295" s="16" t="str">
        <f t="shared" si="601"/>
        <v>Valid</v>
      </c>
      <c r="AH295" s="16" t="str">
        <f t="shared" ref="AH295:AI295" si="602">IF(OR(B295="",ISBLANK(B295)),"Missing","Valid")</f>
        <v>Valid</v>
      </c>
      <c r="AI295" s="16" t="str">
        <f t="shared" si="602"/>
        <v>Valid</v>
      </c>
      <c r="AJ295" s="16" t="b">
        <v>0</v>
      </c>
      <c r="AK295" s="16" t="b">
        <v>0</v>
      </c>
      <c r="AL295" s="16" t="b">
        <v>0</v>
      </c>
      <c r="AM295" s="16" t="b">
        <v>0</v>
      </c>
      <c r="AN295" s="16" t="b">
        <v>0</v>
      </c>
      <c r="AO295" s="16" t="b">
        <v>0</v>
      </c>
      <c r="AP295" s="16" t="b">
        <v>0</v>
      </c>
      <c r="AQ295" s="17">
        <f t="shared" si="9"/>
        <v>0.65</v>
      </c>
      <c r="AR295" s="12">
        <f t="shared" si="10"/>
        <v>3081.0569999999998</v>
      </c>
      <c r="AS295" s="18">
        <f t="shared" si="11"/>
        <v>5281.813000000001</v>
      </c>
      <c r="AT295" s="12">
        <f t="shared" si="12"/>
        <v>-3459.9830000000002</v>
      </c>
      <c r="AU295" s="18">
        <f t="shared" si="13"/>
        <v>5281.8130000000001</v>
      </c>
      <c r="AV295" s="19">
        <f t="shared" si="14"/>
        <v>-1.1229857156164267</v>
      </c>
      <c r="AW295" s="20" t="str">
        <f t="shared" si="15"/>
        <v>March</v>
      </c>
      <c r="AX295" s="21">
        <f t="shared" si="16"/>
        <v>2024</v>
      </c>
    </row>
    <row r="296" spans="1:50" ht="15.75" customHeight="1">
      <c r="A296" s="10" t="s">
        <v>1018</v>
      </c>
      <c r="B296" s="11">
        <v>45854</v>
      </c>
      <c r="C296" s="11">
        <v>45860</v>
      </c>
      <c r="D296" s="10" t="s">
        <v>1019</v>
      </c>
      <c r="E296" s="10" t="s">
        <v>143</v>
      </c>
      <c r="F296" s="10" t="s">
        <v>53</v>
      </c>
      <c r="G296" s="10" t="s">
        <v>67</v>
      </c>
      <c r="H296" s="10" t="s">
        <v>68</v>
      </c>
      <c r="I296" s="10" t="s">
        <v>69</v>
      </c>
      <c r="J296" s="10" t="s">
        <v>103</v>
      </c>
      <c r="K296" s="10" t="s">
        <v>200</v>
      </c>
      <c r="L296" s="10" t="s">
        <v>1020</v>
      </c>
      <c r="M296" s="10" t="s">
        <v>60</v>
      </c>
      <c r="N296" s="12">
        <v>6</v>
      </c>
      <c r="O296" s="12">
        <v>4159.33</v>
      </c>
      <c r="P296" s="12">
        <v>0.25</v>
      </c>
      <c r="Q296" s="12">
        <v>18716.990000000002</v>
      </c>
      <c r="R296" s="12">
        <v>12282.43</v>
      </c>
      <c r="S296" s="12">
        <v>6434.56</v>
      </c>
      <c r="T296" s="10" t="s">
        <v>61</v>
      </c>
      <c r="U296" s="13" t="s">
        <v>132</v>
      </c>
      <c r="V296" s="14" t="e">
        <f t="shared" ca="1" si="0"/>
        <v>#NAME?</v>
      </c>
      <c r="W296" s="10" t="str">
        <f ca="1">IFERROR(__xludf.DUMMYFUNCTION("IF(COUNTIF($A:$A,A290)=1,
""Unique"",
IF(COUNTUNIQUE(FILTER($V$2:$V$934,$A$2:$A$934=A290))&gt;1,
""Conflicting Duplicate"",
""Exact Duplicate""))"),"Unique")</f>
        <v>Unique</v>
      </c>
      <c r="X296" s="10" t="b">
        <f t="shared" ca="1" si="1"/>
        <v>1</v>
      </c>
      <c r="Y296" s="10" t="str">
        <f t="shared" si="2"/>
        <v>Unique</v>
      </c>
      <c r="Z296" s="10"/>
      <c r="AA296" s="10" t="str">
        <f t="shared" si="3"/>
        <v>Clean</v>
      </c>
      <c r="AB296" s="15" t="str">
        <f t="shared" si="4"/>
        <v>Valid</v>
      </c>
      <c r="AC296" s="15">
        <v>6</v>
      </c>
      <c r="AD296" s="16" t="str">
        <f t="shared" si="5"/>
        <v>Valid</v>
      </c>
      <c r="AE296" s="16" t="str">
        <f t="shared" si="6"/>
        <v>Valid</v>
      </c>
      <c r="AF296" s="16" t="str">
        <f t="shared" ref="AF296:AG296" si="603">IF(ISNUMBER(B296),"Valid","Invalid")</f>
        <v>Valid</v>
      </c>
      <c r="AG296" s="16" t="str">
        <f t="shared" si="603"/>
        <v>Valid</v>
      </c>
      <c r="AH296" s="16" t="str">
        <f t="shared" ref="AH296:AI296" si="604">IF(OR(B296="",ISBLANK(B296)),"Missing","Valid")</f>
        <v>Valid</v>
      </c>
      <c r="AI296" s="16" t="str">
        <f t="shared" si="604"/>
        <v>Valid</v>
      </c>
      <c r="AJ296" s="16" t="b">
        <v>0</v>
      </c>
      <c r="AK296" s="16" t="b">
        <v>0</v>
      </c>
      <c r="AL296" s="16" t="b">
        <v>0</v>
      </c>
      <c r="AM296" s="16" t="b">
        <v>0</v>
      </c>
      <c r="AN296" s="16" t="b">
        <v>0</v>
      </c>
      <c r="AO296" s="16" t="b">
        <v>0</v>
      </c>
      <c r="AP296" s="16" t="b">
        <v>0</v>
      </c>
      <c r="AQ296" s="17">
        <f t="shared" si="9"/>
        <v>0.25</v>
      </c>
      <c r="AR296" s="12">
        <f t="shared" si="10"/>
        <v>18716.985000000001</v>
      </c>
      <c r="AS296" s="18">
        <f t="shared" si="11"/>
        <v>5.0000000010186341E-3</v>
      </c>
      <c r="AT296" s="12">
        <f t="shared" si="12"/>
        <v>6434.5550000000003</v>
      </c>
      <c r="AU296" s="18">
        <f t="shared" si="13"/>
        <v>5.0000000001091394E-3</v>
      </c>
      <c r="AV296" s="19">
        <f t="shared" si="14"/>
        <v>0.34378159730319813</v>
      </c>
      <c r="AW296" s="20" t="str">
        <f t="shared" si="15"/>
        <v>July</v>
      </c>
      <c r="AX296" s="21">
        <f t="shared" si="16"/>
        <v>2025</v>
      </c>
    </row>
    <row r="297" spans="1:50" ht="15.75" customHeight="1">
      <c r="A297" s="10" t="s">
        <v>1021</v>
      </c>
      <c r="B297" s="11">
        <v>45833</v>
      </c>
      <c r="C297" s="11">
        <v>45836</v>
      </c>
      <c r="D297" s="10" t="s">
        <v>1022</v>
      </c>
      <c r="E297" s="10" t="s">
        <v>118</v>
      </c>
      <c r="F297" s="10" t="s">
        <v>66</v>
      </c>
      <c r="G297" s="10" t="s">
        <v>67</v>
      </c>
      <c r="H297" s="10" t="s">
        <v>195</v>
      </c>
      <c r="I297" s="10" t="s">
        <v>196</v>
      </c>
      <c r="J297" s="10" t="s">
        <v>57</v>
      </c>
      <c r="K297" s="10" t="s">
        <v>182</v>
      </c>
      <c r="L297" s="10" t="s">
        <v>1023</v>
      </c>
      <c r="M297" s="10" t="s">
        <v>88</v>
      </c>
      <c r="N297" s="12">
        <v>3</v>
      </c>
      <c r="O297" s="12">
        <v>3476.05</v>
      </c>
      <c r="P297" s="12">
        <v>0.1</v>
      </c>
      <c r="Q297" s="12">
        <v>9385.34</v>
      </c>
      <c r="R297" s="12">
        <v>5828.54</v>
      </c>
      <c r="S297" s="12">
        <v>3556.8</v>
      </c>
      <c r="T297" s="10" t="s">
        <v>61</v>
      </c>
      <c r="U297" s="13" t="s">
        <v>62</v>
      </c>
      <c r="V297" s="14" t="e">
        <f t="shared" ca="1" si="0"/>
        <v>#NAME?</v>
      </c>
      <c r="W297" s="10" t="str">
        <f ca="1">IFERROR(__xludf.DUMMYFUNCTION("IF(COUNTIF($A:$A,A291)=1,
""Unique"",
IF(COUNTUNIQUE(FILTER($V$2:$V$934,$A$2:$A$934=A291))&gt;1,
""Conflicting Duplicate"",
""Exact Duplicate""))"),"Unique")</f>
        <v>Unique</v>
      </c>
      <c r="X297" s="10" t="b">
        <f t="shared" ca="1" si="1"/>
        <v>1</v>
      </c>
      <c r="Y297" s="10" t="str">
        <f t="shared" si="2"/>
        <v>Unique</v>
      </c>
      <c r="Z297" s="10"/>
      <c r="AA297" s="10" t="str">
        <f t="shared" si="3"/>
        <v>Clean</v>
      </c>
      <c r="AB297" s="15" t="str">
        <f t="shared" si="4"/>
        <v>Valid</v>
      </c>
      <c r="AC297" s="15">
        <v>3</v>
      </c>
      <c r="AD297" s="16" t="str">
        <f t="shared" si="5"/>
        <v>Valid</v>
      </c>
      <c r="AE297" s="16" t="str">
        <f t="shared" si="6"/>
        <v>Valid</v>
      </c>
      <c r="AF297" s="16" t="str">
        <f t="shared" ref="AF297:AG297" si="605">IF(ISNUMBER(B297),"Valid","Invalid")</f>
        <v>Valid</v>
      </c>
      <c r="AG297" s="16" t="str">
        <f t="shared" si="605"/>
        <v>Valid</v>
      </c>
      <c r="AH297" s="16" t="str">
        <f t="shared" ref="AH297:AI297" si="606">IF(OR(B297="",ISBLANK(B297)),"Missing","Valid")</f>
        <v>Valid</v>
      </c>
      <c r="AI297" s="16" t="str">
        <f t="shared" si="606"/>
        <v>Valid</v>
      </c>
      <c r="AJ297" s="16" t="b">
        <v>0</v>
      </c>
      <c r="AK297" s="16" t="b">
        <v>0</v>
      </c>
      <c r="AL297" s="16" t="b">
        <v>0</v>
      </c>
      <c r="AM297" s="16" t="b">
        <v>0</v>
      </c>
      <c r="AN297" s="16" t="b">
        <v>0</v>
      </c>
      <c r="AO297" s="16" t="b">
        <v>0</v>
      </c>
      <c r="AP297" s="16" t="b">
        <v>0</v>
      </c>
      <c r="AQ297" s="17">
        <f t="shared" si="9"/>
        <v>0.1</v>
      </c>
      <c r="AR297" s="12">
        <f t="shared" si="10"/>
        <v>9385.3350000000009</v>
      </c>
      <c r="AS297" s="18">
        <f t="shared" si="11"/>
        <v>4.9999999991996447E-3</v>
      </c>
      <c r="AT297" s="12">
        <f t="shared" si="12"/>
        <v>3556.795000000001</v>
      </c>
      <c r="AU297" s="18">
        <f t="shared" si="13"/>
        <v>4.9999999991996447E-3</v>
      </c>
      <c r="AV297" s="19">
        <f t="shared" si="14"/>
        <v>0.37897368607513748</v>
      </c>
      <c r="AW297" s="20" t="str">
        <f t="shared" si="15"/>
        <v>June</v>
      </c>
      <c r="AX297" s="21">
        <f t="shared" si="16"/>
        <v>2025</v>
      </c>
    </row>
    <row r="298" spans="1:50" ht="15.75" customHeight="1">
      <c r="A298" s="10" t="s">
        <v>1024</v>
      </c>
      <c r="B298" s="11">
        <v>45801</v>
      </c>
      <c r="C298" s="11">
        <v>45803</v>
      </c>
      <c r="D298" s="10" t="s">
        <v>1025</v>
      </c>
      <c r="E298" s="10" t="s">
        <v>118</v>
      </c>
      <c r="F298" s="10" t="s">
        <v>124</v>
      </c>
      <c r="G298" s="10" t="s">
        <v>54</v>
      </c>
      <c r="H298" s="10" t="s">
        <v>266</v>
      </c>
      <c r="I298" s="10" t="s">
        <v>267</v>
      </c>
      <c r="J298" s="10" t="s">
        <v>70</v>
      </c>
      <c r="K298" s="10" t="s">
        <v>86</v>
      </c>
      <c r="L298" s="10" t="s">
        <v>1026</v>
      </c>
      <c r="M298" s="10" t="s">
        <v>73</v>
      </c>
      <c r="N298" s="12">
        <v>6</v>
      </c>
      <c r="O298" s="12">
        <v>3495.41</v>
      </c>
      <c r="P298" s="12">
        <v>0.15</v>
      </c>
      <c r="Q298" s="12">
        <v>17826.59</v>
      </c>
      <c r="R298" s="12">
        <v>10855.35</v>
      </c>
      <c r="S298" s="12">
        <v>6971.24</v>
      </c>
      <c r="T298" s="10" t="s">
        <v>61</v>
      </c>
      <c r="U298" s="13" t="s">
        <v>62</v>
      </c>
      <c r="V298" s="14" t="e">
        <f t="shared" ca="1" si="0"/>
        <v>#NAME?</v>
      </c>
      <c r="W298" s="10" t="str">
        <f ca="1">IFERROR(__xludf.DUMMYFUNCTION("IF(COUNTIF($A:$A,A292)=1,
""Unique"",
IF(COUNTUNIQUE(FILTER($V$2:$V$934,$A$2:$A$934=A292))&gt;1,
""Conflicting Duplicate"",
""Exact Duplicate""))"),"Unique")</f>
        <v>Unique</v>
      </c>
      <c r="X298" s="10" t="b">
        <f t="shared" ca="1" si="1"/>
        <v>1</v>
      </c>
      <c r="Y298" s="10" t="str">
        <f t="shared" si="2"/>
        <v>Unique</v>
      </c>
      <c r="Z298" s="10"/>
      <c r="AA298" s="10" t="str">
        <f t="shared" si="3"/>
        <v>Clean</v>
      </c>
      <c r="AB298" s="15" t="str">
        <f t="shared" si="4"/>
        <v>Valid</v>
      </c>
      <c r="AC298" s="15">
        <v>2</v>
      </c>
      <c r="AD298" s="16" t="str">
        <f t="shared" si="5"/>
        <v>Valid</v>
      </c>
      <c r="AE298" s="16" t="str">
        <f t="shared" si="6"/>
        <v>Valid</v>
      </c>
      <c r="AF298" s="16" t="str">
        <f t="shared" ref="AF298:AG298" si="607">IF(ISNUMBER(B298),"Valid","Invalid")</f>
        <v>Valid</v>
      </c>
      <c r="AG298" s="16" t="str">
        <f t="shared" si="607"/>
        <v>Valid</v>
      </c>
      <c r="AH298" s="16" t="str">
        <f t="shared" ref="AH298:AI298" si="608">IF(OR(B298="",ISBLANK(B298)),"Missing","Valid")</f>
        <v>Valid</v>
      </c>
      <c r="AI298" s="16" t="str">
        <f t="shared" si="608"/>
        <v>Valid</v>
      </c>
      <c r="AJ298" s="16" t="b">
        <v>0</v>
      </c>
      <c r="AK298" s="16" t="b">
        <v>0</v>
      </c>
      <c r="AL298" s="16" t="b">
        <v>0</v>
      </c>
      <c r="AM298" s="16" t="b">
        <v>0</v>
      </c>
      <c r="AN298" s="16" t="b">
        <v>0</v>
      </c>
      <c r="AO298" s="16" t="b">
        <v>0</v>
      </c>
      <c r="AP298" s="16" t="b">
        <v>0</v>
      </c>
      <c r="AQ298" s="17">
        <f t="shared" si="9"/>
        <v>0.15</v>
      </c>
      <c r="AR298" s="12">
        <f t="shared" si="10"/>
        <v>17826.591</v>
      </c>
      <c r="AS298" s="18">
        <f t="shared" si="11"/>
        <v>-1.0000000002037268E-3</v>
      </c>
      <c r="AT298" s="12">
        <f t="shared" si="12"/>
        <v>6971.241</v>
      </c>
      <c r="AU298" s="18">
        <f t="shared" si="13"/>
        <v>-1.0000000002037268E-3</v>
      </c>
      <c r="AV298" s="19">
        <f t="shared" si="14"/>
        <v>0.39105855965394615</v>
      </c>
      <c r="AW298" s="20" t="str">
        <f t="shared" si="15"/>
        <v>May</v>
      </c>
      <c r="AX298" s="21">
        <f t="shared" si="16"/>
        <v>2025</v>
      </c>
    </row>
    <row r="299" spans="1:50" ht="15.75" customHeight="1">
      <c r="A299" s="10" t="s">
        <v>1027</v>
      </c>
      <c r="B299" s="11">
        <v>45594</v>
      </c>
      <c r="C299" s="11">
        <v>45602</v>
      </c>
      <c r="D299" s="10" t="s">
        <v>1028</v>
      </c>
      <c r="E299" s="10" t="s">
        <v>161</v>
      </c>
      <c r="F299" s="10" t="s">
        <v>119</v>
      </c>
      <c r="G299" s="10" t="s">
        <v>83</v>
      </c>
      <c r="H299" s="10" t="s">
        <v>277</v>
      </c>
      <c r="I299" s="10" t="s">
        <v>278</v>
      </c>
      <c r="J299" s="10" t="s">
        <v>103</v>
      </c>
      <c r="K299" s="10" t="s">
        <v>109</v>
      </c>
      <c r="L299" s="10" t="s">
        <v>1029</v>
      </c>
      <c r="M299" s="10" t="s">
        <v>73</v>
      </c>
      <c r="N299" s="12">
        <v>6</v>
      </c>
      <c r="O299" s="12">
        <v>1169.92</v>
      </c>
      <c r="P299" s="12">
        <v>0.15</v>
      </c>
      <c r="Q299" s="12">
        <v>5966.59</v>
      </c>
      <c r="R299" s="12">
        <v>3994.72</v>
      </c>
      <c r="S299" s="12">
        <v>1971.87</v>
      </c>
      <c r="T299" s="10" t="s">
        <v>61</v>
      </c>
      <c r="U299" s="13" t="s">
        <v>62</v>
      </c>
      <c r="V299" s="14" t="e">
        <f t="shared" ca="1" si="0"/>
        <v>#NAME?</v>
      </c>
      <c r="W299" s="10" t="str">
        <f ca="1">IFERROR(__xludf.DUMMYFUNCTION("IF(COUNTIF($A:$A,A293)=1,
""Unique"",
IF(COUNTUNIQUE(FILTER($V$2:$V$934,$A$2:$A$934=A293))&gt;1,
""Conflicting Duplicate"",
""Exact Duplicate""))"),"Unique")</f>
        <v>Unique</v>
      </c>
      <c r="X299" s="10" t="b">
        <f t="shared" ca="1" si="1"/>
        <v>1</v>
      </c>
      <c r="Y299" s="10" t="str">
        <f t="shared" si="2"/>
        <v>Unique</v>
      </c>
      <c r="Z299" s="10"/>
      <c r="AA299" s="10" t="str">
        <f t="shared" si="3"/>
        <v>Clean</v>
      </c>
      <c r="AB299" s="15" t="str">
        <f t="shared" si="4"/>
        <v>Valid</v>
      </c>
      <c r="AC299" s="15">
        <v>8</v>
      </c>
      <c r="AD299" s="16" t="str">
        <f t="shared" si="5"/>
        <v>Valid</v>
      </c>
      <c r="AE299" s="16" t="str">
        <f t="shared" si="6"/>
        <v>Valid</v>
      </c>
      <c r="AF299" s="16" t="str">
        <f t="shared" ref="AF299:AG299" si="609">IF(ISNUMBER(B299),"Valid","Invalid")</f>
        <v>Valid</v>
      </c>
      <c r="AG299" s="16" t="str">
        <f t="shared" si="609"/>
        <v>Valid</v>
      </c>
      <c r="AH299" s="16" t="str">
        <f t="shared" ref="AH299:AI299" si="610">IF(OR(B299="",ISBLANK(B299)),"Missing","Valid")</f>
        <v>Valid</v>
      </c>
      <c r="AI299" s="16" t="str">
        <f t="shared" si="610"/>
        <v>Valid</v>
      </c>
      <c r="AJ299" s="16" t="b">
        <v>0</v>
      </c>
      <c r="AK299" s="16" t="b">
        <v>0</v>
      </c>
      <c r="AL299" s="16" t="b">
        <v>0</v>
      </c>
      <c r="AM299" s="16" t="b">
        <v>0</v>
      </c>
      <c r="AN299" s="16" t="b">
        <v>0</v>
      </c>
      <c r="AO299" s="16" t="b">
        <v>0</v>
      </c>
      <c r="AP299" s="16" t="b">
        <v>0</v>
      </c>
      <c r="AQ299" s="17">
        <f t="shared" si="9"/>
        <v>0.15</v>
      </c>
      <c r="AR299" s="12">
        <f t="shared" si="10"/>
        <v>5966.5920000000006</v>
      </c>
      <c r="AS299" s="18">
        <f t="shared" si="11"/>
        <v>-2.0000000004074536E-3</v>
      </c>
      <c r="AT299" s="12">
        <f t="shared" si="12"/>
        <v>1971.8720000000008</v>
      </c>
      <c r="AU299" s="18">
        <f t="shared" si="13"/>
        <v>-2.000000000862201E-3</v>
      </c>
      <c r="AV299" s="19">
        <f t="shared" si="14"/>
        <v>0.33048547646629778</v>
      </c>
      <c r="AW299" s="20" t="str">
        <f t="shared" si="15"/>
        <v>October</v>
      </c>
      <c r="AX299" s="21">
        <f t="shared" si="16"/>
        <v>2024</v>
      </c>
    </row>
    <row r="300" spans="1:50" ht="15.75" customHeight="1">
      <c r="A300" s="10" t="s">
        <v>1030</v>
      </c>
      <c r="B300" s="11">
        <v>45680</v>
      </c>
      <c r="C300" s="11">
        <v>45683</v>
      </c>
      <c r="D300" s="10" t="s">
        <v>1031</v>
      </c>
      <c r="E300" s="10" t="s">
        <v>76</v>
      </c>
      <c r="F300" s="10" t="s">
        <v>53</v>
      </c>
      <c r="G300" s="10" t="s">
        <v>83</v>
      </c>
      <c r="H300" s="10" t="s">
        <v>214</v>
      </c>
      <c r="I300" s="10" t="s">
        <v>215</v>
      </c>
      <c r="J300" s="10" t="s">
        <v>103</v>
      </c>
      <c r="K300" s="10" t="s">
        <v>109</v>
      </c>
      <c r="L300" s="10" t="s">
        <v>1032</v>
      </c>
      <c r="M300" s="10" t="s">
        <v>79</v>
      </c>
      <c r="N300" s="12">
        <v>7</v>
      </c>
      <c r="O300" s="12">
        <v>348.49</v>
      </c>
      <c r="P300" s="12">
        <v>0.2</v>
      </c>
      <c r="Q300" s="12">
        <v>1951.54</v>
      </c>
      <c r="R300" s="12">
        <v>1609.95</v>
      </c>
      <c r="S300" s="12">
        <v>341.59</v>
      </c>
      <c r="T300" s="10" t="s">
        <v>184</v>
      </c>
      <c r="U300" s="13" t="s">
        <v>132</v>
      </c>
      <c r="V300" s="14" t="e">
        <f t="shared" ca="1" si="0"/>
        <v>#NAME?</v>
      </c>
      <c r="W300" s="10" t="str">
        <f ca="1">IFERROR(__xludf.DUMMYFUNCTION("IF(COUNTIF($A:$A,A294)=1,
""Unique"",
IF(COUNTUNIQUE(FILTER($V$2:$V$934,$A$2:$A$934=A294))&gt;1,
""Conflicting Duplicate"",
""Exact Duplicate""))"),"Unique")</f>
        <v>Unique</v>
      </c>
      <c r="X300" s="10" t="b">
        <f t="shared" ca="1" si="1"/>
        <v>1</v>
      </c>
      <c r="Y300" s="10" t="str">
        <f t="shared" si="2"/>
        <v>Unique</v>
      </c>
      <c r="Z300" s="10"/>
      <c r="AA300" s="10" t="str">
        <f t="shared" si="3"/>
        <v>Clean</v>
      </c>
      <c r="AB300" s="15" t="str">
        <f t="shared" si="4"/>
        <v>Valid</v>
      </c>
      <c r="AC300" s="15">
        <v>3</v>
      </c>
      <c r="AD300" s="16" t="str">
        <f t="shared" si="5"/>
        <v>Valid</v>
      </c>
      <c r="AE300" s="16" t="str">
        <f t="shared" si="6"/>
        <v>Valid</v>
      </c>
      <c r="AF300" s="16" t="str">
        <f t="shared" ref="AF300:AG300" si="611">IF(ISNUMBER(B300),"Valid","Invalid")</f>
        <v>Valid</v>
      </c>
      <c r="AG300" s="16" t="str">
        <f t="shared" si="611"/>
        <v>Valid</v>
      </c>
      <c r="AH300" s="16" t="str">
        <f t="shared" ref="AH300:AI300" si="612">IF(OR(B300="",ISBLANK(B300)),"Missing","Valid")</f>
        <v>Valid</v>
      </c>
      <c r="AI300" s="16" t="str">
        <f t="shared" si="612"/>
        <v>Valid</v>
      </c>
      <c r="AJ300" s="16" t="b">
        <v>0</v>
      </c>
      <c r="AK300" s="16" t="b">
        <v>0</v>
      </c>
      <c r="AL300" s="16" t="b">
        <v>0</v>
      </c>
      <c r="AM300" s="16" t="b">
        <v>0</v>
      </c>
      <c r="AN300" s="16" t="b">
        <v>0</v>
      </c>
      <c r="AO300" s="16" t="b">
        <v>0</v>
      </c>
      <c r="AP300" s="16" t="b">
        <v>0</v>
      </c>
      <c r="AQ300" s="17">
        <f t="shared" si="9"/>
        <v>0.2</v>
      </c>
      <c r="AR300" s="12">
        <f t="shared" si="10"/>
        <v>1951.5440000000003</v>
      </c>
      <c r="AS300" s="18">
        <f t="shared" si="11"/>
        <v>-4.0000000003601599E-3</v>
      </c>
      <c r="AT300" s="12">
        <f t="shared" si="12"/>
        <v>341.59400000000028</v>
      </c>
      <c r="AU300" s="18">
        <f t="shared" si="13"/>
        <v>-4.0000000003033165E-3</v>
      </c>
      <c r="AV300" s="19">
        <f t="shared" si="14"/>
        <v>0.17503781621116421</v>
      </c>
      <c r="AW300" s="20" t="str">
        <f t="shared" si="15"/>
        <v>January</v>
      </c>
      <c r="AX300" s="21">
        <f t="shared" si="16"/>
        <v>2025</v>
      </c>
    </row>
    <row r="301" spans="1:50" ht="15.75" customHeight="1">
      <c r="A301" s="10" t="s">
        <v>1033</v>
      </c>
      <c r="B301" s="11">
        <v>45602</v>
      </c>
      <c r="C301" s="11">
        <v>45608</v>
      </c>
      <c r="D301" s="10" t="s">
        <v>1034</v>
      </c>
      <c r="E301" s="10" t="s">
        <v>147</v>
      </c>
      <c r="F301" s="10" t="s">
        <v>66</v>
      </c>
      <c r="G301" s="10" t="s">
        <v>92</v>
      </c>
      <c r="H301" s="10" t="s">
        <v>209</v>
      </c>
      <c r="I301" s="10" t="s">
        <v>210</v>
      </c>
      <c r="J301" s="10" t="s">
        <v>103</v>
      </c>
      <c r="K301" s="10" t="s">
        <v>104</v>
      </c>
      <c r="L301" s="10" t="s">
        <v>1035</v>
      </c>
      <c r="M301" s="10" t="s">
        <v>88</v>
      </c>
      <c r="N301" s="12">
        <v>7</v>
      </c>
      <c r="O301" s="12">
        <v>1719.05</v>
      </c>
      <c r="P301" s="12">
        <v>0.1</v>
      </c>
      <c r="Q301" s="12">
        <v>10830.02</v>
      </c>
      <c r="R301" s="12">
        <v>7055.31</v>
      </c>
      <c r="S301" s="12">
        <v>3774.71</v>
      </c>
      <c r="T301" s="10" t="s">
        <v>61</v>
      </c>
      <c r="U301" s="13" t="s">
        <v>62</v>
      </c>
      <c r="V301" s="14" t="e">
        <f t="shared" ca="1" si="0"/>
        <v>#NAME?</v>
      </c>
      <c r="W301" s="10" t="str">
        <f ca="1">IFERROR(__xludf.DUMMYFUNCTION("IF(COUNTIF($A:$A,A295)=1,
""Unique"",
IF(COUNTUNIQUE(FILTER($V$2:$V$934,$A$2:$A$934=A295))&gt;1,
""Conflicting Duplicate"",
""Exact Duplicate""))"),"Unique")</f>
        <v>Unique</v>
      </c>
      <c r="X301" s="10" t="b">
        <f t="shared" ca="1" si="1"/>
        <v>1</v>
      </c>
      <c r="Y301" s="10" t="str">
        <f t="shared" si="2"/>
        <v>Unique</v>
      </c>
      <c r="Z301" s="10"/>
      <c r="AA301" s="10" t="str">
        <f t="shared" si="3"/>
        <v>Clean</v>
      </c>
      <c r="AB301" s="15" t="str">
        <f t="shared" si="4"/>
        <v>Valid</v>
      </c>
      <c r="AC301" s="15">
        <v>6</v>
      </c>
      <c r="AD301" s="16" t="str">
        <f t="shared" si="5"/>
        <v>Valid</v>
      </c>
      <c r="AE301" s="16" t="str">
        <f t="shared" si="6"/>
        <v>Valid</v>
      </c>
      <c r="AF301" s="16" t="str">
        <f t="shared" ref="AF301:AG301" si="613">IF(ISNUMBER(B301),"Valid","Invalid")</f>
        <v>Valid</v>
      </c>
      <c r="AG301" s="16" t="str">
        <f t="shared" si="613"/>
        <v>Valid</v>
      </c>
      <c r="AH301" s="16" t="str">
        <f t="shared" ref="AH301:AI301" si="614">IF(OR(B301="",ISBLANK(B301)),"Missing","Valid")</f>
        <v>Valid</v>
      </c>
      <c r="AI301" s="16" t="str">
        <f t="shared" si="614"/>
        <v>Valid</v>
      </c>
      <c r="AJ301" s="16" t="b">
        <v>0</v>
      </c>
      <c r="AK301" s="16" t="b">
        <v>0</v>
      </c>
      <c r="AL301" s="16" t="b">
        <v>0</v>
      </c>
      <c r="AM301" s="16" t="b">
        <v>0</v>
      </c>
      <c r="AN301" s="16" t="b">
        <v>0</v>
      </c>
      <c r="AO301" s="16" t="b">
        <v>0</v>
      </c>
      <c r="AP301" s="16" t="b">
        <v>0</v>
      </c>
      <c r="AQ301" s="17">
        <f t="shared" si="9"/>
        <v>0.1</v>
      </c>
      <c r="AR301" s="12">
        <f t="shared" si="10"/>
        <v>10830.015000000001</v>
      </c>
      <c r="AS301" s="18">
        <f t="shared" si="11"/>
        <v>4.9999999991996447E-3</v>
      </c>
      <c r="AT301" s="12">
        <f t="shared" si="12"/>
        <v>3774.7050000000008</v>
      </c>
      <c r="AU301" s="18">
        <f t="shared" si="13"/>
        <v>4.9999999991996447E-3</v>
      </c>
      <c r="AV301" s="19">
        <f t="shared" si="14"/>
        <v>0.34854106850267524</v>
      </c>
      <c r="AW301" s="20" t="str">
        <f t="shared" si="15"/>
        <v>November</v>
      </c>
      <c r="AX301" s="21">
        <f t="shared" si="16"/>
        <v>2024</v>
      </c>
    </row>
    <row r="302" spans="1:50" ht="15.75" customHeight="1">
      <c r="A302" s="10" t="s">
        <v>1036</v>
      </c>
      <c r="B302" s="11">
        <v>45397</v>
      </c>
      <c r="C302" s="11">
        <v>45405</v>
      </c>
      <c r="D302" s="10" t="s">
        <v>1037</v>
      </c>
      <c r="E302" s="10" t="s">
        <v>191</v>
      </c>
      <c r="F302" s="10" t="s">
        <v>66</v>
      </c>
      <c r="G302" s="10" t="s">
        <v>54</v>
      </c>
      <c r="H302" s="10" t="s">
        <v>151</v>
      </c>
      <c r="I302" s="10" t="s">
        <v>152</v>
      </c>
      <c r="J302" s="10" t="s">
        <v>103</v>
      </c>
      <c r="K302" s="10" t="s">
        <v>104</v>
      </c>
      <c r="L302" s="10" t="s">
        <v>1038</v>
      </c>
      <c r="M302" s="10" t="s">
        <v>60</v>
      </c>
      <c r="N302" s="12">
        <v>9</v>
      </c>
      <c r="O302" s="12">
        <v>3893.74</v>
      </c>
      <c r="P302" s="12">
        <v>0.1</v>
      </c>
      <c r="Q302" s="12">
        <v>31539.29</v>
      </c>
      <c r="R302" s="12">
        <v>22100.14</v>
      </c>
      <c r="S302" s="12">
        <v>9439.15</v>
      </c>
      <c r="T302" s="10" t="s">
        <v>61</v>
      </c>
      <c r="U302" s="13" t="s">
        <v>62</v>
      </c>
      <c r="V302" s="14" t="e">
        <f t="shared" ca="1" si="0"/>
        <v>#NAME?</v>
      </c>
      <c r="W302" s="10" t="str">
        <f ca="1">IFERROR(__xludf.DUMMYFUNCTION("IF(COUNTIF($A:$A,A296)=1,
""Unique"",
IF(COUNTUNIQUE(FILTER($V$2:$V$934,$A$2:$A$934=A296))&gt;1,
""Conflicting Duplicate"",
""Exact Duplicate""))"),"Unique")</f>
        <v>Unique</v>
      </c>
      <c r="X302" s="10" t="b">
        <f t="shared" ca="1" si="1"/>
        <v>1</v>
      </c>
      <c r="Y302" s="10" t="str">
        <f t="shared" si="2"/>
        <v>Unique</v>
      </c>
      <c r="Z302" s="10"/>
      <c r="AA302" s="10" t="str">
        <f t="shared" si="3"/>
        <v>Clean</v>
      </c>
      <c r="AB302" s="15" t="str">
        <f t="shared" si="4"/>
        <v>Valid</v>
      </c>
      <c r="AC302" s="15">
        <v>8</v>
      </c>
      <c r="AD302" s="16" t="str">
        <f t="shared" si="5"/>
        <v>Valid</v>
      </c>
      <c r="AE302" s="16" t="str">
        <f t="shared" si="6"/>
        <v>Valid</v>
      </c>
      <c r="AF302" s="16" t="str">
        <f t="shared" ref="AF302:AG302" si="615">IF(ISNUMBER(B302),"Valid","Invalid")</f>
        <v>Valid</v>
      </c>
      <c r="AG302" s="16" t="str">
        <f t="shared" si="615"/>
        <v>Valid</v>
      </c>
      <c r="AH302" s="16" t="str">
        <f t="shared" ref="AH302:AI302" si="616">IF(OR(B302="",ISBLANK(B302)),"Missing","Valid")</f>
        <v>Valid</v>
      </c>
      <c r="AI302" s="16" t="str">
        <f t="shared" si="616"/>
        <v>Valid</v>
      </c>
      <c r="AJ302" s="16" t="b">
        <v>0</v>
      </c>
      <c r="AK302" s="16" t="b">
        <v>0</v>
      </c>
      <c r="AL302" s="16" t="b">
        <v>0</v>
      </c>
      <c r="AM302" s="16" t="b">
        <v>0</v>
      </c>
      <c r="AN302" s="16" t="b">
        <v>0</v>
      </c>
      <c r="AO302" s="16" t="b">
        <v>0</v>
      </c>
      <c r="AP302" s="16" t="b">
        <v>0</v>
      </c>
      <c r="AQ302" s="17">
        <f t="shared" si="9"/>
        <v>0.1</v>
      </c>
      <c r="AR302" s="12">
        <f t="shared" si="10"/>
        <v>31539.293999999998</v>
      </c>
      <c r="AS302" s="18">
        <f t="shared" si="11"/>
        <v>-3.9999999971769284E-3</v>
      </c>
      <c r="AT302" s="12">
        <f t="shared" si="12"/>
        <v>9439.1539999999986</v>
      </c>
      <c r="AU302" s="18">
        <f t="shared" si="13"/>
        <v>-3.9999999989959178E-3</v>
      </c>
      <c r="AV302" s="19">
        <f t="shared" si="14"/>
        <v>0.29928234918638313</v>
      </c>
      <c r="AW302" s="20" t="str">
        <f t="shared" si="15"/>
        <v>April</v>
      </c>
      <c r="AX302" s="21">
        <f t="shared" si="16"/>
        <v>2024</v>
      </c>
    </row>
    <row r="303" spans="1:50" ht="15.75" customHeight="1">
      <c r="A303" s="10" t="s">
        <v>1039</v>
      </c>
      <c r="B303" s="11">
        <v>45805</v>
      </c>
      <c r="C303" s="11">
        <v>45809</v>
      </c>
      <c r="D303" s="10" t="s">
        <v>1040</v>
      </c>
      <c r="E303" s="10" t="s">
        <v>76</v>
      </c>
      <c r="F303" s="10" t="s">
        <v>124</v>
      </c>
      <c r="G303" s="10" t="s">
        <v>67</v>
      </c>
      <c r="H303" s="10" t="s">
        <v>174</v>
      </c>
      <c r="I303" s="10" t="s">
        <v>175</v>
      </c>
      <c r="J303" s="10" t="s">
        <v>103</v>
      </c>
      <c r="K303" s="10" t="s">
        <v>200</v>
      </c>
      <c r="L303" s="10" t="s">
        <v>1041</v>
      </c>
      <c r="M303" s="10" t="s">
        <v>73</v>
      </c>
      <c r="N303" s="12">
        <v>4</v>
      </c>
      <c r="O303" s="12">
        <v>1654.11</v>
      </c>
      <c r="P303" s="12">
        <v>0.05</v>
      </c>
      <c r="Q303" s="12">
        <v>6285.62</v>
      </c>
      <c r="R303" s="12">
        <v>3705.38</v>
      </c>
      <c r="S303" s="12">
        <v>2580.2399999999998</v>
      </c>
      <c r="T303" s="10" t="s">
        <v>61</v>
      </c>
      <c r="U303" s="13" t="s">
        <v>62</v>
      </c>
      <c r="V303" s="14" t="e">
        <f t="shared" ca="1" si="0"/>
        <v>#NAME?</v>
      </c>
      <c r="W303" s="10" t="str">
        <f ca="1">IFERROR(__xludf.DUMMYFUNCTION("IF(COUNTIF($A:$A,A297)=1,
""Unique"",
IF(COUNTUNIQUE(FILTER($V$2:$V$934,$A$2:$A$934=A297))&gt;1,
""Conflicting Duplicate"",
""Exact Duplicate""))"),"Unique")</f>
        <v>Unique</v>
      </c>
      <c r="X303" s="10" t="b">
        <f t="shared" ca="1" si="1"/>
        <v>1</v>
      </c>
      <c r="Y303" s="10" t="str">
        <f t="shared" si="2"/>
        <v>Unique</v>
      </c>
      <c r="Z303" s="10"/>
      <c r="AA303" s="10" t="str">
        <f t="shared" si="3"/>
        <v>Clean</v>
      </c>
      <c r="AB303" s="15" t="str">
        <f t="shared" si="4"/>
        <v>Valid</v>
      </c>
      <c r="AC303" s="15">
        <v>4</v>
      </c>
      <c r="AD303" s="16" t="str">
        <f t="shared" si="5"/>
        <v>Valid</v>
      </c>
      <c r="AE303" s="16" t="str">
        <f t="shared" si="6"/>
        <v>Valid</v>
      </c>
      <c r="AF303" s="16" t="str">
        <f t="shared" ref="AF303:AG303" si="617">IF(ISNUMBER(B303),"Valid","Invalid")</f>
        <v>Valid</v>
      </c>
      <c r="AG303" s="16" t="str">
        <f t="shared" si="617"/>
        <v>Valid</v>
      </c>
      <c r="AH303" s="16" t="str">
        <f t="shared" ref="AH303:AI303" si="618">IF(OR(B303="",ISBLANK(B303)),"Missing","Valid")</f>
        <v>Valid</v>
      </c>
      <c r="AI303" s="16" t="str">
        <f t="shared" si="618"/>
        <v>Valid</v>
      </c>
      <c r="AJ303" s="16" t="b">
        <v>0</v>
      </c>
      <c r="AK303" s="16" t="b">
        <v>0</v>
      </c>
      <c r="AL303" s="16" t="b">
        <v>0</v>
      </c>
      <c r="AM303" s="16" t="b">
        <v>0</v>
      </c>
      <c r="AN303" s="16" t="b">
        <v>0</v>
      </c>
      <c r="AO303" s="16" t="b">
        <v>0</v>
      </c>
      <c r="AP303" s="16" t="b">
        <v>0</v>
      </c>
      <c r="AQ303" s="17">
        <f t="shared" si="9"/>
        <v>0.05</v>
      </c>
      <c r="AR303" s="12">
        <f t="shared" si="10"/>
        <v>6285.6179999999995</v>
      </c>
      <c r="AS303" s="18">
        <f t="shared" si="11"/>
        <v>2.0000000004074536E-3</v>
      </c>
      <c r="AT303" s="12">
        <f t="shared" si="12"/>
        <v>2580.2379999999994</v>
      </c>
      <c r="AU303" s="18">
        <f t="shared" si="13"/>
        <v>2.0000000004074536E-3</v>
      </c>
      <c r="AV303" s="19">
        <f t="shared" si="14"/>
        <v>0.41049869718458865</v>
      </c>
      <c r="AW303" s="20" t="str">
        <f t="shared" si="15"/>
        <v>May</v>
      </c>
      <c r="AX303" s="21">
        <f t="shared" si="16"/>
        <v>2025</v>
      </c>
    </row>
    <row r="304" spans="1:50" ht="15.75" customHeight="1">
      <c r="A304" s="10" t="s">
        <v>1042</v>
      </c>
      <c r="B304" s="11">
        <v>45812</v>
      </c>
      <c r="C304" s="11">
        <v>45820</v>
      </c>
      <c r="D304" s="10" t="s">
        <v>1043</v>
      </c>
      <c r="E304" s="10" t="s">
        <v>108</v>
      </c>
      <c r="F304" s="10" t="s">
        <v>53</v>
      </c>
      <c r="G304" s="10" t="s">
        <v>92</v>
      </c>
      <c r="H304" s="10" t="s">
        <v>219</v>
      </c>
      <c r="I304" s="10" t="s">
        <v>220</v>
      </c>
      <c r="J304" s="10" t="s">
        <v>57</v>
      </c>
      <c r="K304" s="10" t="s">
        <v>153</v>
      </c>
      <c r="L304" s="10" t="s">
        <v>1044</v>
      </c>
      <c r="M304" s="10" t="s">
        <v>73</v>
      </c>
      <c r="N304" s="12">
        <v>2</v>
      </c>
      <c r="O304" s="12">
        <v>2703.28</v>
      </c>
      <c r="P304" s="12">
        <v>0.25</v>
      </c>
      <c r="Q304" s="12">
        <v>4054.92</v>
      </c>
      <c r="R304" s="12">
        <v>2424.83</v>
      </c>
      <c r="S304" s="12">
        <v>1630.09</v>
      </c>
      <c r="T304" s="10" t="s">
        <v>61</v>
      </c>
      <c r="U304" s="13" t="s">
        <v>62</v>
      </c>
      <c r="V304" s="14" t="e">
        <f t="shared" ca="1" si="0"/>
        <v>#NAME?</v>
      </c>
      <c r="W304" s="10" t="str">
        <f ca="1">IFERROR(__xludf.DUMMYFUNCTION("IF(COUNTIF($A:$A,A298)=1,
""Unique"",
IF(COUNTUNIQUE(FILTER($V$2:$V$934,$A$2:$A$934=A298))&gt;1,
""Conflicting Duplicate"",
""Exact Duplicate""))"),"Unique")</f>
        <v>Unique</v>
      </c>
      <c r="X304" s="10" t="b">
        <f t="shared" ca="1" si="1"/>
        <v>1</v>
      </c>
      <c r="Y304" s="10" t="str">
        <f t="shared" si="2"/>
        <v>Unique</v>
      </c>
      <c r="Z304" s="10"/>
      <c r="AA304" s="10" t="str">
        <f t="shared" si="3"/>
        <v>Clean</v>
      </c>
      <c r="AB304" s="15" t="str">
        <f t="shared" si="4"/>
        <v>Valid</v>
      </c>
      <c r="AC304" s="15">
        <v>8</v>
      </c>
      <c r="AD304" s="16" t="str">
        <f t="shared" si="5"/>
        <v>Valid</v>
      </c>
      <c r="AE304" s="16" t="str">
        <f t="shared" si="6"/>
        <v>Valid</v>
      </c>
      <c r="AF304" s="16" t="str">
        <f t="shared" ref="AF304:AG304" si="619">IF(ISNUMBER(B304),"Valid","Invalid")</f>
        <v>Valid</v>
      </c>
      <c r="AG304" s="16" t="str">
        <f t="shared" si="619"/>
        <v>Valid</v>
      </c>
      <c r="AH304" s="16" t="str">
        <f t="shared" ref="AH304:AI304" si="620">IF(OR(B304="",ISBLANK(B304)),"Missing","Valid")</f>
        <v>Valid</v>
      </c>
      <c r="AI304" s="16" t="str">
        <f t="shared" si="620"/>
        <v>Valid</v>
      </c>
      <c r="AJ304" s="16" t="b">
        <v>0</v>
      </c>
      <c r="AK304" s="16" t="b">
        <v>0</v>
      </c>
      <c r="AL304" s="16" t="b">
        <v>0</v>
      </c>
      <c r="AM304" s="16" t="b">
        <v>0</v>
      </c>
      <c r="AN304" s="16" t="b">
        <v>0</v>
      </c>
      <c r="AO304" s="16" t="b">
        <v>0</v>
      </c>
      <c r="AP304" s="16" t="b">
        <v>0</v>
      </c>
      <c r="AQ304" s="17">
        <f t="shared" si="9"/>
        <v>0.25</v>
      </c>
      <c r="AR304" s="12">
        <f t="shared" si="10"/>
        <v>4054.92</v>
      </c>
      <c r="AS304" s="18">
        <f t="shared" si="11"/>
        <v>0</v>
      </c>
      <c r="AT304" s="12">
        <f t="shared" si="12"/>
        <v>1630.0900000000001</v>
      </c>
      <c r="AU304" s="18">
        <f t="shared" si="13"/>
        <v>0</v>
      </c>
      <c r="AV304" s="19">
        <f t="shared" si="14"/>
        <v>0.40200299882611745</v>
      </c>
      <c r="AW304" s="20" t="str">
        <f t="shared" si="15"/>
        <v>June</v>
      </c>
      <c r="AX304" s="21">
        <f t="shared" si="16"/>
        <v>2025</v>
      </c>
    </row>
    <row r="305" spans="1:50" ht="15.75" customHeight="1">
      <c r="A305" s="10" t="s">
        <v>1045</v>
      </c>
      <c r="B305" s="11">
        <v>45466</v>
      </c>
      <c r="C305" s="11">
        <v>45471</v>
      </c>
      <c r="D305" s="10" t="s">
        <v>1046</v>
      </c>
      <c r="E305" s="10" t="s">
        <v>191</v>
      </c>
      <c r="F305" s="10" t="s">
        <v>124</v>
      </c>
      <c r="G305" s="10" t="s">
        <v>92</v>
      </c>
      <c r="H305" s="10" t="s">
        <v>209</v>
      </c>
      <c r="I305" s="10" t="s">
        <v>210</v>
      </c>
      <c r="J305" s="10" t="s">
        <v>70</v>
      </c>
      <c r="K305" s="10" t="s">
        <v>95</v>
      </c>
      <c r="L305" s="10" t="s">
        <v>1047</v>
      </c>
      <c r="M305" s="10" t="s">
        <v>88</v>
      </c>
      <c r="N305" s="12">
        <v>2</v>
      </c>
      <c r="O305" s="12">
        <v>1313.14</v>
      </c>
      <c r="P305" s="12">
        <v>0.1</v>
      </c>
      <c r="Q305" s="12">
        <v>2363.65</v>
      </c>
      <c r="R305" s="12">
        <v>1876.1</v>
      </c>
      <c r="S305" s="12">
        <v>487.55</v>
      </c>
      <c r="T305" s="10" t="s">
        <v>140</v>
      </c>
      <c r="U305" s="13" t="s">
        <v>132</v>
      </c>
      <c r="V305" s="14" t="e">
        <f t="shared" ca="1" si="0"/>
        <v>#NAME?</v>
      </c>
      <c r="W305" s="10" t="str">
        <f ca="1">IFERROR(__xludf.DUMMYFUNCTION("IF(COUNTIF($A:$A,A299)=1,
""Unique"",
IF(COUNTUNIQUE(FILTER($V$2:$V$934,$A$2:$A$934=A299))&gt;1,
""Conflicting Duplicate"",
""Exact Duplicate""))"),"Unique")</f>
        <v>Unique</v>
      </c>
      <c r="X305" s="10" t="b">
        <f t="shared" ca="1" si="1"/>
        <v>1</v>
      </c>
      <c r="Y305" s="10" t="str">
        <f t="shared" si="2"/>
        <v>Unique</v>
      </c>
      <c r="Z305" s="10"/>
      <c r="AA305" s="10" t="str">
        <f t="shared" si="3"/>
        <v>Clean</v>
      </c>
      <c r="AB305" s="15" t="str">
        <f t="shared" si="4"/>
        <v>Valid</v>
      </c>
      <c r="AC305" s="15">
        <v>5</v>
      </c>
      <c r="AD305" s="16" t="str">
        <f t="shared" si="5"/>
        <v>Valid</v>
      </c>
      <c r="AE305" s="16" t="str">
        <f t="shared" si="6"/>
        <v>Valid</v>
      </c>
      <c r="AF305" s="16" t="str">
        <f t="shared" ref="AF305:AG305" si="621">IF(ISNUMBER(B305),"Valid","Invalid")</f>
        <v>Valid</v>
      </c>
      <c r="AG305" s="16" t="str">
        <f t="shared" si="621"/>
        <v>Valid</v>
      </c>
      <c r="AH305" s="16" t="str">
        <f t="shared" ref="AH305:AI305" si="622">IF(OR(B305="",ISBLANK(B305)),"Missing","Valid")</f>
        <v>Valid</v>
      </c>
      <c r="AI305" s="16" t="str">
        <f t="shared" si="622"/>
        <v>Valid</v>
      </c>
      <c r="AJ305" s="16" t="b">
        <v>0</v>
      </c>
      <c r="AK305" s="16" t="b">
        <v>0</v>
      </c>
      <c r="AL305" s="16" t="b">
        <v>0</v>
      </c>
      <c r="AM305" s="16" t="b">
        <v>0</v>
      </c>
      <c r="AN305" s="16" t="b">
        <v>0</v>
      </c>
      <c r="AO305" s="16" t="b">
        <v>0</v>
      </c>
      <c r="AP305" s="16" t="b">
        <v>0</v>
      </c>
      <c r="AQ305" s="17">
        <f t="shared" si="9"/>
        <v>0.1</v>
      </c>
      <c r="AR305" s="12">
        <f t="shared" si="10"/>
        <v>2363.652</v>
      </c>
      <c r="AS305" s="18">
        <f t="shared" si="11"/>
        <v>-1.9999999999527063E-3</v>
      </c>
      <c r="AT305" s="12">
        <f t="shared" si="12"/>
        <v>487.55200000000013</v>
      </c>
      <c r="AU305" s="18">
        <f t="shared" si="13"/>
        <v>-2.0000000001232365E-3</v>
      </c>
      <c r="AV305" s="19">
        <f t="shared" si="14"/>
        <v>0.20627063544041174</v>
      </c>
      <c r="AW305" s="20" t="str">
        <f t="shared" si="15"/>
        <v>June</v>
      </c>
      <c r="AX305" s="21">
        <f t="shared" si="16"/>
        <v>2024</v>
      </c>
    </row>
    <row r="306" spans="1:50" ht="15.75" customHeight="1">
      <c r="A306" s="10" t="s">
        <v>1048</v>
      </c>
      <c r="B306" s="11">
        <v>45357</v>
      </c>
      <c r="C306" s="11">
        <v>45364</v>
      </c>
      <c r="D306" s="10" t="s">
        <v>1049</v>
      </c>
      <c r="E306" s="10" t="s">
        <v>52</v>
      </c>
      <c r="F306" s="10" t="s">
        <v>53</v>
      </c>
      <c r="G306" s="10" t="s">
        <v>54</v>
      </c>
      <c r="H306" s="10" t="s">
        <v>151</v>
      </c>
      <c r="I306" s="10" t="s">
        <v>152</v>
      </c>
      <c r="J306" s="10" t="s">
        <v>70</v>
      </c>
      <c r="K306" s="10" t="s">
        <v>86</v>
      </c>
      <c r="L306" s="10" t="s">
        <v>1050</v>
      </c>
      <c r="M306" s="10" t="s">
        <v>88</v>
      </c>
      <c r="N306" s="12">
        <v>6</v>
      </c>
      <c r="O306" s="12">
        <v>2403.0500000000002</v>
      </c>
      <c r="P306" s="12">
        <v>0.1</v>
      </c>
      <c r="Q306" s="12">
        <v>12976.47</v>
      </c>
      <c r="R306" s="12">
        <v>10019.98</v>
      </c>
      <c r="S306" s="12">
        <v>2956.49</v>
      </c>
      <c r="T306" s="10" t="s">
        <v>61</v>
      </c>
      <c r="U306" s="13" t="s">
        <v>62</v>
      </c>
      <c r="V306" s="14" t="e">
        <f t="shared" ca="1" si="0"/>
        <v>#NAME?</v>
      </c>
      <c r="W306" s="10" t="str">
        <f ca="1">IFERROR(__xludf.DUMMYFUNCTION("IF(COUNTIF($A:$A,A300)=1,
""Unique"",
IF(COUNTUNIQUE(FILTER($V$2:$V$934,$A$2:$A$934=A300))&gt;1,
""Conflicting Duplicate"",
""Exact Duplicate""))"),"Unique")</f>
        <v>Unique</v>
      </c>
      <c r="X306" s="10" t="b">
        <f t="shared" ca="1" si="1"/>
        <v>1</v>
      </c>
      <c r="Y306" s="10" t="str">
        <f t="shared" si="2"/>
        <v>Unique</v>
      </c>
      <c r="Z306" s="10"/>
      <c r="AA306" s="10" t="str">
        <f t="shared" si="3"/>
        <v>Clean</v>
      </c>
      <c r="AB306" s="15" t="str">
        <f t="shared" si="4"/>
        <v>Valid</v>
      </c>
      <c r="AC306" s="15">
        <v>7</v>
      </c>
      <c r="AD306" s="16" t="str">
        <f t="shared" si="5"/>
        <v>Valid</v>
      </c>
      <c r="AE306" s="16" t="str">
        <f t="shared" si="6"/>
        <v>Valid</v>
      </c>
      <c r="AF306" s="16" t="str">
        <f t="shared" ref="AF306:AG306" si="623">IF(ISNUMBER(B306),"Valid","Invalid")</f>
        <v>Valid</v>
      </c>
      <c r="AG306" s="16" t="str">
        <f t="shared" si="623"/>
        <v>Valid</v>
      </c>
      <c r="AH306" s="16" t="str">
        <f t="shared" ref="AH306:AI306" si="624">IF(OR(B306="",ISBLANK(B306)),"Missing","Valid")</f>
        <v>Valid</v>
      </c>
      <c r="AI306" s="16" t="str">
        <f t="shared" si="624"/>
        <v>Valid</v>
      </c>
      <c r="AJ306" s="16" t="b">
        <v>0</v>
      </c>
      <c r="AK306" s="16" t="b">
        <v>0</v>
      </c>
      <c r="AL306" s="16" t="b">
        <v>0</v>
      </c>
      <c r="AM306" s="16" t="b">
        <v>0</v>
      </c>
      <c r="AN306" s="16" t="b">
        <v>0</v>
      </c>
      <c r="AO306" s="16" t="b">
        <v>0</v>
      </c>
      <c r="AP306" s="16" t="b">
        <v>0</v>
      </c>
      <c r="AQ306" s="17">
        <f t="shared" si="9"/>
        <v>0.1</v>
      </c>
      <c r="AR306" s="12">
        <f t="shared" si="10"/>
        <v>12976.470000000001</v>
      </c>
      <c r="AS306" s="18">
        <f t="shared" si="11"/>
        <v>0</v>
      </c>
      <c r="AT306" s="12">
        <f t="shared" si="12"/>
        <v>2956.4900000000016</v>
      </c>
      <c r="AU306" s="18">
        <f t="shared" si="13"/>
        <v>0</v>
      </c>
      <c r="AV306" s="19">
        <f t="shared" si="14"/>
        <v>0.22783468847845378</v>
      </c>
      <c r="AW306" s="20" t="str">
        <f t="shared" si="15"/>
        <v>March</v>
      </c>
      <c r="AX306" s="21">
        <f t="shared" si="16"/>
        <v>2024</v>
      </c>
    </row>
    <row r="307" spans="1:50" ht="15.75" customHeight="1">
      <c r="A307" s="10" t="s">
        <v>1051</v>
      </c>
      <c r="B307" s="11">
        <v>45413</v>
      </c>
      <c r="C307" s="11">
        <v>45414</v>
      </c>
      <c r="D307" s="10" t="s">
        <v>1052</v>
      </c>
      <c r="E307" s="10" t="s">
        <v>91</v>
      </c>
      <c r="F307" s="10" t="s">
        <v>53</v>
      </c>
      <c r="G307" s="10" t="s">
        <v>67</v>
      </c>
      <c r="H307" s="10" t="s">
        <v>195</v>
      </c>
      <c r="I307" s="10" t="s">
        <v>196</v>
      </c>
      <c r="J307" s="10" t="s">
        <v>70</v>
      </c>
      <c r="K307" s="10" t="s">
        <v>95</v>
      </c>
      <c r="L307" s="10" t="s">
        <v>1053</v>
      </c>
      <c r="M307" s="10" t="s">
        <v>79</v>
      </c>
      <c r="N307" s="12">
        <v>4</v>
      </c>
      <c r="O307" s="12">
        <v>4156.0600000000004</v>
      </c>
      <c r="P307" s="12">
        <v>0.55000000000000004</v>
      </c>
      <c r="Q307" s="12">
        <v>13299.39</v>
      </c>
      <c r="R307" s="12">
        <v>9851.91</v>
      </c>
      <c r="S307" s="12">
        <v>3447.48</v>
      </c>
      <c r="T307" s="10" t="s">
        <v>61</v>
      </c>
      <c r="U307" s="13" t="s">
        <v>97</v>
      </c>
      <c r="V307" s="14" t="e">
        <f t="shared" ca="1" si="0"/>
        <v>#NAME?</v>
      </c>
      <c r="W307" s="10" t="str">
        <f ca="1">IFERROR(__xludf.DUMMYFUNCTION("IF(COUNTIF($A:$A,A301)=1,
""Unique"",
IF(COUNTUNIQUE(FILTER($V$2:$V$934,$A$2:$A$934=A301))&gt;1,
""Conflicting Duplicate"",
""Exact Duplicate""))"),"Unique")</f>
        <v>Unique</v>
      </c>
      <c r="X307" s="10" t="b">
        <f t="shared" ca="1" si="1"/>
        <v>1</v>
      </c>
      <c r="Y307" s="10" t="str">
        <f t="shared" si="2"/>
        <v>Unique</v>
      </c>
      <c r="Z307" s="10"/>
      <c r="AA307" s="10" t="str">
        <f t="shared" si="3"/>
        <v>Clean</v>
      </c>
      <c r="AB307" s="15" t="str">
        <f t="shared" si="4"/>
        <v>Valid</v>
      </c>
      <c r="AC307" s="15">
        <v>1</v>
      </c>
      <c r="AD307" s="16" t="str">
        <f t="shared" si="5"/>
        <v>Valid</v>
      </c>
      <c r="AE307" s="16" t="str">
        <f t="shared" si="6"/>
        <v>Valid</v>
      </c>
      <c r="AF307" s="16" t="str">
        <f t="shared" ref="AF307:AG307" si="625">IF(ISNUMBER(B307),"Valid","Invalid")</f>
        <v>Valid</v>
      </c>
      <c r="AG307" s="16" t="str">
        <f t="shared" si="625"/>
        <v>Valid</v>
      </c>
      <c r="AH307" s="16" t="str">
        <f t="shared" ref="AH307:AI307" si="626">IF(OR(B307="",ISBLANK(B307)),"Missing","Valid")</f>
        <v>Valid</v>
      </c>
      <c r="AI307" s="16" t="str">
        <f t="shared" si="626"/>
        <v>Valid</v>
      </c>
      <c r="AJ307" s="16" t="b">
        <v>0</v>
      </c>
      <c r="AK307" s="16" t="b">
        <v>0</v>
      </c>
      <c r="AL307" s="16" t="b">
        <v>0</v>
      </c>
      <c r="AM307" s="16" t="b">
        <v>0</v>
      </c>
      <c r="AN307" s="16" t="b">
        <v>0</v>
      </c>
      <c r="AO307" s="16" t="b">
        <v>0</v>
      </c>
      <c r="AP307" s="16" t="b">
        <v>0</v>
      </c>
      <c r="AQ307" s="17">
        <f t="shared" si="9"/>
        <v>0.55000000000000004</v>
      </c>
      <c r="AR307" s="12">
        <f t="shared" si="10"/>
        <v>7480.9080000000004</v>
      </c>
      <c r="AS307" s="18">
        <f t="shared" si="11"/>
        <v>5818.4819999999991</v>
      </c>
      <c r="AT307" s="12">
        <f t="shared" si="12"/>
        <v>-2371.0019999999995</v>
      </c>
      <c r="AU307" s="18">
        <f t="shared" si="13"/>
        <v>5818.482</v>
      </c>
      <c r="AV307" s="19">
        <f t="shared" si="14"/>
        <v>-0.31694040349112695</v>
      </c>
      <c r="AW307" s="20" t="str">
        <f t="shared" si="15"/>
        <v>May</v>
      </c>
      <c r="AX307" s="21">
        <f t="shared" si="16"/>
        <v>2024</v>
      </c>
    </row>
    <row r="308" spans="1:50" ht="15.75" customHeight="1">
      <c r="A308" s="10" t="s">
        <v>1054</v>
      </c>
      <c r="B308" s="11">
        <v>45708</v>
      </c>
      <c r="C308" s="11">
        <v>45711</v>
      </c>
      <c r="D308" s="10" t="s">
        <v>1055</v>
      </c>
      <c r="E308" s="10" t="s">
        <v>157</v>
      </c>
      <c r="F308" s="10" t="s">
        <v>53</v>
      </c>
      <c r="G308" s="10" t="s">
        <v>54</v>
      </c>
      <c r="H308" s="10" t="s">
        <v>55</v>
      </c>
      <c r="I308" s="10" t="s">
        <v>56</v>
      </c>
      <c r="J308" s="10" t="s">
        <v>103</v>
      </c>
      <c r="K308" s="10" t="s">
        <v>200</v>
      </c>
      <c r="L308" s="10" t="s">
        <v>1056</v>
      </c>
      <c r="M308" s="10" t="s">
        <v>60</v>
      </c>
      <c r="N308" s="12">
        <v>4</v>
      </c>
      <c r="O308" s="12">
        <v>3673.11</v>
      </c>
      <c r="P308" s="12">
        <v>0</v>
      </c>
      <c r="Q308" s="12">
        <v>14692.44</v>
      </c>
      <c r="R308" s="12">
        <v>10082.19</v>
      </c>
      <c r="S308" s="12">
        <v>4610.25</v>
      </c>
      <c r="T308" s="10" t="s">
        <v>61</v>
      </c>
      <c r="U308" s="13" t="s">
        <v>62</v>
      </c>
      <c r="V308" s="14" t="e">
        <f t="shared" ca="1" si="0"/>
        <v>#NAME?</v>
      </c>
      <c r="W308" s="10" t="str">
        <f ca="1">IFERROR(__xludf.DUMMYFUNCTION("IF(COUNTIF($A:$A,A302)=1,
""Unique"",
IF(COUNTUNIQUE(FILTER($V$2:$V$934,$A$2:$A$934=A302))&gt;1,
""Conflicting Duplicate"",
""Exact Duplicate""))"),"Unique")</f>
        <v>Unique</v>
      </c>
      <c r="X308" s="10" t="b">
        <f t="shared" ca="1" si="1"/>
        <v>1</v>
      </c>
      <c r="Y308" s="10" t="str">
        <f t="shared" si="2"/>
        <v>Unique</v>
      </c>
      <c r="Z308" s="10"/>
      <c r="AA308" s="10" t="str">
        <f t="shared" si="3"/>
        <v>Clean</v>
      </c>
      <c r="AB308" s="15" t="str">
        <f t="shared" si="4"/>
        <v>Valid</v>
      </c>
      <c r="AC308" s="15">
        <v>3</v>
      </c>
      <c r="AD308" s="16" t="str">
        <f t="shared" si="5"/>
        <v>Valid</v>
      </c>
      <c r="AE308" s="16" t="str">
        <f t="shared" si="6"/>
        <v>Valid</v>
      </c>
      <c r="AF308" s="16" t="str">
        <f t="shared" ref="AF308:AG308" si="627">IF(ISNUMBER(B308),"Valid","Invalid")</f>
        <v>Valid</v>
      </c>
      <c r="AG308" s="16" t="str">
        <f t="shared" si="627"/>
        <v>Valid</v>
      </c>
      <c r="AH308" s="16" t="str">
        <f t="shared" ref="AH308:AI308" si="628">IF(OR(B308="",ISBLANK(B308)),"Missing","Valid")</f>
        <v>Valid</v>
      </c>
      <c r="AI308" s="16" t="str">
        <f t="shared" si="628"/>
        <v>Valid</v>
      </c>
      <c r="AJ308" s="16" t="b">
        <v>0</v>
      </c>
      <c r="AK308" s="16" t="b">
        <v>0</v>
      </c>
      <c r="AL308" s="16" t="b">
        <v>0</v>
      </c>
      <c r="AM308" s="16" t="b">
        <v>0</v>
      </c>
      <c r="AN308" s="16" t="b">
        <v>0</v>
      </c>
      <c r="AO308" s="16" t="b">
        <v>0</v>
      </c>
      <c r="AP308" s="16" t="b">
        <v>0</v>
      </c>
      <c r="AQ308" s="17">
        <f t="shared" si="9"/>
        <v>0</v>
      </c>
      <c r="AR308" s="12">
        <f t="shared" si="10"/>
        <v>14692.44</v>
      </c>
      <c r="AS308" s="18">
        <f t="shared" si="11"/>
        <v>0</v>
      </c>
      <c r="AT308" s="12">
        <f t="shared" si="12"/>
        <v>4610.25</v>
      </c>
      <c r="AU308" s="18">
        <f t="shared" si="13"/>
        <v>0</v>
      </c>
      <c r="AV308" s="19">
        <f t="shared" si="14"/>
        <v>0.31378382351740075</v>
      </c>
      <c r="AW308" s="20" t="str">
        <f t="shared" si="15"/>
        <v>February</v>
      </c>
      <c r="AX308" s="21">
        <f t="shared" si="16"/>
        <v>2025</v>
      </c>
    </row>
    <row r="309" spans="1:50" ht="15.75" customHeight="1">
      <c r="A309" s="10" t="s">
        <v>1057</v>
      </c>
      <c r="B309" s="11">
        <v>45850</v>
      </c>
      <c r="C309" s="11">
        <v>45857</v>
      </c>
      <c r="D309" s="10" t="s">
        <v>1058</v>
      </c>
      <c r="E309" s="10" t="s">
        <v>91</v>
      </c>
      <c r="F309" s="10" t="s">
        <v>119</v>
      </c>
      <c r="G309" s="10" t="s">
        <v>54</v>
      </c>
      <c r="H309" s="10" t="s">
        <v>165</v>
      </c>
      <c r="I309" s="10" t="s">
        <v>166</v>
      </c>
      <c r="J309" s="10" t="s">
        <v>70</v>
      </c>
      <c r="K309" s="10" t="s">
        <v>71</v>
      </c>
      <c r="L309" s="10" t="s">
        <v>1059</v>
      </c>
      <c r="M309" s="10" t="s">
        <v>79</v>
      </c>
      <c r="N309" s="12">
        <v>9</v>
      </c>
      <c r="O309" s="12">
        <v>4093.04</v>
      </c>
      <c r="P309" s="12">
        <v>0.2</v>
      </c>
      <c r="Q309" s="12">
        <v>29469.89</v>
      </c>
      <c r="R309" s="12">
        <v>18935.509999999998</v>
      </c>
      <c r="S309" s="12">
        <v>10534.38</v>
      </c>
      <c r="T309" s="10" t="s">
        <v>140</v>
      </c>
      <c r="U309" s="13" t="s">
        <v>97</v>
      </c>
      <c r="V309" s="14" t="e">
        <f t="shared" ca="1" si="0"/>
        <v>#NAME?</v>
      </c>
      <c r="W309" s="10" t="str">
        <f ca="1">IFERROR(__xludf.DUMMYFUNCTION("IF(COUNTIF($A:$A,A303)=1,
""Unique"",
IF(COUNTUNIQUE(FILTER($V$2:$V$934,$A$2:$A$934=A303))&gt;1,
""Conflicting Duplicate"",
""Exact Duplicate""))"),"Unique")</f>
        <v>Unique</v>
      </c>
      <c r="X309" s="10" t="b">
        <f t="shared" ca="1" si="1"/>
        <v>1</v>
      </c>
      <c r="Y309" s="10" t="str">
        <f t="shared" si="2"/>
        <v>Unique</v>
      </c>
      <c r="Z309" s="10"/>
      <c r="AA309" s="10" t="str">
        <f t="shared" si="3"/>
        <v>Clean</v>
      </c>
      <c r="AB309" s="15" t="str">
        <f t="shared" si="4"/>
        <v>Valid</v>
      </c>
      <c r="AC309" s="15">
        <v>7</v>
      </c>
      <c r="AD309" s="16" t="str">
        <f t="shared" si="5"/>
        <v>Valid</v>
      </c>
      <c r="AE309" s="16" t="str">
        <f t="shared" si="6"/>
        <v>Valid</v>
      </c>
      <c r="AF309" s="16" t="str">
        <f t="shared" ref="AF309:AG309" si="629">IF(ISNUMBER(B309),"Valid","Invalid")</f>
        <v>Valid</v>
      </c>
      <c r="AG309" s="16" t="str">
        <f t="shared" si="629"/>
        <v>Valid</v>
      </c>
      <c r="AH309" s="16" t="str">
        <f t="shared" ref="AH309:AI309" si="630">IF(OR(B309="",ISBLANK(B309)),"Missing","Valid")</f>
        <v>Valid</v>
      </c>
      <c r="AI309" s="16" t="str">
        <f t="shared" si="630"/>
        <v>Valid</v>
      </c>
      <c r="AJ309" s="16" t="b">
        <v>0</v>
      </c>
      <c r="AK309" s="16" t="b">
        <v>0</v>
      </c>
      <c r="AL309" s="16" t="b">
        <v>0</v>
      </c>
      <c r="AM309" s="16" t="b">
        <v>0</v>
      </c>
      <c r="AN309" s="16" t="b">
        <v>0</v>
      </c>
      <c r="AO309" s="16" t="b">
        <v>0</v>
      </c>
      <c r="AP309" s="16" t="b">
        <v>0</v>
      </c>
      <c r="AQ309" s="17">
        <f t="shared" si="9"/>
        <v>0.2</v>
      </c>
      <c r="AR309" s="12">
        <f t="shared" si="10"/>
        <v>29469.888000000003</v>
      </c>
      <c r="AS309" s="18">
        <f t="shared" si="11"/>
        <v>1.9999999967694748E-3</v>
      </c>
      <c r="AT309" s="12">
        <f t="shared" si="12"/>
        <v>10534.378000000004</v>
      </c>
      <c r="AU309" s="18">
        <f t="shared" si="13"/>
        <v>1.9999999949504854E-3</v>
      </c>
      <c r="AV309" s="19">
        <f t="shared" si="14"/>
        <v>0.3574624375905332</v>
      </c>
      <c r="AW309" s="20" t="str">
        <f t="shared" si="15"/>
        <v>July</v>
      </c>
      <c r="AX309" s="21">
        <f t="shared" si="16"/>
        <v>2025</v>
      </c>
    </row>
    <row r="310" spans="1:50" ht="15.75" customHeight="1">
      <c r="A310" s="10" t="s">
        <v>1060</v>
      </c>
      <c r="B310" s="11">
        <v>45821</v>
      </c>
      <c r="C310" s="11">
        <v>45827</v>
      </c>
      <c r="D310" s="10" t="s">
        <v>1061</v>
      </c>
      <c r="E310" s="10" t="s">
        <v>170</v>
      </c>
      <c r="F310" s="10" t="s">
        <v>53</v>
      </c>
      <c r="G310" s="10" t="s">
        <v>54</v>
      </c>
      <c r="H310" s="10" t="s">
        <v>55</v>
      </c>
      <c r="I310" s="10" t="s">
        <v>56</v>
      </c>
      <c r="J310" s="10" t="s">
        <v>70</v>
      </c>
      <c r="K310" s="10" t="s">
        <v>71</v>
      </c>
      <c r="L310" s="10" t="s">
        <v>1062</v>
      </c>
      <c r="M310" s="10" t="s">
        <v>79</v>
      </c>
      <c r="N310" s="12">
        <v>4</v>
      </c>
      <c r="O310" s="12">
        <v>731.57</v>
      </c>
      <c r="P310" s="12">
        <v>0.2</v>
      </c>
      <c r="Q310" s="12">
        <v>2341.02</v>
      </c>
      <c r="R310" s="12">
        <v>1565.49</v>
      </c>
      <c r="S310" s="12">
        <v>775.53</v>
      </c>
      <c r="T310" s="10" t="s">
        <v>61</v>
      </c>
      <c r="U310" s="13" t="s">
        <v>62</v>
      </c>
      <c r="V310" s="14" t="e">
        <f t="shared" ca="1" si="0"/>
        <v>#NAME?</v>
      </c>
      <c r="W310" s="10" t="str">
        <f ca="1">IFERROR(__xludf.DUMMYFUNCTION("IF(COUNTIF($A:$A,A304)=1,
""Unique"",
IF(COUNTUNIQUE(FILTER($V$2:$V$934,$A$2:$A$934=A304))&gt;1,
""Conflicting Duplicate"",
""Exact Duplicate""))"),"Unique")</f>
        <v>Unique</v>
      </c>
      <c r="X310" s="10" t="b">
        <f t="shared" ca="1" si="1"/>
        <v>1</v>
      </c>
      <c r="Y310" s="10" t="str">
        <f t="shared" si="2"/>
        <v>Unique</v>
      </c>
      <c r="Z310" s="10"/>
      <c r="AA310" s="10" t="str">
        <f t="shared" si="3"/>
        <v>Clean</v>
      </c>
      <c r="AB310" s="15" t="str">
        <f t="shared" si="4"/>
        <v>Valid</v>
      </c>
      <c r="AC310" s="15">
        <v>6</v>
      </c>
      <c r="AD310" s="16" t="str">
        <f t="shared" si="5"/>
        <v>Valid</v>
      </c>
      <c r="AE310" s="16" t="str">
        <f t="shared" si="6"/>
        <v>Valid</v>
      </c>
      <c r="AF310" s="16" t="str">
        <f t="shared" ref="AF310:AG310" si="631">IF(ISNUMBER(B310),"Valid","Invalid")</f>
        <v>Valid</v>
      </c>
      <c r="AG310" s="16" t="str">
        <f t="shared" si="631"/>
        <v>Valid</v>
      </c>
      <c r="AH310" s="16" t="str">
        <f t="shared" ref="AH310:AI310" si="632">IF(OR(B310="",ISBLANK(B310)),"Missing","Valid")</f>
        <v>Valid</v>
      </c>
      <c r="AI310" s="16" t="str">
        <f t="shared" si="632"/>
        <v>Valid</v>
      </c>
      <c r="AJ310" s="16" t="b">
        <v>0</v>
      </c>
      <c r="AK310" s="16" t="b">
        <v>0</v>
      </c>
      <c r="AL310" s="16" t="b">
        <v>0</v>
      </c>
      <c r="AM310" s="16" t="b">
        <v>0</v>
      </c>
      <c r="AN310" s="16" t="b">
        <v>0</v>
      </c>
      <c r="AO310" s="16" t="b">
        <v>0</v>
      </c>
      <c r="AP310" s="16" t="b">
        <v>0</v>
      </c>
      <c r="AQ310" s="17">
        <f t="shared" si="9"/>
        <v>0.2</v>
      </c>
      <c r="AR310" s="12">
        <f t="shared" si="10"/>
        <v>2341.0240000000003</v>
      </c>
      <c r="AS310" s="18">
        <f t="shared" si="11"/>
        <v>-4.0000000003601599E-3</v>
      </c>
      <c r="AT310" s="12">
        <f t="shared" si="12"/>
        <v>775.53400000000033</v>
      </c>
      <c r="AU310" s="18">
        <f t="shared" si="13"/>
        <v>-4.0000000003601599E-3</v>
      </c>
      <c r="AV310" s="19">
        <f t="shared" si="14"/>
        <v>0.33127981601213835</v>
      </c>
      <c r="AW310" s="20" t="str">
        <f t="shared" si="15"/>
        <v>June</v>
      </c>
      <c r="AX310" s="21">
        <f t="shared" si="16"/>
        <v>2025</v>
      </c>
    </row>
    <row r="311" spans="1:50" ht="15.75" customHeight="1">
      <c r="A311" s="10" t="s">
        <v>1063</v>
      </c>
      <c r="B311" s="11">
        <v>45493</v>
      </c>
      <c r="C311" s="11">
        <v>45495</v>
      </c>
      <c r="D311" s="10" t="s">
        <v>1064</v>
      </c>
      <c r="E311" s="10" t="s">
        <v>91</v>
      </c>
      <c r="F311" s="10" t="s">
        <v>53</v>
      </c>
      <c r="G311" s="10" t="s">
        <v>83</v>
      </c>
      <c r="H311" s="10" t="s">
        <v>277</v>
      </c>
      <c r="I311" s="10" t="s">
        <v>278</v>
      </c>
      <c r="J311" s="10" t="s">
        <v>70</v>
      </c>
      <c r="K311" s="10" t="s">
        <v>71</v>
      </c>
      <c r="L311" s="10" t="s">
        <v>1065</v>
      </c>
      <c r="M311" s="10" t="s">
        <v>79</v>
      </c>
      <c r="N311" s="12">
        <v>7</v>
      </c>
      <c r="O311" s="12">
        <v>2060.73</v>
      </c>
      <c r="P311" s="12">
        <v>0.1</v>
      </c>
      <c r="Q311" s="12">
        <v>12982.6</v>
      </c>
      <c r="R311" s="12">
        <v>7246.36</v>
      </c>
      <c r="S311" s="12">
        <v>5736.24</v>
      </c>
      <c r="T311" s="10" t="s">
        <v>61</v>
      </c>
      <c r="U311" s="13" t="s">
        <v>97</v>
      </c>
      <c r="V311" s="14" t="e">
        <f t="shared" ca="1" si="0"/>
        <v>#NAME?</v>
      </c>
      <c r="W311" s="10" t="str">
        <f ca="1">IFERROR(__xludf.DUMMYFUNCTION("IF(COUNTIF($A:$A,A305)=1,
""Unique"",
IF(COUNTUNIQUE(FILTER($V$2:$V$934,$A$2:$A$934=A305))&gt;1,
""Conflicting Duplicate"",
""Exact Duplicate""))"),"Unique")</f>
        <v>Unique</v>
      </c>
      <c r="X311" s="10" t="b">
        <f t="shared" ca="1" si="1"/>
        <v>1</v>
      </c>
      <c r="Y311" s="10" t="str">
        <f t="shared" si="2"/>
        <v>Unique</v>
      </c>
      <c r="Z311" s="10"/>
      <c r="AA311" s="10" t="str">
        <f t="shared" si="3"/>
        <v>Clean</v>
      </c>
      <c r="AB311" s="15" t="str">
        <f t="shared" si="4"/>
        <v>Valid</v>
      </c>
      <c r="AC311" s="15">
        <v>2</v>
      </c>
      <c r="AD311" s="16" t="str">
        <f t="shared" si="5"/>
        <v>Valid</v>
      </c>
      <c r="AE311" s="16" t="str">
        <f t="shared" si="6"/>
        <v>Valid</v>
      </c>
      <c r="AF311" s="16" t="str">
        <f t="shared" ref="AF311:AG311" si="633">IF(ISNUMBER(B311),"Valid","Invalid")</f>
        <v>Valid</v>
      </c>
      <c r="AG311" s="16" t="str">
        <f t="shared" si="633"/>
        <v>Valid</v>
      </c>
      <c r="AH311" s="16" t="str">
        <f t="shared" ref="AH311:AI311" si="634">IF(OR(B311="",ISBLANK(B311)),"Missing","Valid")</f>
        <v>Valid</v>
      </c>
      <c r="AI311" s="16" t="str">
        <f t="shared" si="634"/>
        <v>Valid</v>
      </c>
      <c r="AJ311" s="16" t="b">
        <v>0</v>
      </c>
      <c r="AK311" s="16" t="b">
        <v>0</v>
      </c>
      <c r="AL311" s="16" t="b">
        <v>0</v>
      </c>
      <c r="AM311" s="16" t="b">
        <v>0</v>
      </c>
      <c r="AN311" s="16" t="b">
        <v>0</v>
      </c>
      <c r="AO311" s="16" t="b">
        <v>0</v>
      </c>
      <c r="AP311" s="16" t="b">
        <v>0</v>
      </c>
      <c r="AQ311" s="17">
        <f t="shared" si="9"/>
        <v>0.1</v>
      </c>
      <c r="AR311" s="12">
        <f t="shared" si="10"/>
        <v>12982.599</v>
      </c>
      <c r="AS311" s="18">
        <f t="shared" si="11"/>
        <v>1.0000000002037268E-3</v>
      </c>
      <c r="AT311" s="12">
        <f t="shared" si="12"/>
        <v>5736.2390000000005</v>
      </c>
      <c r="AU311" s="18">
        <f t="shared" si="13"/>
        <v>9.9999999929423211E-4</v>
      </c>
      <c r="AV311" s="19">
        <f t="shared" si="14"/>
        <v>0.441840574448922</v>
      </c>
      <c r="AW311" s="20" t="str">
        <f t="shared" si="15"/>
        <v>July</v>
      </c>
      <c r="AX311" s="21">
        <f t="shared" si="16"/>
        <v>2024</v>
      </c>
    </row>
    <row r="312" spans="1:50" ht="15.75" customHeight="1">
      <c r="A312" s="10" t="s">
        <v>1066</v>
      </c>
      <c r="B312" s="11">
        <v>45477</v>
      </c>
      <c r="C312" s="11">
        <v>45481</v>
      </c>
      <c r="D312" s="10" t="s">
        <v>1067</v>
      </c>
      <c r="E312" s="10" t="s">
        <v>170</v>
      </c>
      <c r="F312" s="10" t="s">
        <v>66</v>
      </c>
      <c r="G312" s="10" t="s">
        <v>83</v>
      </c>
      <c r="H312" s="10" t="s">
        <v>277</v>
      </c>
      <c r="I312" s="10" t="s">
        <v>278</v>
      </c>
      <c r="J312" s="10" t="s">
        <v>103</v>
      </c>
      <c r="K312" s="10" t="s">
        <v>304</v>
      </c>
      <c r="L312" s="10" t="s">
        <v>1068</v>
      </c>
      <c r="M312" s="10" t="s">
        <v>79</v>
      </c>
      <c r="N312" s="12">
        <v>8</v>
      </c>
      <c r="O312" s="12">
        <v>2034.25</v>
      </c>
      <c r="P312" s="12">
        <v>0</v>
      </c>
      <c r="Q312" s="12">
        <v>16274</v>
      </c>
      <c r="R312" s="12">
        <v>9424.25</v>
      </c>
      <c r="S312" s="12">
        <v>6849.75</v>
      </c>
      <c r="T312" s="10" t="s">
        <v>61</v>
      </c>
      <c r="U312" s="13" t="s">
        <v>62</v>
      </c>
      <c r="V312" s="14" t="e">
        <f t="shared" ca="1" si="0"/>
        <v>#NAME?</v>
      </c>
      <c r="W312" s="10" t="str">
        <f ca="1">IFERROR(__xludf.DUMMYFUNCTION("IF(COUNTIF($A:$A,A306)=1,
""Unique"",
IF(COUNTUNIQUE(FILTER($V$2:$V$934,$A$2:$A$934=A306))&gt;1,
""Conflicting Duplicate"",
""Exact Duplicate""))"),"Unique")</f>
        <v>Unique</v>
      </c>
      <c r="X312" s="10" t="b">
        <f t="shared" ca="1" si="1"/>
        <v>1</v>
      </c>
      <c r="Y312" s="10" t="str">
        <f t="shared" si="2"/>
        <v>Unique</v>
      </c>
      <c r="Z312" s="10"/>
      <c r="AA312" s="10" t="str">
        <f t="shared" si="3"/>
        <v>Clean</v>
      </c>
      <c r="AB312" s="15" t="str">
        <f t="shared" si="4"/>
        <v>Valid</v>
      </c>
      <c r="AC312" s="15">
        <v>4</v>
      </c>
      <c r="AD312" s="16" t="str">
        <f t="shared" si="5"/>
        <v>Valid</v>
      </c>
      <c r="AE312" s="16" t="str">
        <f t="shared" si="6"/>
        <v>Valid</v>
      </c>
      <c r="AF312" s="16" t="str">
        <f t="shared" ref="AF312:AG312" si="635">IF(ISNUMBER(B312),"Valid","Invalid")</f>
        <v>Valid</v>
      </c>
      <c r="AG312" s="16" t="str">
        <f t="shared" si="635"/>
        <v>Valid</v>
      </c>
      <c r="AH312" s="16" t="str">
        <f t="shared" ref="AH312:AI312" si="636">IF(OR(B312="",ISBLANK(B312)),"Missing","Valid")</f>
        <v>Valid</v>
      </c>
      <c r="AI312" s="16" t="str">
        <f t="shared" si="636"/>
        <v>Valid</v>
      </c>
      <c r="AJ312" s="16" t="b">
        <v>0</v>
      </c>
      <c r="AK312" s="16" t="b">
        <v>0</v>
      </c>
      <c r="AL312" s="16" t="b">
        <v>0</v>
      </c>
      <c r="AM312" s="16" t="b">
        <v>0</v>
      </c>
      <c r="AN312" s="16" t="b">
        <v>0</v>
      </c>
      <c r="AO312" s="16" t="b">
        <v>0</v>
      </c>
      <c r="AP312" s="16" t="b">
        <v>0</v>
      </c>
      <c r="AQ312" s="17">
        <f t="shared" si="9"/>
        <v>0</v>
      </c>
      <c r="AR312" s="12">
        <f t="shared" si="10"/>
        <v>16274</v>
      </c>
      <c r="AS312" s="18">
        <f t="shared" si="11"/>
        <v>0</v>
      </c>
      <c r="AT312" s="12">
        <f t="shared" si="12"/>
        <v>6849.75</v>
      </c>
      <c r="AU312" s="18">
        <f t="shared" si="13"/>
        <v>0</v>
      </c>
      <c r="AV312" s="19">
        <f t="shared" si="14"/>
        <v>0.42090143787636719</v>
      </c>
      <c r="AW312" s="20" t="str">
        <f t="shared" si="15"/>
        <v>July</v>
      </c>
      <c r="AX312" s="21">
        <f t="shared" si="16"/>
        <v>2024</v>
      </c>
    </row>
    <row r="313" spans="1:50" ht="15.75" customHeight="1">
      <c r="A313" s="10" t="s">
        <v>1069</v>
      </c>
      <c r="B313" s="11">
        <v>45409</v>
      </c>
      <c r="C313" s="11">
        <v>45414</v>
      </c>
      <c r="D313" s="10" t="s">
        <v>1070</v>
      </c>
      <c r="E313" s="10" t="s">
        <v>65</v>
      </c>
      <c r="F313" s="10" t="s">
        <v>119</v>
      </c>
      <c r="G313" s="10" t="s">
        <v>83</v>
      </c>
      <c r="H313" s="10" t="s">
        <v>204</v>
      </c>
      <c r="I313" s="10" t="s">
        <v>205</v>
      </c>
      <c r="J313" s="10" t="s">
        <v>57</v>
      </c>
      <c r="K313" s="10" t="s">
        <v>182</v>
      </c>
      <c r="L313" s="10" t="s">
        <v>1071</v>
      </c>
      <c r="M313" s="10" t="s">
        <v>60</v>
      </c>
      <c r="N313" s="12">
        <v>5</v>
      </c>
      <c r="O313" s="12">
        <v>554.04</v>
      </c>
      <c r="P313" s="12">
        <v>0.1</v>
      </c>
      <c r="Q313" s="12">
        <v>2493.1799999999998</v>
      </c>
      <c r="R313" s="12">
        <v>1764</v>
      </c>
      <c r="S313" s="12">
        <v>729.18</v>
      </c>
      <c r="T313" s="10" t="s">
        <v>61</v>
      </c>
      <c r="U313" s="13" t="s">
        <v>62</v>
      </c>
      <c r="V313" s="14" t="e">
        <f t="shared" ca="1" si="0"/>
        <v>#NAME?</v>
      </c>
      <c r="W313" s="10" t="str">
        <f ca="1">IFERROR(__xludf.DUMMYFUNCTION("IF(COUNTIF($A:$A,A307)=1,
""Unique"",
IF(COUNTUNIQUE(FILTER($V$2:$V$934,$A$2:$A$934=A307))&gt;1,
""Conflicting Duplicate"",
""Exact Duplicate""))"),"Unique")</f>
        <v>Unique</v>
      </c>
      <c r="X313" s="10" t="b">
        <f t="shared" ca="1" si="1"/>
        <v>1</v>
      </c>
      <c r="Y313" s="10" t="str">
        <f t="shared" si="2"/>
        <v>Unique</v>
      </c>
      <c r="Z313" s="10"/>
      <c r="AA313" s="10" t="str">
        <f t="shared" si="3"/>
        <v>Clean</v>
      </c>
      <c r="AB313" s="15" t="str">
        <f t="shared" si="4"/>
        <v>Valid</v>
      </c>
      <c r="AC313" s="15">
        <v>5</v>
      </c>
      <c r="AD313" s="16" t="str">
        <f t="shared" si="5"/>
        <v>Valid</v>
      </c>
      <c r="AE313" s="16" t="str">
        <f t="shared" si="6"/>
        <v>Valid</v>
      </c>
      <c r="AF313" s="16" t="str">
        <f t="shared" ref="AF313:AG313" si="637">IF(ISNUMBER(B313),"Valid","Invalid")</f>
        <v>Valid</v>
      </c>
      <c r="AG313" s="16" t="str">
        <f t="shared" si="637"/>
        <v>Valid</v>
      </c>
      <c r="AH313" s="16" t="str">
        <f t="shared" ref="AH313:AI313" si="638">IF(OR(B313="",ISBLANK(B313)),"Missing","Valid")</f>
        <v>Valid</v>
      </c>
      <c r="AI313" s="16" t="str">
        <f t="shared" si="638"/>
        <v>Valid</v>
      </c>
      <c r="AJ313" s="16" t="b">
        <v>0</v>
      </c>
      <c r="AK313" s="16" t="b">
        <v>0</v>
      </c>
      <c r="AL313" s="16" t="b">
        <v>0</v>
      </c>
      <c r="AM313" s="16" t="b">
        <v>0</v>
      </c>
      <c r="AN313" s="16" t="b">
        <v>0</v>
      </c>
      <c r="AO313" s="16" t="b">
        <v>0</v>
      </c>
      <c r="AP313" s="16" t="b">
        <v>0</v>
      </c>
      <c r="AQ313" s="17">
        <f t="shared" si="9"/>
        <v>0.1</v>
      </c>
      <c r="AR313" s="12">
        <f t="shared" si="10"/>
        <v>2493.1799999999998</v>
      </c>
      <c r="AS313" s="18">
        <f t="shared" si="11"/>
        <v>0</v>
      </c>
      <c r="AT313" s="12">
        <f t="shared" si="12"/>
        <v>729.17999999999984</v>
      </c>
      <c r="AU313" s="18">
        <f t="shared" si="13"/>
        <v>0</v>
      </c>
      <c r="AV313" s="19">
        <f t="shared" si="14"/>
        <v>0.29246985777200196</v>
      </c>
      <c r="AW313" s="20" t="str">
        <f t="shared" si="15"/>
        <v>April</v>
      </c>
      <c r="AX313" s="21">
        <f t="shared" si="16"/>
        <v>2024</v>
      </c>
    </row>
    <row r="314" spans="1:50" ht="15.75" customHeight="1">
      <c r="A314" s="10" t="s">
        <v>1072</v>
      </c>
      <c r="B314" s="11">
        <v>45504</v>
      </c>
      <c r="C314" s="11">
        <v>45508</v>
      </c>
      <c r="D314" s="10" t="s">
        <v>1073</v>
      </c>
      <c r="E314" s="10" t="s">
        <v>52</v>
      </c>
      <c r="F314" s="10" t="s">
        <v>66</v>
      </c>
      <c r="G314" s="10" t="s">
        <v>67</v>
      </c>
      <c r="H314" s="10" t="s">
        <v>195</v>
      </c>
      <c r="I314" s="10" t="s">
        <v>196</v>
      </c>
      <c r="J314" s="10" t="s">
        <v>103</v>
      </c>
      <c r="K314" s="10" t="s">
        <v>200</v>
      </c>
      <c r="L314" s="10" t="s">
        <v>1074</v>
      </c>
      <c r="M314" s="10" t="s">
        <v>88</v>
      </c>
      <c r="N314" s="12">
        <v>8</v>
      </c>
      <c r="O314" s="12">
        <v>2614.7399999999998</v>
      </c>
      <c r="P314" s="12">
        <v>0</v>
      </c>
      <c r="Q314" s="12">
        <v>15688.44</v>
      </c>
      <c r="R314" s="12">
        <v>10047.33</v>
      </c>
      <c r="S314" s="12">
        <v>5641.11</v>
      </c>
      <c r="T314" s="10" t="s">
        <v>61</v>
      </c>
      <c r="U314" s="13" t="s">
        <v>97</v>
      </c>
      <c r="V314" s="14" t="e">
        <f t="shared" ca="1" si="0"/>
        <v>#NAME?</v>
      </c>
      <c r="W314" s="10" t="str">
        <f ca="1">IFERROR(__xludf.DUMMYFUNCTION("IF(COUNTIF($A:$A,A308)=1,
""Unique"",
IF(COUNTUNIQUE(FILTER($V$2:$V$934,$A$2:$A$934=A308))&gt;1,
""Conflicting Duplicate"",
""Exact Duplicate""))"),"Unique")</f>
        <v>Unique</v>
      </c>
      <c r="X314" s="10" t="b">
        <f t="shared" ca="1" si="1"/>
        <v>1</v>
      </c>
      <c r="Y314" s="10" t="str">
        <f t="shared" si="2"/>
        <v>Unique</v>
      </c>
      <c r="Z314" s="10"/>
      <c r="AA314" s="10" t="str">
        <f t="shared" si="3"/>
        <v>Clean</v>
      </c>
      <c r="AB314" s="15" t="str">
        <f t="shared" si="4"/>
        <v>Valid</v>
      </c>
      <c r="AC314" s="15">
        <v>4</v>
      </c>
      <c r="AD314" s="16" t="str">
        <f t="shared" si="5"/>
        <v>Valid</v>
      </c>
      <c r="AE314" s="16" t="str">
        <f t="shared" si="6"/>
        <v>Valid</v>
      </c>
      <c r="AF314" s="16" t="str">
        <f t="shared" ref="AF314:AG314" si="639">IF(ISNUMBER(B314),"Valid","Invalid")</f>
        <v>Valid</v>
      </c>
      <c r="AG314" s="16" t="str">
        <f t="shared" si="639"/>
        <v>Valid</v>
      </c>
      <c r="AH314" s="16" t="str">
        <f t="shared" ref="AH314:AI314" si="640">IF(OR(B314="",ISBLANK(B314)),"Missing","Valid")</f>
        <v>Valid</v>
      </c>
      <c r="AI314" s="16" t="str">
        <f t="shared" si="640"/>
        <v>Valid</v>
      </c>
      <c r="AJ314" s="16" t="b">
        <v>0</v>
      </c>
      <c r="AK314" s="16" t="b">
        <v>0</v>
      </c>
      <c r="AL314" s="16" t="b">
        <v>1</v>
      </c>
      <c r="AM314" s="16" t="b">
        <v>0</v>
      </c>
      <c r="AN314" s="16" t="b">
        <v>0</v>
      </c>
      <c r="AO314" s="16" t="b">
        <v>0</v>
      </c>
      <c r="AP314" s="16" t="b">
        <v>1</v>
      </c>
      <c r="AQ314" s="17">
        <f t="shared" si="9"/>
        <v>0</v>
      </c>
      <c r="AR314" s="12">
        <f t="shared" si="10"/>
        <v>20917.919999999998</v>
      </c>
      <c r="AS314" s="18">
        <f t="shared" si="11"/>
        <v>-5229.4799999999977</v>
      </c>
      <c r="AT314" s="12">
        <f t="shared" si="12"/>
        <v>10870.589999999998</v>
      </c>
      <c r="AU314" s="18">
        <f t="shared" si="13"/>
        <v>-5229.4799999999987</v>
      </c>
      <c r="AV314" s="19">
        <f t="shared" si="14"/>
        <v>0.5196783427797792</v>
      </c>
      <c r="AW314" s="20" t="str">
        <f t="shared" si="15"/>
        <v>July</v>
      </c>
      <c r="AX314" s="21">
        <f t="shared" si="16"/>
        <v>2024</v>
      </c>
    </row>
    <row r="315" spans="1:50" ht="15.75" customHeight="1">
      <c r="A315" s="10" t="s">
        <v>1075</v>
      </c>
      <c r="B315" s="11">
        <v>45807</v>
      </c>
      <c r="C315" s="11">
        <v>45808</v>
      </c>
      <c r="D315" s="10" t="s">
        <v>1076</v>
      </c>
      <c r="E315" s="10" t="s">
        <v>147</v>
      </c>
      <c r="F315" s="10" t="s">
        <v>119</v>
      </c>
      <c r="G315" s="10" t="s">
        <v>54</v>
      </c>
      <c r="H315" s="10" t="s">
        <v>165</v>
      </c>
      <c r="I315" s="10" t="s">
        <v>166</v>
      </c>
      <c r="J315" s="10" t="s">
        <v>103</v>
      </c>
      <c r="K315" s="10" t="s">
        <v>200</v>
      </c>
      <c r="L315" s="10" t="s">
        <v>1077</v>
      </c>
      <c r="M315" s="10" t="s">
        <v>79</v>
      </c>
      <c r="N315" s="12">
        <v>8</v>
      </c>
      <c r="O315" s="12">
        <v>2081.4299999999998</v>
      </c>
      <c r="P315" s="12">
        <v>0.25</v>
      </c>
      <c r="Q315" s="12">
        <v>12488.58</v>
      </c>
      <c r="R315" s="12">
        <v>10717.4</v>
      </c>
      <c r="S315" s="12">
        <v>1771.18</v>
      </c>
      <c r="T315" s="10" t="s">
        <v>131</v>
      </c>
      <c r="U315" s="13" t="s">
        <v>97</v>
      </c>
      <c r="V315" s="14" t="e">
        <f t="shared" ca="1" si="0"/>
        <v>#NAME?</v>
      </c>
      <c r="W315" s="10" t="str">
        <f ca="1">IFERROR(__xludf.DUMMYFUNCTION("IF(COUNTIF($A:$A,A309)=1,
""Unique"",
IF(COUNTUNIQUE(FILTER($V$2:$V$934,$A$2:$A$934=A309))&gt;1,
""Conflicting Duplicate"",
""Exact Duplicate""))"),"Unique")</f>
        <v>Unique</v>
      </c>
      <c r="X315" s="10" t="b">
        <f t="shared" ca="1" si="1"/>
        <v>1</v>
      </c>
      <c r="Y315" s="10" t="str">
        <f t="shared" si="2"/>
        <v>Unique</v>
      </c>
      <c r="Z315" s="10"/>
      <c r="AA315" s="10" t="str">
        <f t="shared" si="3"/>
        <v>Clean</v>
      </c>
      <c r="AB315" s="15" t="str">
        <f t="shared" si="4"/>
        <v>Valid</v>
      </c>
      <c r="AC315" s="15">
        <v>1</v>
      </c>
      <c r="AD315" s="16" t="str">
        <f t="shared" si="5"/>
        <v>Valid</v>
      </c>
      <c r="AE315" s="16" t="str">
        <f t="shared" si="6"/>
        <v>Valid</v>
      </c>
      <c r="AF315" s="16" t="str">
        <f t="shared" ref="AF315:AG315" si="641">IF(ISNUMBER(B315),"Valid","Invalid")</f>
        <v>Valid</v>
      </c>
      <c r="AG315" s="16" t="str">
        <f t="shared" si="641"/>
        <v>Valid</v>
      </c>
      <c r="AH315" s="16" t="str">
        <f t="shared" ref="AH315:AI315" si="642">IF(OR(B315="",ISBLANK(B315)),"Missing","Valid")</f>
        <v>Valid</v>
      </c>
      <c r="AI315" s="16" t="str">
        <f t="shared" si="642"/>
        <v>Valid</v>
      </c>
      <c r="AJ315" s="16" t="b">
        <v>0</v>
      </c>
      <c r="AK315" s="16" t="b">
        <v>0</v>
      </c>
      <c r="AL315" s="16" t="b">
        <v>0</v>
      </c>
      <c r="AM315" s="16" t="b">
        <v>0</v>
      </c>
      <c r="AN315" s="16" t="b">
        <v>0</v>
      </c>
      <c r="AO315" s="16" t="b">
        <v>0</v>
      </c>
      <c r="AP315" s="16" t="b">
        <v>0</v>
      </c>
      <c r="AQ315" s="17">
        <f t="shared" si="9"/>
        <v>0.25</v>
      </c>
      <c r="AR315" s="12">
        <f t="shared" si="10"/>
        <v>12488.579999999998</v>
      </c>
      <c r="AS315" s="18">
        <f t="shared" si="11"/>
        <v>0</v>
      </c>
      <c r="AT315" s="12">
        <f t="shared" si="12"/>
        <v>1771.1799999999985</v>
      </c>
      <c r="AU315" s="18">
        <f t="shared" si="13"/>
        <v>0</v>
      </c>
      <c r="AV315" s="19">
        <f t="shared" si="14"/>
        <v>0.14182397037933847</v>
      </c>
      <c r="AW315" s="20" t="str">
        <f t="shared" si="15"/>
        <v>May</v>
      </c>
      <c r="AX315" s="21">
        <f t="shared" si="16"/>
        <v>2025</v>
      </c>
    </row>
    <row r="316" spans="1:50" ht="15.75" customHeight="1">
      <c r="A316" s="10" t="s">
        <v>1078</v>
      </c>
      <c r="B316" s="11">
        <v>45795</v>
      </c>
      <c r="C316" s="11">
        <v>45797</v>
      </c>
      <c r="D316" s="10" t="s">
        <v>1079</v>
      </c>
      <c r="E316" s="10" t="s">
        <v>76</v>
      </c>
      <c r="F316" s="10" t="s">
        <v>119</v>
      </c>
      <c r="G316" s="10" t="s">
        <v>92</v>
      </c>
      <c r="H316" s="10" t="s">
        <v>101</v>
      </c>
      <c r="I316" s="10" t="s">
        <v>102</v>
      </c>
      <c r="J316" s="10" t="s">
        <v>57</v>
      </c>
      <c r="K316" s="10" t="s">
        <v>120</v>
      </c>
      <c r="L316" s="10" t="s">
        <v>1080</v>
      </c>
      <c r="M316" s="10" t="s">
        <v>88</v>
      </c>
      <c r="N316" s="12">
        <v>9</v>
      </c>
      <c r="O316" s="12">
        <v>847.76</v>
      </c>
      <c r="P316" s="12">
        <v>0.15</v>
      </c>
      <c r="Q316" s="12">
        <v>6485.36</v>
      </c>
      <c r="R316" s="12">
        <v>5376.17</v>
      </c>
      <c r="S316" s="12">
        <v>1109.19</v>
      </c>
      <c r="T316" s="10" t="s">
        <v>184</v>
      </c>
      <c r="U316" s="13" t="s">
        <v>132</v>
      </c>
      <c r="V316" s="14" t="e">
        <f t="shared" ca="1" si="0"/>
        <v>#NAME?</v>
      </c>
      <c r="W316" s="10" t="str">
        <f ca="1">IFERROR(__xludf.DUMMYFUNCTION("IF(COUNTIF($A:$A,A310)=1,
""Unique"",
IF(COUNTUNIQUE(FILTER($V$2:$V$934,$A$2:$A$934=A310))&gt;1,
""Conflicting Duplicate"",
""Exact Duplicate""))"),"Unique")</f>
        <v>Unique</v>
      </c>
      <c r="X316" s="10" t="b">
        <f t="shared" ca="1" si="1"/>
        <v>1</v>
      </c>
      <c r="Y316" s="10" t="str">
        <f t="shared" si="2"/>
        <v>Duplicate Order ID</v>
      </c>
      <c r="Z316" s="10"/>
      <c r="AA316" s="10" t="str">
        <f t="shared" si="3"/>
        <v>Clean</v>
      </c>
      <c r="AB316" s="15" t="str">
        <f t="shared" si="4"/>
        <v>Valid</v>
      </c>
      <c r="AC316" s="15">
        <v>2</v>
      </c>
      <c r="AD316" s="16" t="str">
        <f t="shared" si="5"/>
        <v>Valid</v>
      </c>
      <c r="AE316" s="16" t="str">
        <f t="shared" si="6"/>
        <v>Valid</v>
      </c>
      <c r="AF316" s="16" t="str">
        <f t="shared" ref="AF316:AG316" si="643">IF(ISNUMBER(B316),"Valid","Invalid")</f>
        <v>Valid</v>
      </c>
      <c r="AG316" s="16" t="str">
        <f t="shared" si="643"/>
        <v>Valid</v>
      </c>
      <c r="AH316" s="16" t="str">
        <f t="shared" ref="AH316:AI316" si="644">IF(OR(B316="",ISBLANK(B316)),"Missing","Valid")</f>
        <v>Valid</v>
      </c>
      <c r="AI316" s="16" t="str">
        <f t="shared" si="644"/>
        <v>Valid</v>
      </c>
      <c r="AJ316" s="16" t="b">
        <v>0</v>
      </c>
      <c r="AK316" s="16" t="b">
        <v>0</v>
      </c>
      <c r="AL316" s="16" t="b">
        <v>0</v>
      </c>
      <c r="AM316" s="16" t="b">
        <v>0</v>
      </c>
      <c r="AN316" s="16" t="b">
        <v>0</v>
      </c>
      <c r="AO316" s="16" t="b">
        <v>0</v>
      </c>
      <c r="AP316" s="16" t="b">
        <v>0</v>
      </c>
      <c r="AQ316" s="17">
        <f t="shared" si="9"/>
        <v>0.15</v>
      </c>
      <c r="AR316" s="12">
        <f t="shared" si="10"/>
        <v>6485.3639999999996</v>
      </c>
      <c r="AS316" s="18">
        <f t="shared" si="11"/>
        <v>-3.9999999999054126E-3</v>
      </c>
      <c r="AT316" s="12">
        <f t="shared" si="12"/>
        <v>1109.1939999999995</v>
      </c>
      <c r="AU316" s="18">
        <f t="shared" si="13"/>
        <v>-3.9999999994506652E-3</v>
      </c>
      <c r="AV316" s="19">
        <f t="shared" si="14"/>
        <v>0.17103033846673826</v>
      </c>
      <c r="AW316" s="20" t="str">
        <f t="shared" si="15"/>
        <v>May</v>
      </c>
      <c r="AX316" s="21">
        <f t="shared" si="16"/>
        <v>2025</v>
      </c>
    </row>
    <row r="317" spans="1:50" ht="15.75" customHeight="1">
      <c r="A317" s="10" t="s">
        <v>1081</v>
      </c>
      <c r="B317" s="11">
        <v>45475</v>
      </c>
      <c r="C317" s="11">
        <v>45481</v>
      </c>
      <c r="D317" s="10" t="s">
        <v>1082</v>
      </c>
      <c r="E317" s="10" t="s">
        <v>170</v>
      </c>
      <c r="F317" s="10" t="s">
        <v>53</v>
      </c>
      <c r="G317" s="10" t="s">
        <v>54</v>
      </c>
      <c r="H317" s="10" t="s">
        <v>380</v>
      </c>
      <c r="I317" s="10" t="s">
        <v>381</v>
      </c>
      <c r="J317" s="10" t="s">
        <v>57</v>
      </c>
      <c r="K317" s="10" t="s">
        <v>58</v>
      </c>
      <c r="L317" s="10" t="s">
        <v>1083</v>
      </c>
      <c r="M317" s="10" t="s">
        <v>88</v>
      </c>
      <c r="N317" s="12">
        <v>9</v>
      </c>
      <c r="O317" s="12">
        <v>3450.4</v>
      </c>
      <c r="P317" s="12">
        <v>0.05</v>
      </c>
      <c r="Q317" s="12">
        <v>29500.92</v>
      </c>
      <c r="R317" s="12">
        <v>17989.68</v>
      </c>
      <c r="S317" s="12">
        <v>11511.24</v>
      </c>
      <c r="T317" s="10" t="s">
        <v>140</v>
      </c>
      <c r="U317" s="13" t="s">
        <v>132</v>
      </c>
      <c r="V317" s="14" t="e">
        <f t="shared" ca="1" si="0"/>
        <v>#NAME?</v>
      </c>
      <c r="W317" s="10" t="str">
        <f ca="1">IFERROR(__xludf.DUMMYFUNCTION("IF(COUNTIF($A:$A,A311)=1,
""Unique"",
IF(COUNTUNIQUE(FILTER($V$2:$V$934,$A$2:$A$934=A311))&gt;1,
""Conflicting Duplicate"",
""Exact Duplicate""))"),"Unique")</f>
        <v>Unique</v>
      </c>
      <c r="X317" s="10" t="b">
        <f t="shared" ca="1" si="1"/>
        <v>1</v>
      </c>
      <c r="Y317" s="10" t="str">
        <f t="shared" si="2"/>
        <v>Unique</v>
      </c>
      <c r="Z317" s="10"/>
      <c r="AA317" s="10" t="str">
        <f t="shared" si="3"/>
        <v>Clean</v>
      </c>
      <c r="AB317" s="15" t="str">
        <f t="shared" si="4"/>
        <v>Valid</v>
      </c>
      <c r="AC317" s="15">
        <v>6</v>
      </c>
      <c r="AD317" s="16" t="str">
        <f t="shared" si="5"/>
        <v>Valid</v>
      </c>
      <c r="AE317" s="16" t="str">
        <f t="shared" si="6"/>
        <v>Valid</v>
      </c>
      <c r="AF317" s="16" t="str">
        <f t="shared" ref="AF317:AG317" si="645">IF(ISNUMBER(B317),"Valid","Invalid")</f>
        <v>Valid</v>
      </c>
      <c r="AG317" s="16" t="str">
        <f t="shared" si="645"/>
        <v>Valid</v>
      </c>
      <c r="AH317" s="16" t="str">
        <f t="shared" ref="AH317:AI317" si="646">IF(OR(B317="",ISBLANK(B317)),"Missing","Valid")</f>
        <v>Valid</v>
      </c>
      <c r="AI317" s="16" t="str">
        <f t="shared" si="646"/>
        <v>Valid</v>
      </c>
      <c r="AJ317" s="16" t="b">
        <v>0</v>
      </c>
      <c r="AK317" s="16" t="b">
        <v>0</v>
      </c>
      <c r="AL317" s="16" t="b">
        <v>0</v>
      </c>
      <c r="AM317" s="16" t="b">
        <v>0</v>
      </c>
      <c r="AN317" s="16" t="b">
        <v>0</v>
      </c>
      <c r="AO317" s="16" t="b">
        <v>0</v>
      </c>
      <c r="AP317" s="16" t="b">
        <v>0</v>
      </c>
      <c r="AQ317" s="17">
        <f t="shared" si="9"/>
        <v>0.05</v>
      </c>
      <c r="AR317" s="12">
        <f t="shared" si="10"/>
        <v>29500.920000000002</v>
      </c>
      <c r="AS317" s="18">
        <f t="shared" si="11"/>
        <v>0</v>
      </c>
      <c r="AT317" s="12">
        <f t="shared" si="12"/>
        <v>11511.240000000002</v>
      </c>
      <c r="AU317" s="18">
        <f t="shared" si="13"/>
        <v>0</v>
      </c>
      <c r="AV317" s="19">
        <f t="shared" si="14"/>
        <v>0.39019935649464493</v>
      </c>
      <c r="AW317" s="20" t="str">
        <f t="shared" si="15"/>
        <v>July</v>
      </c>
      <c r="AX317" s="21">
        <f t="shared" si="16"/>
        <v>2024</v>
      </c>
    </row>
    <row r="318" spans="1:50" ht="15.75" customHeight="1">
      <c r="A318" s="10" t="s">
        <v>1084</v>
      </c>
      <c r="B318" s="11">
        <v>45338</v>
      </c>
      <c r="C318" s="11">
        <v>45340</v>
      </c>
      <c r="D318" s="10" t="s">
        <v>1085</v>
      </c>
      <c r="E318" s="10" t="s">
        <v>52</v>
      </c>
      <c r="F318" s="10" t="s">
        <v>119</v>
      </c>
      <c r="G318" s="10" t="s">
        <v>54</v>
      </c>
      <c r="H318" s="10" t="s">
        <v>151</v>
      </c>
      <c r="I318" s="10" t="s">
        <v>152</v>
      </c>
      <c r="J318" s="10" t="s">
        <v>57</v>
      </c>
      <c r="K318" s="10" t="s">
        <v>120</v>
      </c>
      <c r="L318" s="10" t="s">
        <v>1086</v>
      </c>
      <c r="M318" s="10" t="s">
        <v>88</v>
      </c>
      <c r="N318" s="12">
        <v>2</v>
      </c>
      <c r="O318" s="12">
        <v>1947.53</v>
      </c>
      <c r="P318" s="12">
        <v>0.2</v>
      </c>
      <c r="Q318" s="12">
        <v>3116.05</v>
      </c>
      <c r="R318" s="12">
        <v>1956.63</v>
      </c>
      <c r="S318" s="12">
        <v>1159.42</v>
      </c>
      <c r="T318" s="10" t="s">
        <v>61</v>
      </c>
      <c r="U318" s="13" t="s">
        <v>97</v>
      </c>
      <c r="V318" s="14" t="e">
        <f t="shared" ca="1" si="0"/>
        <v>#NAME?</v>
      </c>
      <c r="W318" s="10" t="str">
        <f ca="1">IFERROR(__xludf.DUMMYFUNCTION("IF(COUNTIF($A:$A,A312)=1,
""Unique"",
IF(COUNTUNIQUE(FILTER($V$2:$V$934,$A$2:$A$934=A312))&gt;1,
""Conflicting Duplicate"",
""Exact Duplicate""))"),"Unique")</f>
        <v>Unique</v>
      </c>
      <c r="X318" s="10" t="b">
        <f t="shared" ca="1" si="1"/>
        <v>1</v>
      </c>
      <c r="Y318" s="10" t="str">
        <f t="shared" si="2"/>
        <v>Unique</v>
      </c>
      <c r="Z318" s="10"/>
      <c r="AA318" s="10" t="str">
        <f t="shared" si="3"/>
        <v>Clean</v>
      </c>
      <c r="AB318" s="15" t="str">
        <f t="shared" si="4"/>
        <v>Valid</v>
      </c>
      <c r="AC318" s="15">
        <v>2</v>
      </c>
      <c r="AD318" s="16" t="str">
        <f t="shared" si="5"/>
        <v>Valid</v>
      </c>
      <c r="AE318" s="16" t="str">
        <f t="shared" si="6"/>
        <v>Valid</v>
      </c>
      <c r="AF318" s="16" t="str">
        <f t="shared" ref="AF318:AG318" si="647">IF(ISNUMBER(B318),"Valid","Invalid")</f>
        <v>Valid</v>
      </c>
      <c r="AG318" s="16" t="str">
        <f t="shared" si="647"/>
        <v>Valid</v>
      </c>
      <c r="AH318" s="16" t="str">
        <f t="shared" ref="AH318:AI318" si="648">IF(OR(B318="",ISBLANK(B318)),"Missing","Valid")</f>
        <v>Valid</v>
      </c>
      <c r="AI318" s="16" t="str">
        <f t="shared" si="648"/>
        <v>Valid</v>
      </c>
      <c r="AJ318" s="16" t="b">
        <v>0</v>
      </c>
      <c r="AK318" s="16" t="b">
        <v>0</v>
      </c>
      <c r="AL318" s="16" t="b">
        <v>0</v>
      </c>
      <c r="AM318" s="16" t="b">
        <v>0</v>
      </c>
      <c r="AN318" s="16" t="b">
        <v>0</v>
      </c>
      <c r="AO318" s="16" t="b">
        <v>0</v>
      </c>
      <c r="AP318" s="16" t="b">
        <v>0</v>
      </c>
      <c r="AQ318" s="17">
        <f t="shared" si="9"/>
        <v>0.2</v>
      </c>
      <c r="AR318" s="12">
        <f t="shared" si="10"/>
        <v>3116.0480000000002</v>
      </c>
      <c r="AS318" s="18">
        <f t="shared" si="11"/>
        <v>1.9999999999527063E-3</v>
      </c>
      <c r="AT318" s="12">
        <f t="shared" si="12"/>
        <v>1159.4180000000001</v>
      </c>
      <c r="AU318" s="18">
        <f t="shared" si="13"/>
        <v>1.9999999999527063E-3</v>
      </c>
      <c r="AV318" s="19">
        <f t="shared" si="14"/>
        <v>0.37207963420332424</v>
      </c>
      <c r="AW318" s="20" t="str">
        <f t="shared" si="15"/>
        <v>February</v>
      </c>
      <c r="AX318" s="21">
        <f t="shared" si="16"/>
        <v>2024</v>
      </c>
    </row>
    <row r="319" spans="1:50" ht="15.75" customHeight="1">
      <c r="A319" s="10" t="s">
        <v>1087</v>
      </c>
      <c r="B319" s="11">
        <v>45898</v>
      </c>
      <c r="C319" s="11">
        <v>45904</v>
      </c>
      <c r="D319" s="10" t="s">
        <v>1088</v>
      </c>
      <c r="E319" s="10" t="s">
        <v>108</v>
      </c>
      <c r="F319" s="10" t="s">
        <v>119</v>
      </c>
      <c r="G319" s="10" t="s">
        <v>83</v>
      </c>
      <c r="H319" s="10" t="s">
        <v>214</v>
      </c>
      <c r="I319" s="10" t="s">
        <v>215</v>
      </c>
      <c r="J319" s="10" t="s">
        <v>70</v>
      </c>
      <c r="K319" s="10" t="s">
        <v>71</v>
      </c>
      <c r="L319" s="10" t="s">
        <v>1089</v>
      </c>
      <c r="M319" s="10" t="s">
        <v>79</v>
      </c>
      <c r="N319" s="12">
        <v>9</v>
      </c>
      <c r="O319" s="12">
        <v>2996.97</v>
      </c>
      <c r="P319" s="12">
        <v>0.15</v>
      </c>
      <c r="Q319" s="12">
        <v>22926.82</v>
      </c>
      <c r="R319" s="12">
        <v>14621.59</v>
      </c>
      <c r="S319" s="12">
        <v>8305.23</v>
      </c>
      <c r="T319" s="10" t="s">
        <v>61</v>
      </c>
      <c r="U319" s="13" t="s">
        <v>62</v>
      </c>
      <c r="V319" s="14" t="e">
        <f t="shared" ca="1" si="0"/>
        <v>#NAME?</v>
      </c>
      <c r="W319" s="10" t="str">
        <f ca="1">IFERROR(__xludf.DUMMYFUNCTION("IF(COUNTIF($A:$A,A313)=1,
""Unique"",
IF(COUNTUNIQUE(FILTER($V$2:$V$934,$A$2:$A$934=A313))&gt;1,
""Conflicting Duplicate"",
""Exact Duplicate""))"),"Unique")</f>
        <v>Unique</v>
      </c>
      <c r="X319" s="10" t="b">
        <f t="shared" ca="1" si="1"/>
        <v>1</v>
      </c>
      <c r="Y319" s="10" t="str">
        <f t="shared" si="2"/>
        <v>Unique</v>
      </c>
      <c r="Z319" s="10"/>
      <c r="AA319" s="10" t="str">
        <f t="shared" si="3"/>
        <v>Clean</v>
      </c>
      <c r="AB319" s="15" t="str">
        <f t="shared" si="4"/>
        <v>Valid</v>
      </c>
      <c r="AC319" s="15">
        <v>6</v>
      </c>
      <c r="AD319" s="16" t="str">
        <f t="shared" si="5"/>
        <v>Valid</v>
      </c>
      <c r="AE319" s="16" t="str">
        <f t="shared" si="6"/>
        <v>Valid</v>
      </c>
      <c r="AF319" s="16" t="str">
        <f t="shared" ref="AF319:AG319" si="649">IF(ISNUMBER(B319),"Valid","Invalid")</f>
        <v>Valid</v>
      </c>
      <c r="AG319" s="16" t="str">
        <f t="shared" si="649"/>
        <v>Valid</v>
      </c>
      <c r="AH319" s="16" t="str">
        <f t="shared" ref="AH319:AI319" si="650">IF(OR(B319="",ISBLANK(B319)),"Missing","Valid")</f>
        <v>Valid</v>
      </c>
      <c r="AI319" s="16" t="str">
        <f t="shared" si="650"/>
        <v>Valid</v>
      </c>
      <c r="AJ319" s="16" t="b">
        <v>0</v>
      </c>
      <c r="AK319" s="16" t="b">
        <v>0</v>
      </c>
      <c r="AL319" s="16" t="b">
        <v>0</v>
      </c>
      <c r="AM319" s="16" t="b">
        <v>0</v>
      </c>
      <c r="AN319" s="16" t="b">
        <v>0</v>
      </c>
      <c r="AO319" s="16" t="b">
        <v>0</v>
      </c>
      <c r="AP319" s="16" t="b">
        <v>0</v>
      </c>
      <c r="AQ319" s="17">
        <f t="shared" si="9"/>
        <v>0.15</v>
      </c>
      <c r="AR319" s="12">
        <f t="shared" si="10"/>
        <v>22926.820499999998</v>
      </c>
      <c r="AS319" s="18">
        <f t="shared" si="11"/>
        <v>-4.99999998282874E-4</v>
      </c>
      <c r="AT319" s="12">
        <f t="shared" si="12"/>
        <v>8305.2304999999978</v>
      </c>
      <c r="AU319" s="18">
        <f t="shared" si="13"/>
        <v>-4.99999998282874E-4</v>
      </c>
      <c r="AV319" s="19">
        <f t="shared" si="14"/>
        <v>0.36224955396671765</v>
      </c>
      <c r="AW319" s="20" t="str">
        <f t="shared" si="15"/>
        <v>August</v>
      </c>
      <c r="AX319" s="21">
        <f t="shared" si="16"/>
        <v>2025</v>
      </c>
    </row>
    <row r="320" spans="1:50" ht="15.75" customHeight="1">
      <c r="A320" s="10" t="s">
        <v>1090</v>
      </c>
      <c r="B320" s="11">
        <v>45407</v>
      </c>
      <c r="C320" s="11">
        <v>45412</v>
      </c>
      <c r="D320" s="10" t="s">
        <v>1091</v>
      </c>
      <c r="E320" s="10" t="s">
        <v>65</v>
      </c>
      <c r="F320" s="10" t="s">
        <v>66</v>
      </c>
      <c r="G320" s="10" t="s">
        <v>83</v>
      </c>
      <c r="H320" s="10" t="s">
        <v>204</v>
      </c>
      <c r="I320" s="10" t="s">
        <v>205</v>
      </c>
      <c r="J320" s="10" t="s">
        <v>103</v>
      </c>
      <c r="K320" s="10" t="s">
        <v>200</v>
      </c>
      <c r="L320" s="10" t="s">
        <v>1092</v>
      </c>
      <c r="M320" s="10" t="s">
        <v>88</v>
      </c>
      <c r="N320" s="12">
        <v>3</v>
      </c>
      <c r="O320" s="12">
        <v>4149.46</v>
      </c>
      <c r="P320" s="12">
        <v>0.1</v>
      </c>
      <c r="Q320" s="12">
        <v>11203.54</v>
      </c>
      <c r="R320" s="12">
        <v>8452.93</v>
      </c>
      <c r="S320" s="12">
        <v>2750.61</v>
      </c>
      <c r="T320" s="10" t="s">
        <v>61</v>
      </c>
      <c r="U320" s="13" t="s">
        <v>62</v>
      </c>
      <c r="V320" s="14" t="e">
        <f t="shared" ca="1" si="0"/>
        <v>#NAME?</v>
      </c>
      <c r="W320" s="10" t="str">
        <f ca="1">IFERROR(__xludf.DUMMYFUNCTION("IF(COUNTIF($A:$A,A314)=1,
""Unique"",
IF(COUNTUNIQUE(FILTER($V$2:$V$934,$A$2:$A$934=A314))&gt;1,
""Conflicting Duplicate"",
""Exact Duplicate""))"),"Unique")</f>
        <v>Unique</v>
      </c>
      <c r="X320" s="10" t="b">
        <f t="shared" ca="1" si="1"/>
        <v>1</v>
      </c>
      <c r="Y320" s="10" t="str">
        <f t="shared" si="2"/>
        <v>Unique</v>
      </c>
      <c r="Z320" s="10"/>
      <c r="AA320" s="10" t="str">
        <f t="shared" si="3"/>
        <v>Clean</v>
      </c>
      <c r="AB320" s="15" t="str">
        <f t="shared" si="4"/>
        <v>Valid</v>
      </c>
      <c r="AC320" s="15">
        <v>5</v>
      </c>
      <c r="AD320" s="16" t="str">
        <f t="shared" si="5"/>
        <v>Valid</v>
      </c>
      <c r="AE320" s="16" t="str">
        <f t="shared" si="6"/>
        <v>Valid</v>
      </c>
      <c r="AF320" s="16" t="str">
        <f t="shared" ref="AF320:AG320" si="651">IF(ISNUMBER(B320),"Valid","Invalid")</f>
        <v>Valid</v>
      </c>
      <c r="AG320" s="16" t="str">
        <f t="shared" si="651"/>
        <v>Valid</v>
      </c>
      <c r="AH320" s="16" t="str">
        <f t="shared" ref="AH320:AI320" si="652">IF(OR(B320="",ISBLANK(B320)),"Missing","Valid")</f>
        <v>Valid</v>
      </c>
      <c r="AI320" s="16" t="str">
        <f t="shared" si="652"/>
        <v>Valid</v>
      </c>
      <c r="AJ320" s="16" t="b">
        <v>0</v>
      </c>
      <c r="AK320" s="16" t="b">
        <v>0</v>
      </c>
      <c r="AL320" s="16" t="b">
        <v>0</v>
      </c>
      <c r="AM320" s="16" t="b">
        <v>0</v>
      </c>
      <c r="AN320" s="16" t="b">
        <v>0</v>
      </c>
      <c r="AO320" s="16" t="b">
        <v>0</v>
      </c>
      <c r="AP320" s="16" t="b">
        <v>0</v>
      </c>
      <c r="AQ320" s="17">
        <f t="shared" si="9"/>
        <v>0.1</v>
      </c>
      <c r="AR320" s="12">
        <f t="shared" si="10"/>
        <v>11203.542000000001</v>
      </c>
      <c r="AS320" s="18">
        <f t="shared" si="11"/>
        <v>-2.0000000004074536E-3</v>
      </c>
      <c r="AT320" s="12">
        <f t="shared" si="12"/>
        <v>2750.612000000001</v>
      </c>
      <c r="AU320" s="18">
        <f t="shared" si="13"/>
        <v>-2.000000000862201E-3</v>
      </c>
      <c r="AV320" s="19">
        <f t="shared" si="14"/>
        <v>0.24551271374713468</v>
      </c>
      <c r="AW320" s="20" t="str">
        <f t="shared" si="15"/>
        <v>April</v>
      </c>
      <c r="AX320" s="21">
        <f t="shared" si="16"/>
        <v>2024</v>
      </c>
    </row>
    <row r="321" spans="1:50" ht="15.75" customHeight="1">
      <c r="A321" s="10" t="s">
        <v>1093</v>
      </c>
      <c r="B321" s="11">
        <v>45525</v>
      </c>
      <c r="C321" s="11">
        <v>45529</v>
      </c>
      <c r="D321" s="10" t="s">
        <v>1094</v>
      </c>
      <c r="E321" s="10" t="s">
        <v>191</v>
      </c>
      <c r="F321" s="10" t="s">
        <v>53</v>
      </c>
      <c r="G321" s="10" t="s">
        <v>92</v>
      </c>
      <c r="H321" s="10" t="s">
        <v>209</v>
      </c>
      <c r="I321" s="10" t="s">
        <v>210</v>
      </c>
      <c r="J321" s="10" t="s">
        <v>57</v>
      </c>
      <c r="K321" s="10" t="s">
        <v>182</v>
      </c>
      <c r="L321" s="10" t="s">
        <v>1095</v>
      </c>
      <c r="M321" s="10" t="s">
        <v>79</v>
      </c>
      <c r="N321" s="12">
        <v>1</v>
      </c>
      <c r="O321" s="12">
        <v>270.27999999999997</v>
      </c>
      <c r="P321" s="12">
        <v>0</v>
      </c>
      <c r="Q321" s="12">
        <v>270.27999999999997</v>
      </c>
      <c r="R321" s="12">
        <v>156.34</v>
      </c>
      <c r="S321" s="12">
        <v>113.94</v>
      </c>
      <c r="T321" s="10" t="s">
        <v>61</v>
      </c>
      <c r="U321" s="13" t="s">
        <v>62</v>
      </c>
      <c r="V321" s="14" t="e">
        <f t="shared" ca="1" si="0"/>
        <v>#NAME?</v>
      </c>
      <c r="W321" s="10" t="str">
        <f ca="1">IFERROR(__xludf.DUMMYFUNCTION("IF(COUNTIF($A:$A,A315)=1,
""Unique"",
IF(COUNTUNIQUE(FILTER($V$2:$V$934,$A$2:$A$934=A315))&gt;1,
""Conflicting Duplicate"",
""Exact Duplicate""))"),"Unique")</f>
        <v>Unique</v>
      </c>
      <c r="X321" s="10" t="b">
        <f t="shared" ca="1" si="1"/>
        <v>1</v>
      </c>
      <c r="Y321" s="10" t="str">
        <f t="shared" si="2"/>
        <v>Unique</v>
      </c>
      <c r="Z321" s="10"/>
      <c r="AA321" s="10" t="str">
        <f t="shared" si="3"/>
        <v>Clean</v>
      </c>
      <c r="AB321" s="15" t="str">
        <f t="shared" si="4"/>
        <v>Valid</v>
      </c>
      <c r="AC321" s="15">
        <v>4</v>
      </c>
      <c r="AD321" s="16" t="str">
        <f t="shared" si="5"/>
        <v>Valid</v>
      </c>
      <c r="AE321" s="16" t="str">
        <f t="shared" si="6"/>
        <v>Valid</v>
      </c>
      <c r="AF321" s="16" t="str">
        <f t="shared" ref="AF321:AG321" si="653">IF(ISNUMBER(B321),"Valid","Invalid")</f>
        <v>Valid</v>
      </c>
      <c r="AG321" s="16" t="str">
        <f t="shared" si="653"/>
        <v>Valid</v>
      </c>
      <c r="AH321" s="16" t="str">
        <f t="shared" ref="AH321:AI321" si="654">IF(OR(B321="",ISBLANK(B321)),"Missing","Valid")</f>
        <v>Valid</v>
      </c>
      <c r="AI321" s="16" t="str">
        <f t="shared" si="654"/>
        <v>Valid</v>
      </c>
      <c r="AJ321" s="16" t="b">
        <v>0</v>
      </c>
      <c r="AK321" s="16" t="b">
        <v>0</v>
      </c>
      <c r="AL321" s="16" t="b">
        <v>0</v>
      </c>
      <c r="AM321" s="16" t="b">
        <v>0</v>
      </c>
      <c r="AN321" s="16" t="b">
        <v>0</v>
      </c>
      <c r="AO321" s="16" t="b">
        <v>0</v>
      </c>
      <c r="AP321" s="16" t="b">
        <v>0</v>
      </c>
      <c r="AQ321" s="17">
        <f t="shared" si="9"/>
        <v>0</v>
      </c>
      <c r="AR321" s="12">
        <f t="shared" si="10"/>
        <v>270.27999999999997</v>
      </c>
      <c r="AS321" s="18">
        <f t="shared" si="11"/>
        <v>0</v>
      </c>
      <c r="AT321" s="12">
        <f t="shared" si="12"/>
        <v>113.93999999999997</v>
      </c>
      <c r="AU321" s="18">
        <f t="shared" si="13"/>
        <v>0</v>
      </c>
      <c r="AV321" s="19">
        <f t="shared" si="14"/>
        <v>0.42156282373834536</v>
      </c>
      <c r="AW321" s="20" t="str">
        <f t="shared" si="15"/>
        <v>August</v>
      </c>
      <c r="AX321" s="21">
        <f t="shared" si="16"/>
        <v>2024</v>
      </c>
    </row>
    <row r="322" spans="1:50" ht="15.75" customHeight="1">
      <c r="A322" s="10" t="s">
        <v>1096</v>
      </c>
      <c r="B322" s="11">
        <v>45630</v>
      </c>
      <c r="C322" s="11">
        <v>45632</v>
      </c>
      <c r="D322" s="10" t="s">
        <v>1097</v>
      </c>
      <c r="E322" s="10" t="s">
        <v>157</v>
      </c>
      <c r="F322" s="10" t="s">
        <v>124</v>
      </c>
      <c r="G322" s="10" t="s">
        <v>67</v>
      </c>
      <c r="H322" s="10" t="s">
        <v>128</v>
      </c>
      <c r="I322" s="10" t="s">
        <v>129</v>
      </c>
      <c r="J322" s="10" t="s">
        <v>57</v>
      </c>
      <c r="K322" s="10" t="s">
        <v>77</v>
      </c>
      <c r="L322" s="10" t="s">
        <v>1098</v>
      </c>
      <c r="M322" s="10" t="s">
        <v>60</v>
      </c>
      <c r="N322" s="12">
        <v>3</v>
      </c>
      <c r="O322" s="12">
        <v>876.14</v>
      </c>
      <c r="P322" s="10" t="s">
        <v>493</v>
      </c>
      <c r="Q322" s="12">
        <v>2628.42</v>
      </c>
      <c r="R322" s="12">
        <v>1541.54</v>
      </c>
      <c r="S322" s="12">
        <v>1086.8800000000001</v>
      </c>
      <c r="T322" s="10" t="s">
        <v>140</v>
      </c>
      <c r="U322" s="13" t="s">
        <v>132</v>
      </c>
      <c r="V322" s="14" t="e">
        <f t="shared" ca="1" si="0"/>
        <v>#NAME?</v>
      </c>
      <c r="W322" s="10" t="str">
        <f ca="1">IFERROR(__xludf.DUMMYFUNCTION("IF(COUNTIF($A:$A,A316)=1,
""Unique"",
IF(COUNTUNIQUE(FILTER($V$2:$V$934,$A$2:$A$934=A316))&gt;1,
""Conflicting Duplicate"",
""Exact Duplicate""))"),"Conflicting Duplicate")</f>
        <v>Conflicting Duplicate</v>
      </c>
      <c r="X322" s="10" t="b">
        <f t="shared" ca="1" si="1"/>
        <v>1</v>
      </c>
      <c r="Y322" s="10" t="str">
        <f t="shared" si="2"/>
        <v>Unique</v>
      </c>
      <c r="Z322" s="10"/>
      <c r="AA322" s="10" t="str">
        <f t="shared" si="3"/>
        <v>Invalid</v>
      </c>
      <c r="AB322" s="15" t="str">
        <f t="shared" si="4"/>
        <v>Valid</v>
      </c>
      <c r="AC322" s="15">
        <v>2</v>
      </c>
      <c r="AD322" s="16" t="str">
        <f t="shared" si="5"/>
        <v>Valid</v>
      </c>
      <c r="AE322" s="16" t="str">
        <f t="shared" si="6"/>
        <v>Valid</v>
      </c>
      <c r="AF322" s="16" t="str">
        <f t="shared" ref="AF322:AG322" si="655">IF(ISNUMBER(B322),"Valid","Invalid")</f>
        <v>Valid</v>
      </c>
      <c r="AG322" s="16" t="str">
        <f t="shared" si="655"/>
        <v>Valid</v>
      </c>
      <c r="AH322" s="16" t="str">
        <f t="shared" ref="AH322:AI322" si="656">IF(OR(B322="",ISBLANK(B322)),"Missing","Valid")</f>
        <v>Valid</v>
      </c>
      <c r="AI322" s="16" t="str">
        <f t="shared" si="656"/>
        <v>Valid</v>
      </c>
      <c r="AJ322" s="16" t="b">
        <v>0</v>
      </c>
      <c r="AK322" s="16" t="b">
        <v>0</v>
      </c>
      <c r="AL322" s="16" t="b">
        <v>0</v>
      </c>
      <c r="AM322" s="16" t="b">
        <v>0</v>
      </c>
      <c r="AN322" s="16" t="b">
        <v>0</v>
      </c>
      <c r="AO322" s="16" t="b">
        <v>0</v>
      </c>
      <c r="AP322" s="16" t="b">
        <v>0</v>
      </c>
      <c r="AQ322" s="17" t="str">
        <f t="shared" si="9"/>
        <v>70%</v>
      </c>
      <c r="AR322" s="12">
        <f t="shared" si="10"/>
        <v>788.52600000000018</v>
      </c>
      <c r="AS322" s="18">
        <f t="shared" si="11"/>
        <v>1839.8939999999998</v>
      </c>
      <c r="AT322" s="12">
        <f t="shared" si="12"/>
        <v>-753.01399999999978</v>
      </c>
      <c r="AU322" s="18">
        <f t="shared" si="13"/>
        <v>1839.8939999999998</v>
      </c>
      <c r="AV322" s="19">
        <f t="shared" si="14"/>
        <v>-0.95496407220560842</v>
      </c>
      <c r="AW322" s="20" t="str">
        <f t="shared" si="15"/>
        <v>December</v>
      </c>
      <c r="AX322" s="21">
        <f t="shared" si="16"/>
        <v>2024</v>
      </c>
    </row>
    <row r="323" spans="1:50" ht="15.75" customHeight="1">
      <c r="A323" s="10" t="s">
        <v>1099</v>
      </c>
      <c r="B323" s="11">
        <v>45466</v>
      </c>
      <c r="C323" s="11">
        <v>45473</v>
      </c>
      <c r="D323" s="10" t="s">
        <v>1100</v>
      </c>
      <c r="E323" s="10" t="s">
        <v>108</v>
      </c>
      <c r="F323" s="10" t="s">
        <v>66</v>
      </c>
      <c r="G323" s="10" t="s">
        <v>92</v>
      </c>
      <c r="H323" s="10" t="s">
        <v>219</v>
      </c>
      <c r="I323" s="10" t="s">
        <v>220</v>
      </c>
      <c r="J323" s="10" t="s">
        <v>103</v>
      </c>
      <c r="K323" s="10" t="s">
        <v>104</v>
      </c>
      <c r="L323" s="10" t="s">
        <v>1101</v>
      </c>
      <c r="M323" s="10" t="s">
        <v>73</v>
      </c>
      <c r="N323" s="12">
        <v>4</v>
      </c>
      <c r="O323" s="12">
        <v>674.82</v>
      </c>
      <c r="P323" s="12">
        <v>0</v>
      </c>
      <c r="Q323" s="12">
        <v>2699.28</v>
      </c>
      <c r="R323" s="12">
        <v>1759.76</v>
      </c>
      <c r="S323" s="12">
        <v>939.52</v>
      </c>
      <c r="T323" s="10" t="s">
        <v>184</v>
      </c>
      <c r="U323" s="13" t="s">
        <v>97</v>
      </c>
      <c r="V323" s="14" t="e">
        <f t="shared" ca="1" si="0"/>
        <v>#NAME?</v>
      </c>
      <c r="W323" s="10" t="str">
        <f ca="1">IFERROR(__xludf.DUMMYFUNCTION("IF(COUNTIF($A:$A,A317)=1,
""Unique"",
IF(COUNTUNIQUE(FILTER($V$2:$V$934,$A$2:$A$934=A317))&gt;1,
""Conflicting Duplicate"",
""Exact Duplicate""))"),"Unique")</f>
        <v>Unique</v>
      </c>
      <c r="X323" s="10" t="b">
        <f t="shared" ca="1" si="1"/>
        <v>1</v>
      </c>
      <c r="Y323" s="10" t="str">
        <f t="shared" si="2"/>
        <v>Unique</v>
      </c>
      <c r="Z323" s="10"/>
      <c r="AA323" s="10" t="str">
        <f t="shared" si="3"/>
        <v>Clean</v>
      </c>
      <c r="AB323" s="15" t="str">
        <f t="shared" si="4"/>
        <v>Valid</v>
      </c>
      <c r="AC323" s="15">
        <v>7</v>
      </c>
      <c r="AD323" s="16" t="str">
        <f t="shared" si="5"/>
        <v>Valid</v>
      </c>
      <c r="AE323" s="16" t="str">
        <f t="shared" si="6"/>
        <v>Valid</v>
      </c>
      <c r="AF323" s="16" t="str">
        <f t="shared" ref="AF323:AG323" si="657">IF(ISNUMBER(B323),"Valid","Invalid")</f>
        <v>Valid</v>
      </c>
      <c r="AG323" s="16" t="str">
        <f t="shared" si="657"/>
        <v>Valid</v>
      </c>
      <c r="AH323" s="16" t="str">
        <f t="shared" ref="AH323:AI323" si="658">IF(OR(B323="",ISBLANK(B323)),"Missing","Valid")</f>
        <v>Valid</v>
      </c>
      <c r="AI323" s="16" t="str">
        <f t="shared" si="658"/>
        <v>Valid</v>
      </c>
      <c r="AJ323" s="16" t="b">
        <v>0</v>
      </c>
      <c r="AK323" s="16" t="b">
        <v>0</v>
      </c>
      <c r="AL323" s="16" t="b">
        <v>0</v>
      </c>
      <c r="AM323" s="16" t="b">
        <v>0</v>
      </c>
      <c r="AN323" s="16" t="b">
        <v>0</v>
      </c>
      <c r="AO323" s="16" t="b">
        <v>0</v>
      </c>
      <c r="AP323" s="16" t="b">
        <v>0</v>
      </c>
      <c r="AQ323" s="17">
        <f t="shared" si="9"/>
        <v>0</v>
      </c>
      <c r="AR323" s="12">
        <f t="shared" si="10"/>
        <v>2699.28</v>
      </c>
      <c r="AS323" s="18">
        <f t="shared" si="11"/>
        <v>0</v>
      </c>
      <c r="AT323" s="12">
        <f t="shared" si="12"/>
        <v>939.52000000000021</v>
      </c>
      <c r="AU323" s="18">
        <f t="shared" si="13"/>
        <v>0</v>
      </c>
      <c r="AV323" s="19">
        <f t="shared" si="14"/>
        <v>0.34806318722029583</v>
      </c>
      <c r="AW323" s="20" t="str">
        <f t="shared" si="15"/>
        <v>June</v>
      </c>
      <c r="AX323" s="21">
        <f t="shared" si="16"/>
        <v>2024</v>
      </c>
    </row>
    <row r="324" spans="1:50" ht="15.75" customHeight="1">
      <c r="A324" s="10" t="s">
        <v>1102</v>
      </c>
      <c r="B324" s="11">
        <v>45608</v>
      </c>
      <c r="C324" s="11">
        <v>45608</v>
      </c>
      <c r="D324" s="10" t="s">
        <v>1103</v>
      </c>
      <c r="E324" s="10" t="s">
        <v>76</v>
      </c>
      <c r="F324" s="10" t="s">
        <v>53</v>
      </c>
      <c r="G324" s="10" t="s">
        <v>54</v>
      </c>
      <c r="H324" s="10" t="s">
        <v>165</v>
      </c>
      <c r="I324" s="10" t="s">
        <v>166</v>
      </c>
      <c r="J324" s="10" t="s">
        <v>103</v>
      </c>
      <c r="K324" s="10" t="s">
        <v>200</v>
      </c>
      <c r="L324" s="10" t="s">
        <v>1104</v>
      </c>
      <c r="M324" s="10" t="s">
        <v>60</v>
      </c>
      <c r="N324" s="12">
        <v>6</v>
      </c>
      <c r="O324" s="12">
        <v>1369.48</v>
      </c>
      <c r="P324" s="12">
        <v>0.15</v>
      </c>
      <c r="Q324" s="12">
        <v>6984.35</v>
      </c>
      <c r="R324" s="12">
        <v>4023.63</v>
      </c>
      <c r="S324" s="12">
        <v>2960.72</v>
      </c>
      <c r="T324" s="10" t="s">
        <v>61</v>
      </c>
      <c r="U324" s="13" t="s">
        <v>62</v>
      </c>
      <c r="V324" s="14" t="e">
        <f t="shared" ca="1" si="0"/>
        <v>#NAME?</v>
      </c>
      <c r="W324" s="10" t="str">
        <f ca="1">IFERROR(__xludf.DUMMYFUNCTION("IF(COUNTIF($A:$A,A318)=1,
""Unique"",
IF(COUNTUNIQUE(FILTER($V$2:$V$934,$A$2:$A$934=A318))&gt;1,
""Conflicting Duplicate"",
""Exact Duplicate""))"),"Unique")</f>
        <v>Unique</v>
      </c>
      <c r="X324" s="10" t="b">
        <f t="shared" ca="1" si="1"/>
        <v>1</v>
      </c>
      <c r="Y324" s="10" t="str">
        <f t="shared" si="2"/>
        <v>Unique</v>
      </c>
      <c r="Z324" s="10"/>
      <c r="AA324" s="10" t="str">
        <f t="shared" si="3"/>
        <v>Clean</v>
      </c>
      <c r="AB324" s="15" t="str">
        <f t="shared" si="4"/>
        <v>Valid</v>
      </c>
      <c r="AC324" s="15">
        <v>0</v>
      </c>
      <c r="AD324" s="16" t="str">
        <f t="shared" si="5"/>
        <v>Valid</v>
      </c>
      <c r="AE324" s="16" t="str">
        <f t="shared" si="6"/>
        <v>Valid</v>
      </c>
      <c r="AF324" s="16" t="str">
        <f t="shared" ref="AF324:AG324" si="659">IF(ISNUMBER(B324),"Valid","Invalid")</f>
        <v>Valid</v>
      </c>
      <c r="AG324" s="16" t="str">
        <f t="shared" si="659"/>
        <v>Valid</v>
      </c>
      <c r="AH324" s="16" t="str">
        <f t="shared" ref="AH324:AI324" si="660">IF(OR(B324="",ISBLANK(B324)),"Missing","Valid")</f>
        <v>Valid</v>
      </c>
      <c r="AI324" s="16" t="str">
        <f t="shared" si="660"/>
        <v>Valid</v>
      </c>
      <c r="AJ324" s="16" t="b">
        <v>0</v>
      </c>
      <c r="AK324" s="16" t="b">
        <v>0</v>
      </c>
      <c r="AL324" s="16" t="b">
        <v>0</v>
      </c>
      <c r="AM324" s="16" t="b">
        <v>0</v>
      </c>
      <c r="AN324" s="16" t="b">
        <v>0</v>
      </c>
      <c r="AO324" s="16" t="b">
        <v>0</v>
      </c>
      <c r="AP324" s="16" t="b">
        <v>0</v>
      </c>
      <c r="AQ324" s="17">
        <f t="shared" si="9"/>
        <v>0.15</v>
      </c>
      <c r="AR324" s="12">
        <f t="shared" si="10"/>
        <v>6984.3480000000009</v>
      </c>
      <c r="AS324" s="18">
        <f t="shared" si="11"/>
        <v>1.9999999994979589E-3</v>
      </c>
      <c r="AT324" s="12">
        <f t="shared" si="12"/>
        <v>2960.7180000000008</v>
      </c>
      <c r="AU324" s="18">
        <f t="shared" si="13"/>
        <v>1.9999999990432116E-3</v>
      </c>
      <c r="AV324" s="19">
        <f t="shared" si="14"/>
        <v>0.42390757161584736</v>
      </c>
      <c r="AW324" s="20" t="str">
        <f t="shared" si="15"/>
        <v>November</v>
      </c>
      <c r="AX324" s="21">
        <f t="shared" si="16"/>
        <v>2024</v>
      </c>
    </row>
    <row r="325" spans="1:50" ht="15.75" customHeight="1">
      <c r="A325" s="10" t="s">
        <v>1105</v>
      </c>
      <c r="B325" s="11">
        <v>45347</v>
      </c>
      <c r="C325" s="11">
        <v>45351</v>
      </c>
      <c r="D325" s="10" t="s">
        <v>1106</v>
      </c>
      <c r="E325" s="10" t="s">
        <v>76</v>
      </c>
      <c r="F325" s="10" t="s">
        <v>66</v>
      </c>
      <c r="G325" s="10" t="s">
        <v>92</v>
      </c>
      <c r="H325" s="10" t="s">
        <v>219</v>
      </c>
      <c r="I325" s="10" t="s">
        <v>220</v>
      </c>
      <c r="J325" s="10" t="s">
        <v>70</v>
      </c>
      <c r="K325" s="10" t="s">
        <v>86</v>
      </c>
      <c r="L325" s="10" t="s">
        <v>179</v>
      </c>
      <c r="M325" s="10" t="s">
        <v>88</v>
      </c>
      <c r="N325" s="12">
        <v>9</v>
      </c>
      <c r="O325" s="12">
        <v>1331.46</v>
      </c>
      <c r="P325" s="12">
        <v>0.15</v>
      </c>
      <c r="Q325" s="12">
        <v>10185.67</v>
      </c>
      <c r="R325" s="12">
        <v>6479.31</v>
      </c>
      <c r="S325" s="12">
        <v>3706.36</v>
      </c>
      <c r="T325" s="10" t="s">
        <v>61</v>
      </c>
      <c r="U325" s="13" t="s">
        <v>62</v>
      </c>
      <c r="V325" s="14" t="e">
        <f t="shared" ca="1" si="0"/>
        <v>#NAME?</v>
      </c>
      <c r="W325" s="10" t="str">
        <f ca="1">IFERROR(__xludf.DUMMYFUNCTION("IF(COUNTIF($A:$A,A319)=1,
""Unique"",
IF(COUNTUNIQUE(FILTER($V$2:$V$934,$A$2:$A$934=A319))&gt;1,
""Conflicting Duplicate"",
""Exact Duplicate""))"),"Unique")</f>
        <v>Unique</v>
      </c>
      <c r="X325" s="10" t="b">
        <f t="shared" ca="1" si="1"/>
        <v>1</v>
      </c>
      <c r="Y325" s="10" t="str">
        <f t="shared" si="2"/>
        <v>Unique</v>
      </c>
      <c r="Z325" s="10"/>
      <c r="AA325" s="10" t="str">
        <f t="shared" si="3"/>
        <v>Clean</v>
      </c>
      <c r="AB325" s="15" t="str">
        <f t="shared" si="4"/>
        <v>Valid</v>
      </c>
      <c r="AC325" s="15">
        <v>4</v>
      </c>
      <c r="AD325" s="16" t="str">
        <f t="shared" si="5"/>
        <v>Valid</v>
      </c>
      <c r="AE325" s="16" t="str">
        <f t="shared" si="6"/>
        <v>Valid</v>
      </c>
      <c r="AF325" s="16" t="str">
        <f t="shared" ref="AF325:AG325" si="661">IF(ISNUMBER(B325),"Valid","Invalid")</f>
        <v>Valid</v>
      </c>
      <c r="AG325" s="16" t="str">
        <f t="shared" si="661"/>
        <v>Valid</v>
      </c>
      <c r="AH325" s="16" t="str">
        <f t="shared" ref="AH325:AI325" si="662">IF(OR(B325="",ISBLANK(B325)),"Missing","Valid")</f>
        <v>Valid</v>
      </c>
      <c r="AI325" s="16" t="str">
        <f t="shared" si="662"/>
        <v>Valid</v>
      </c>
      <c r="AJ325" s="16" t="b">
        <v>0</v>
      </c>
      <c r="AK325" s="16" t="b">
        <v>0</v>
      </c>
      <c r="AL325" s="16" t="b">
        <v>0</v>
      </c>
      <c r="AM325" s="16" t="b">
        <v>0</v>
      </c>
      <c r="AN325" s="16" t="b">
        <v>0</v>
      </c>
      <c r="AO325" s="16" t="b">
        <v>0</v>
      </c>
      <c r="AP325" s="16" t="b">
        <v>0</v>
      </c>
      <c r="AQ325" s="17">
        <f t="shared" si="9"/>
        <v>0.15</v>
      </c>
      <c r="AR325" s="12">
        <f t="shared" si="10"/>
        <v>10185.669</v>
      </c>
      <c r="AS325" s="18">
        <f t="shared" si="11"/>
        <v>1.0000000002037268E-3</v>
      </c>
      <c r="AT325" s="12">
        <f t="shared" si="12"/>
        <v>3706.3589999999995</v>
      </c>
      <c r="AU325" s="18">
        <f t="shared" si="13"/>
        <v>1.0000000006584742E-3</v>
      </c>
      <c r="AV325" s="19">
        <f t="shared" si="14"/>
        <v>0.36387978050337189</v>
      </c>
      <c r="AW325" s="20" t="str">
        <f t="shared" si="15"/>
        <v>February</v>
      </c>
      <c r="AX325" s="21">
        <f t="shared" si="16"/>
        <v>2024</v>
      </c>
    </row>
    <row r="326" spans="1:50" ht="15.75" customHeight="1">
      <c r="A326" s="10" t="s">
        <v>1107</v>
      </c>
      <c r="B326" s="11">
        <v>45869</v>
      </c>
      <c r="C326" s="11">
        <v>45871</v>
      </c>
      <c r="D326" s="10" t="s">
        <v>1108</v>
      </c>
      <c r="E326" s="10" t="s">
        <v>170</v>
      </c>
      <c r="F326" s="10" t="s">
        <v>124</v>
      </c>
      <c r="G326" s="10" t="s">
        <v>83</v>
      </c>
      <c r="H326" s="10" t="s">
        <v>113</v>
      </c>
      <c r="I326" s="10" t="s">
        <v>114</v>
      </c>
      <c r="J326" s="10" t="s">
        <v>57</v>
      </c>
      <c r="K326" s="10" t="s">
        <v>120</v>
      </c>
      <c r="L326" s="10" t="s">
        <v>1109</v>
      </c>
      <c r="M326" s="10" t="s">
        <v>73</v>
      </c>
      <c r="N326" s="12">
        <v>1</v>
      </c>
      <c r="O326" s="12">
        <v>1947.88</v>
      </c>
      <c r="P326" s="12">
        <v>0.15</v>
      </c>
      <c r="Q326" s="12">
        <v>1655.7</v>
      </c>
      <c r="R326" s="12">
        <v>1354.8</v>
      </c>
      <c r="S326" s="12">
        <v>300.89999999999998</v>
      </c>
      <c r="T326" s="10" t="s">
        <v>61</v>
      </c>
      <c r="U326" s="13" t="s">
        <v>132</v>
      </c>
      <c r="V326" s="14" t="e">
        <f t="shared" ca="1" si="0"/>
        <v>#NAME?</v>
      </c>
      <c r="W326" s="10" t="str">
        <f ca="1">IFERROR(__xludf.DUMMYFUNCTION("IF(COUNTIF($A:$A,A320)=1,
""Unique"",
IF(COUNTUNIQUE(FILTER($V$2:$V$934,$A$2:$A$934=A320))&gt;1,
""Conflicting Duplicate"",
""Exact Duplicate""))"),"Unique")</f>
        <v>Unique</v>
      </c>
      <c r="X326" s="10" t="b">
        <f t="shared" ca="1" si="1"/>
        <v>1</v>
      </c>
      <c r="Y326" s="10" t="str">
        <f t="shared" si="2"/>
        <v>Unique</v>
      </c>
      <c r="Z326" s="10"/>
      <c r="AA326" s="10" t="str">
        <f t="shared" si="3"/>
        <v>Clean</v>
      </c>
      <c r="AB326" s="15" t="str">
        <f t="shared" si="4"/>
        <v>Valid</v>
      </c>
      <c r="AC326" s="15">
        <v>2</v>
      </c>
      <c r="AD326" s="16" t="str">
        <f t="shared" si="5"/>
        <v>Valid</v>
      </c>
      <c r="AE326" s="16" t="str">
        <f t="shared" si="6"/>
        <v>Valid</v>
      </c>
      <c r="AF326" s="16" t="str">
        <f t="shared" ref="AF326:AG326" si="663">IF(ISNUMBER(B326),"Valid","Invalid")</f>
        <v>Valid</v>
      </c>
      <c r="AG326" s="16" t="str">
        <f t="shared" si="663"/>
        <v>Valid</v>
      </c>
      <c r="AH326" s="16" t="str">
        <f t="shared" ref="AH326:AI326" si="664">IF(OR(B326="",ISBLANK(B326)),"Missing","Valid")</f>
        <v>Valid</v>
      </c>
      <c r="AI326" s="16" t="str">
        <f t="shared" si="664"/>
        <v>Valid</v>
      </c>
      <c r="AJ326" s="16" t="b">
        <v>0</v>
      </c>
      <c r="AK326" s="16" t="b">
        <v>0</v>
      </c>
      <c r="AL326" s="16" t="b">
        <v>0</v>
      </c>
      <c r="AM326" s="16" t="b">
        <v>0</v>
      </c>
      <c r="AN326" s="16" t="b">
        <v>0</v>
      </c>
      <c r="AO326" s="16" t="b">
        <v>0</v>
      </c>
      <c r="AP326" s="16" t="b">
        <v>0</v>
      </c>
      <c r="AQ326" s="17">
        <f t="shared" si="9"/>
        <v>0.15</v>
      </c>
      <c r="AR326" s="12">
        <f t="shared" si="10"/>
        <v>1655.6980000000001</v>
      </c>
      <c r="AS326" s="18">
        <f t="shared" si="11"/>
        <v>1.9999999999527063E-3</v>
      </c>
      <c r="AT326" s="12">
        <f t="shared" si="12"/>
        <v>300.89800000000014</v>
      </c>
      <c r="AU326" s="18">
        <f t="shared" si="13"/>
        <v>1.9999999998390194E-3</v>
      </c>
      <c r="AV326" s="19">
        <f t="shared" si="14"/>
        <v>0.1817348332848141</v>
      </c>
      <c r="AW326" s="20" t="str">
        <f t="shared" si="15"/>
        <v>July</v>
      </c>
      <c r="AX326" s="21">
        <f t="shared" si="16"/>
        <v>2025</v>
      </c>
    </row>
    <row r="327" spans="1:50" ht="15.75" customHeight="1">
      <c r="A327" s="10" t="s">
        <v>1110</v>
      </c>
      <c r="B327" s="11">
        <v>45916</v>
      </c>
      <c r="C327" s="11">
        <v>45922</v>
      </c>
      <c r="D327" s="10" t="s">
        <v>1111</v>
      </c>
      <c r="E327" s="10" t="s">
        <v>161</v>
      </c>
      <c r="F327" s="10" t="s">
        <v>124</v>
      </c>
      <c r="G327" s="10" t="s">
        <v>67</v>
      </c>
      <c r="H327" s="10" t="s">
        <v>128</v>
      </c>
      <c r="I327" s="10" t="s">
        <v>129</v>
      </c>
      <c r="J327" s="10" t="s">
        <v>103</v>
      </c>
      <c r="K327" s="10" t="s">
        <v>109</v>
      </c>
      <c r="L327" s="10" t="s">
        <v>1112</v>
      </c>
      <c r="M327" s="10" t="s">
        <v>60</v>
      </c>
      <c r="N327" s="12">
        <v>5</v>
      </c>
      <c r="O327" s="12">
        <v>3671.2</v>
      </c>
      <c r="P327" s="12">
        <v>0.15</v>
      </c>
      <c r="Q327" s="12">
        <v>15602.6</v>
      </c>
      <c r="R327" s="12">
        <v>11908.52</v>
      </c>
      <c r="S327" s="12">
        <v>3694.08</v>
      </c>
      <c r="T327" s="10" t="s">
        <v>61</v>
      </c>
      <c r="U327" s="13" t="s">
        <v>62</v>
      </c>
      <c r="V327" s="14" t="e">
        <f t="shared" ca="1" si="0"/>
        <v>#NAME?</v>
      </c>
      <c r="W327" s="10" t="str">
        <f ca="1">IFERROR(__xludf.DUMMYFUNCTION("IF(COUNTIF($A:$A,A321)=1,
""Unique"",
IF(COUNTUNIQUE(FILTER($V$2:$V$934,$A$2:$A$934=A321))&gt;1,
""Conflicting Duplicate"",
""Exact Duplicate""))"),"Unique")</f>
        <v>Unique</v>
      </c>
      <c r="X327" s="10" t="b">
        <f t="shared" ca="1" si="1"/>
        <v>1</v>
      </c>
      <c r="Y327" s="10" t="str">
        <f t="shared" si="2"/>
        <v>Unique</v>
      </c>
      <c r="Z327" s="10"/>
      <c r="AA327" s="10" t="str">
        <f t="shared" si="3"/>
        <v>Clean</v>
      </c>
      <c r="AB327" s="15" t="str">
        <f t="shared" si="4"/>
        <v>Valid</v>
      </c>
      <c r="AC327" s="15">
        <v>6</v>
      </c>
      <c r="AD327" s="16" t="str">
        <f t="shared" si="5"/>
        <v>Valid</v>
      </c>
      <c r="AE327" s="16" t="str">
        <f t="shared" si="6"/>
        <v>Valid</v>
      </c>
      <c r="AF327" s="16" t="str">
        <f t="shared" ref="AF327:AG327" si="665">IF(ISNUMBER(B327),"Valid","Invalid")</f>
        <v>Valid</v>
      </c>
      <c r="AG327" s="16" t="str">
        <f t="shared" si="665"/>
        <v>Valid</v>
      </c>
      <c r="AH327" s="16" t="str">
        <f t="shared" ref="AH327:AI327" si="666">IF(OR(B327="",ISBLANK(B327)),"Missing","Valid")</f>
        <v>Valid</v>
      </c>
      <c r="AI327" s="16" t="str">
        <f t="shared" si="666"/>
        <v>Valid</v>
      </c>
      <c r="AJ327" s="16" t="b">
        <v>0</v>
      </c>
      <c r="AK327" s="16" t="b">
        <v>0</v>
      </c>
      <c r="AL327" s="16" t="b">
        <v>0</v>
      </c>
      <c r="AM327" s="16" t="b">
        <v>0</v>
      </c>
      <c r="AN327" s="16" t="b">
        <v>0</v>
      </c>
      <c r="AO327" s="16" t="b">
        <v>0</v>
      </c>
      <c r="AP327" s="16" t="b">
        <v>0</v>
      </c>
      <c r="AQ327" s="17">
        <f t="shared" si="9"/>
        <v>0.15</v>
      </c>
      <c r="AR327" s="12">
        <f t="shared" si="10"/>
        <v>15602.6</v>
      </c>
      <c r="AS327" s="18">
        <f t="shared" si="11"/>
        <v>0</v>
      </c>
      <c r="AT327" s="12">
        <f t="shared" si="12"/>
        <v>3694.08</v>
      </c>
      <c r="AU327" s="18">
        <f t="shared" si="13"/>
        <v>0</v>
      </c>
      <c r="AV327" s="19">
        <f t="shared" si="14"/>
        <v>0.236760539910015</v>
      </c>
      <c r="AW327" s="20" t="str">
        <f t="shared" si="15"/>
        <v>September</v>
      </c>
      <c r="AX327" s="21">
        <f t="shared" si="16"/>
        <v>2025</v>
      </c>
    </row>
    <row r="328" spans="1:50" ht="15.75" customHeight="1">
      <c r="A328" s="10" t="s">
        <v>1113</v>
      </c>
      <c r="B328" s="11">
        <v>45860</v>
      </c>
      <c r="C328" s="11">
        <v>45860</v>
      </c>
      <c r="D328" s="10" t="s">
        <v>1114</v>
      </c>
      <c r="E328" s="10" t="s">
        <v>161</v>
      </c>
      <c r="F328" s="10" t="s">
        <v>119</v>
      </c>
      <c r="G328" s="10" t="s">
        <v>67</v>
      </c>
      <c r="H328" s="10" t="s">
        <v>258</v>
      </c>
      <c r="I328" s="10" t="s">
        <v>259</v>
      </c>
      <c r="J328" s="10" t="s">
        <v>70</v>
      </c>
      <c r="K328" s="10" t="s">
        <v>86</v>
      </c>
      <c r="L328" s="10" t="s">
        <v>1115</v>
      </c>
      <c r="M328" s="10" t="s">
        <v>73</v>
      </c>
      <c r="N328" s="12">
        <v>5</v>
      </c>
      <c r="O328" s="12">
        <v>3187.05</v>
      </c>
      <c r="P328" s="12">
        <v>0.05</v>
      </c>
      <c r="Q328" s="12">
        <v>15138.49</v>
      </c>
      <c r="R328" s="12">
        <v>11235.72</v>
      </c>
      <c r="S328" s="12">
        <v>3902.77</v>
      </c>
      <c r="T328" s="10" t="s">
        <v>61</v>
      </c>
      <c r="U328" s="13" t="s">
        <v>62</v>
      </c>
      <c r="V328" s="14" t="e">
        <f t="shared" ca="1" si="0"/>
        <v>#NAME?</v>
      </c>
      <c r="W328" s="10" t="str">
        <f ca="1">IFERROR(__xludf.DUMMYFUNCTION("IF(COUNTIF($A:$A,A322)=1,
""Unique"",
IF(COUNTUNIQUE(FILTER($V$2:$V$934,$A$2:$A$934=A322))&gt;1,
""Conflicting Duplicate"",
""Exact Duplicate""))"),"Unique")</f>
        <v>Unique</v>
      </c>
      <c r="X328" s="10" t="b">
        <f t="shared" ca="1" si="1"/>
        <v>1</v>
      </c>
      <c r="Y328" s="10" t="str">
        <f t="shared" si="2"/>
        <v>Unique</v>
      </c>
      <c r="Z328" s="10"/>
      <c r="AA328" s="10" t="str">
        <f t="shared" si="3"/>
        <v>Clean</v>
      </c>
      <c r="AB328" s="15" t="str">
        <f t="shared" si="4"/>
        <v>Valid</v>
      </c>
      <c r="AC328" s="15">
        <v>0</v>
      </c>
      <c r="AD328" s="16" t="str">
        <f t="shared" si="5"/>
        <v>Valid</v>
      </c>
      <c r="AE328" s="16" t="str">
        <f t="shared" si="6"/>
        <v>Valid</v>
      </c>
      <c r="AF328" s="16" t="str">
        <f t="shared" ref="AF328:AG328" si="667">IF(ISNUMBER(B328),"Valid","Invalid")</f>
        <v>Valid</v>
      </c>
      <c r="AG328" s="16" t="str">
        <f t="shared" si="667"/>
        <v>Valid</v>
      </c>
      <c r="AH328" s="16" t="str">
        <f t="shared" ref="AH328:AI328" si="668">IF(OR(B328="",ISBLANK(B328)),"Missing","Valid")</f>
        <v>Valid</v>
      </c>
      <c r="AI328" s="16" t="str">
        <f t="shared" si="668"/>
        <v>Valid</v>
      </c>
      <c r="AJ328" s="16" t="b">
        <v>0</v>
      </c>
      <c r="AK328" s="16" t="b">
        <v>0</v>
      </c>
      <c r="AL328" s="16" t="b">
        <v>0</v>
      </c>
      <c r="AM328" s="16" t="b">
        <v>0</v>
      </c>
      <c r="AN328" s="16" t="b">
        <v>0</v>
      </c>
      <c r="AO328" s="16" t="b">
        <v>0</v>
      </c>
      <c r="AP328" s="16" t="b">
        <v>0</v>
      </c>
      <c r="AQ328" s="17">
        <f t="shared" si="9"/>
        <v>0.05</v>
      </c>
      <c r="AR328" s="12">
        <f t="shared" si="10"/>
        <v>15138.487499999999</v>
      </c>
      <c r="AS328" s="18">
        <f t="shared" si="11"/>
        <v>2.500000000509317E-3</v>
      </c>
      <c r="AT328" s="12">
        <f t="shared" si="12"/>
        <v>3902.7674999999999</v>
      </c>
      <c r="AU328" s="18">
        <f t="shared" si="13"/>
        <v>2.5000000000545697E-3</v>
      </c>
      <c r="AV328" s="19">
        <f t="shared" si="14"/>
        <v>0.25780432160082045</v>
      </c>
      <c r="AW328" s="20" t="str">
        <f t="shared" si="15"/>
        <v>July</v>
      </c>
      <c r="AX328" s="21">
        <f t="shared" si="16"/>
        <v>2025</v>
      </c>
    </row>
    <row r="329" spans="1:50" ht="15.75" customHeight="1">
      <c r="A329" s="10" t="s">
        <v>1116</v>
      </c>
      <c r="B329" s="11">
        <v>45497</v>
      </c>
      <c r="C329" s="11">
        <v>45500</v>
      </c>
      <c r="D329" s="10" t="s">
        <v>1117</v>
      </c>
      <c r="E329" s="10" t="s">
        <v>76</v>
      </c>
      <c r="F329" s="10" t="s">
        <v>53</v>
      </c>
      <c r="G329" s="10" t="s">
        <v>92</v>
      </c>
      <c r="H329" s="10" t="s">
        <v>55</v>
      </c>
      <c r="I329" s="10" t="s">
        <v>138</v>
      </c>
      <c r="J329" s="10" t="s">
        <v>103</v>
      </c>
      <c r="K329" s="10" t="s">
        <v>104</v>
      </c>
      <c r="L329" s="10" t="s">
        <v>1118</v>
      </c>
      <c r="M329" s="10" t="s">
        <v>60</v>
      </c>
      <c r="N329" s="12">
        <v>3</v>
      </c>
      <c r="O329" s="12">
        <v>1834.55</v>
      </c>
      <c r="P329" s="12">
        <v>0.2</v>
      </c>
      <c r="Q329" s="12">
        <v>4402.92</v>
      </c>
      <c r="R329" s="12">
        <v>2993.94</v>
      </c>
      <c r="S329" s="12">
        <v>1408.98</v>
      </c>
      <c r="T329" s="10" t="s">
        <v>140</v>
      </c>
      <c r="U329" s="13" t="s">
        <v>97</v>
      </c>
      <c r="V329" s="14" t="e">
        <f t="shared" ca="1" si="0"/>
        <v>#NAME?</v>
      </c>
      <c r="W329" s="10" t="str">
        <f ca="1">IFERROR(__xludf.DUMMYFUNCTION("IF(COUNTIF($A:$A,A323)=1,
""Unique"",
IF(COUNTUNIQUE(FILTER($V$2:$V$934,$A$2:$A$934=A323))&gt;1,
""Conflicting Duplicate"",
""Exact Duplicate""))"),"Unique")</f>
        <v>Unique</v>
      </c>
      <c r="X329" s="10" t="b">
        <f t="shared" ca="1" si="1"/>
        <v>1</v>
      </c>
      <c r="Y329" s="10" t="str">
        <f t="shared" si="2"/>
        <v>Unique</v>
      </c>
      <c r="Z329" s="10"/>
      <c r="AA329" s="10" t="str">
        <f t="shared" si="3"/>
        <v>Clean</v>
      </c>
      <c r="AB329" s="15" t="str">
        <f t="shared" si="4"/>
        <v>Valid</v>
      </c>
      <c r="AC329" s="15">
        <v>3</v>
      </c>
      <c r="AD329" s="16" t="str">
        <f t="shared" si="5"/>
        <v>Valid</v>
      </c>
      <c r="AE329" s="16" t="str">
        <f t="shared" si="6"/>
        <v>Valid</v>
      </c>
      <c r="AF329" s="16" t="str">
        <f t="shared" ref="AF329:AG329" si="669">IF(ISNUMBER(B329),"Valid","Invalid")</f>
        <v>Valid</v>
      </c>
      <c r="AG329" s="16" t="str">
        <f t="shared" si="669"/>
        <v>Valid</v>
      </c>
      <c r="AH329" s="16" t="str">
        <f t="shared" ref="AH329:AI329" si="670">IF(OR(B329="",ISBLANK(B329)),"Missing","Valid")</f>
        <v>Valid</v>
      </c>
      <c r="AI329" s="16" t="str">
        <f t="shared" si="670"/>
        <v>Valid</v>
      </c>
      <c r="AJ329" s="16" t="b">
        <v>0</v>
      </c>
      <c r="AK329" s="16" t="b">
        <v>0</v>
      </c>
      <c r="AL329" s="16" t="b">
        <v>0</v>
      </c>
      <c r="AM329" s="16" t="b">
        <v>0</v>
      </c>
      <c r="AN329" s="16" t="b">
        <v>0</v>
      </c>
      <c r="AO329" s="16" t="b">
        <v>0</v>
      </c>
      <c r="AP329" s="16" t="b">
        <v>0</v>
      </c>
      <c r="AQ329" s="17">
        <f t="shared" si="9"/>
        <v>0.2</v>
      </c>
      <c r="AR329" s="12">
        <f t="shared" si="10"/>
        <v>4402.92</v>
      </c>
      <c r="AS329" s="18">
        <f t="shared" si="11"/>
        <v>0</v>
      </c>
      <c r="AT329" s="12">
        <f t="shared" si="12"/>
        <v>1408.98</v>
      </c>
      <c r="AU329" s="18">
        <f t="shared" si="13"/>
        <v>0</v>
      </c>
      <c r="AV329" s="19">
        <f t="shared" si="14"/>
        <v>0.32001035676323897</v>
      </c>
      <c r="AW329" s="20" t="str">
        <f t="shared" si="15"/>
        <v>July</v>
      </c>
      <c r="AX329" s="21">
        <f t="shared" si="16"/>
        <v>2024</v>
      </c>
    </row>
    <row r="330" spans="1:50" ht="15.75" customHeight="1">
      <c r="A330" s="10" t="s">
        <v>1119</v>
      </c>
      <c r="B330" s="11">
        <v>45806</v>
      </c>
      <c r="C330" s="11">
        <v>45812</v>
      </c>
      <c r="D330" s="10" t="s">
        <v>1120</v>
      </c>
      <c r="E330" s="10" t="s">
        <v>191</v>
      </c>
      <c r="F330" s="10" t="s">
        <v>53</v>
      </c>
      <c r="G330" s="10" t="s">
        <v>92</v>
      </c>
      <c r="H330" s="10" t="s">
        <v>93</v>
      </c>
      <c r="I330" s="10" t="s">
        <v>94</v>
      </c>
      <c r="J330" s="10" t="s">
        <v>57</v>
      </c>
      <c r="K330" s="10" t="s">
        <v>153</v>
      </c>
      <c r="L330" s="10" t="s">
        <v>1121</v>
      </c>
      <c r="M330" s="10" t="s">
        <v>79</v>
      </c>
      <c r="N330" s="12">
        <v>6</v>
      </c>
      <c r="O330" s="12">
        <v>3100.68</v>
      </c>
      <c r="P330" s="12">
        <v>0</v>
      </c>
      <c r="Q330" s="12">
        <v>18604.080000000002</v>
      </c>
      <c r="R330" s="12">
        <v>15834.3</v>
      </c>
      <c r="S330" s="12">
        <v>2769.78</v>
      </c>
      <c r="T330" s="10" t="s">
        <v>61</v>
      </c>
      <c r="U330" s="13" t="s">
        <v>62</v>
      </c>
      <c r="V330" s="14" t="e">
        <f t="shared" ca="1" si="0"/>
        <v>#NAME?</v>
      </c>
      <c r="W330" s="10" t="str">
        <f ca="1">IFERROR(__xludf.DUMMYFUNCTION("IF(COUNTIF($A:$A,A324)=1,
""Unique"",
IF(COUNTUNIQUE(FILTER($V$2:$V$934,$A$2:$A$934=A324))&gt;1,
""Conflicting Duplicate"",
""Exact Duplicate""))"),"Unique")</f>
        <v>Unique</v>
      </c>
      <c r="X330" s="10" t="b">
        <f t="shared" ca="1" si="1"/>
        <v>1</v>
      </c>
      <c r="Y330" s="10" t="str">
        <f t="shared" si="2"/>
        <v>Unique</v>
      </c>
      <c r="Z330" s="10"/>
      <c r="AA330" s="10" t="str">
        <f t="shared" si="3"/>
        <v>Clean</v>
      </c>
      <c r="AB330" s="15" t="str">
        <f t="shared" si="4"/>
        <v>Valid</v>
      </c>
      <c r="AC330" s="15">
        <v>6</v>
      </c>
      <c r="AD330" s="16" t="str">
        <f t="shared" si="5"/>
        <v>Valid</v>
      </c>
      <c r="AE330" s="16" t="str">
        <f t="shared" si="6"/>
        <v>Valid</v>
      </c>
      <c r="AF330" s="16" t="str">
        <f t="shared" ref="AF330:AG330" si="671">IF(ISNUMBER(B330),"Valid","Invalid")</f>
        <v>Valid</v>
      </c>
      <c r="AG330" s="16" t="str">
        <f t="shared" si="671"/>
        <v>Valid</v>
      </c>
      <c r="AH330" s="16" t="str">
        <f t="shared" ref="AH330:AI330" si="672">IF(OR(B330="",ISBLANK(B330)),"Missing","Valid")</f>
        <v>Valid</v>
      </c>
      <c r="AI330" s="16" t="str">
        <f t="shared" si="672"/>
        <v>Valid</v>
      </c>
      <c r="AJ330" s="16" t="b">
        <v>0</v>
      </c>
      <c r="AK330" s="16" t="b">
        <v>0</v>
      </c>
      <c r="AL330" s="16" t="b">
        <v>0</v>
      </c>
      <c r="AM330" s="16" t="b">
        <v>0</v>
      </c>
      <c r="AN330" s="16" t="b">
        <v>0</v>
      </c>
      <c r="AO330" s="16" t="b">
        <v>0</v>
      </c>
      <c r="AP330" s="16" t="b">
        <v>0</v>
      </c>
      <c r="AQ330" s="17">
        <f t="shared" si="9"/>
        <v>0</v>
      </c>
      <c r="AR330" s="12">
        <f t="shared" si="10"/>
        <v>18604.079999999998</v>
      </c>
      <c r="AS330" s="18">
        <f t="shared" si="11"/>
        <v>0</v>
      </c>
      <c r="AT330" s="12">
        <f t="shared" si="12"/>
        <v>2769.7799999999988</v>
      </c>
      <c r="AU330" s="18">
        <f t="shared" si="13"/>
        <v>0</v>
      </c>
      <c r="AV330" s="19">
        <f t="shared" si="14"/>
        <v>0.1488802456235406</v>
      </c>
      <c r="AW330" s="20" t="str">
        <f t="shared" si="15"/>
        <v>May</v>
      </c>
      <c r="AX330" s="21">
        <f t="shared" si="16"/>
        <v>2025</v>
      </c>
    </row>
    <row r="331" spans="1:50" ht="15.75" customHeight="1">
      <c r="A331" s="10" t="s">
        <v>1122</v>
      </c>
      <c r="B331" s="11">
        <v>45789</v>
      </c>
      <c r="C331" s="11">
        <v>45795</v>
      </c>
      <c r="D331" s="10" t="s">
        <v>1123</v>
      </c>
      <c r="E331" s="10" t="s">
        <v>108</v>
      </c>
      <c r="F331" s="10" t="s">
        <v>66</v>
      </c>
      <c r="G331" s="10" t="s">
        <v>92</v>
      </c>
      <c r="H331" s="10" t="s">
        <v>93</v>
      </c>
      <c r="I331" s="10" t="s">
        <v>94</v>
      </c>
      <c r="J331" s="10" t="s">
        <v>57</v>
      </c>
      <c r="K331" s="10" t="s">
        <v>153</v>
      </c>
      <c r="L331" s="10" t="s">
        <v>1124</v>
      </c>
      <c r="M331" s="10" t="s">
        <v>88</v>
      </c>
      <c r="N331" s="12">
        <v>4</v>
      </c>
      <c r="O331" s="12">
        <v>4053.03</v>
      </c>
      <c r="P331" s="12">
        <v>0.05</v>
      </c>
      <c r="Q331" s="12">
        <v>15401.51</v>
      </c>
      <c r="R331" s="12">
        <v>8650.42</v>
      </c>
      <c r="S331" s="12">
        <v>6751.09</v>
      </c>
      <c r="T331" s="10" t="s">
        <v>61</v>
      </c>
      <c r="U331" s="13" t="s">
        <v>62</v>
      </c>
      <c r="V331" s="14" t="e">
        <f t="shared" ca="1" si="0"/>
        <v>#NAME?</v>
      </c>
      <c r="W331" s="10" t="str">
        <f ca="1">IFERROR(__xludf.DUMMYFUNCTION("IF(COUNTIF($A:$A,A325)=1,
""Unique"",
IF(COUNTUNIQUE(FILTER($V$2:$V$934,$A$2:$A$934=A325))&gt;1,
""Conflicting Duplicate"",
""Exact Duplicate""))"),"Unique")</f>
        <v>Unique</v>
      </c>
      <c r="X331" s="10" t="b">
        <f t="shared" ca="1" si="1"/>
        <v>1</v>
      </c>
      <c r="Y331" s="10" t="str">
        <f t="shared" si="2"/>
        <v>Unique</v>
      </c>
      <c r="Z331" s="10"/>
      <c r="AA331" s="10" t="str">
        <f t="shared" si="3"/>
        <v>Clean</v>
      </c>
      <c r="AB331" s="15" t="str">
        <f t="shared" si="4"/>
        <v>Valid</v>
      </c>
      <c r="AC331" s="15">
        <v>6</v>
      </c>
      <c r="AD331" s="16" t="str">
        <f t="shared" si="5"/>
        <v>Valid</v>
      </c>
      <c r="AE331" s="16" t="str">
        <f t="shared" si="6"/>
        <v>Valid</v>
      </c>
      <c r="AF331" s="16" t="str">
        <f t="shared" ref="AF331:AG331" si="673">IF(ISNUMBER(B331),"Valid","Invalid")</f>
        <v>Valid</v>
      </c>
      <c r="AG331" s="16" t="str">
        <f t="shared" si="673"/>
        <v>Valid</v>
      </c>
      <c r="AH331" s="16" t="str">
        <f t="shared" ref="AH331:AI331" si="674">IF(OR(B331="",ISBLANK(B331)),"Missing","Valid")</f>
        <v>Valid</v>
      </c>
      <c r="AI331" s="16" t="str">
        <f t="shared" si="674"/>
        <v>Valid</v>
      </c>
      <c r="AJ331" s="16" t="b">
        <v>0</v>
      </c>
      <c r="AK331" s="16" t="b">
        <v>0</v>
      </c>
      <c r="AL331" s="16" t="b">
        <v>0</v>
      </c>
      <c r="AM331" s="16" t="b">
        <v>0</v>
      </c>
      <c r="AN331" s="16" t="b">
        <v>0</v>
      </c>
      <c r="AO331" s="16" t="b">
        <v>0</v>
      </c>
      <c r="AP331" s="16" t="b">
        <v>0</v>
      </c>
      <c r="AQ331" s="17">
        <f t="shared" si="9"/>
        <v>0.05</v>
      </c>
      <c r="AR331" s="12">
        <f t="shared" si="10"/>
        <v>15401.513999999999</v>
      </c>
      <c r="AS331" s="18">
        <f t="shared" si="11"/>
        <v>-3.9999999989959178E-3</v>
      </c>
      <c r="AT331" s="12">
        <f t="shared" si="12"/>
        <v>6751.0939999999991</v>
      </c>
      <c r="AU331" s="18">
        <f t="shared" si="13"/>
        <v>-3.9999999989959178E-3</v>
      </c>
      <c r="AV331" s="19">
        <f t="shared" si="14"/>
        <v>0.43833963336331738</v>
      </c>
      <c r="AW331" s="20" t="str">
        <f t="shared" si="15"/>
        <v>May</v>
      </c>
      <c r="AX331" s="21">
        <f t="shared" si="16"/>
        <v>2025</v>
      </c>
    </row>
    <row r="332" spans="1:50" ht="15.75" customHeight="1">
      <c r="A332" s="10" t="s">
        <v>1125</v>
      </c>
      <c r="B332" s="11">
        <v>45428</v>
      </c>
      <c r="C332" s="11">
        <v>45436</v>
      </c>
      <c r="D332" s="10" t="s">
        <v>1126</v>
      </c>
      <c r="E332" s="10" t="s">
        <v>82</v>
      </c>
      <c r="F332" s="10" t="s">
        <v>124</v>
      </c>
      <c r="G332" s="10" t="s">
        <v>54</v>
      </c>
      <c r="H332" s="10" t="s">
        <v>151</v>
      </c>
      <c r="I332" s="10" t="s">
        <v>152</v>
      </c>
      <c r="J332" s="10" t="s">
        <v>103</v>
      </c>
      <c r="K332" s="10" t="s">
        <v>104</v>
      </c>
      <c r="L332" s="10" t="s">
        <v>1127</v>
      </c>
      <c r="M332" s="10" t="s">
        <v>73</v>
      </c>
      <c r="N332" s="12">
        <v>1</v>
      </c>
      <c r="O332" s="12">
        <v>783.09</v>
      </c>
      <c r="P332" s="12">
        <v>0</v>
      </c>
      <c r="Q332" s="12">
        <v>783.09</v>
      </c>
      <c r="R332" s="12">
        <v>503.89</v>
      </c>
      <c r="S332" s="12">
        <v>279.2</v>
      </c>
      <c r="T332" s="10" t="s">
        <v>184</v>
      </c>
      <c r="U332" s="13" t="s">
        <v>97</v>
      </c>
      <c r="V332" s="14" t="e">
        <f t="shared" ca="1" si="0"/>
        <v>#NAME?</v>
      </c>
      <c r="W332" s="10" t="str">
        <f ca="1">IFERROR(__xludf.DUMMYFUNCTION("IF(COUNTIF($A:$A,A326)=1,
""Unique"",
IF(COUNTUNIQUE(FILTER($V$2:$V$934,$A$2:$A$934=A326))&gt;1,
""Conflicting Duplicate"",
""Exact Duplicate""))"),"Unique")</f>
        <v>Unique</v>
      </c>
      <c r="X332" s="10" t="b">
        <f t="shared" ca="1" si="1"/>
        <v>1</v>
      </c>
      <c r="Y332" s="10" t="str">
        <f t="shared" si="2"/>
        <v>Unique</v>
      </c>
      <c r="Z332" s="10"/>
      <c r="AA332" s="10" t="str">
        <f t="shared" si="3"/>
        <v>Clean</v>
      </c>
      <c r="AB332" s="15" t="str">
        <f t="shared" si="4"/>
        <v>Valid</v>
      </c>
      <c r="AC332" s="15">
        <v>8</v>
      </c>
      <c r="AD332" s="16" t="str">
        <f t="shared" si="5"/>
        <v>Valid</v>
      </c>
      <c r="AE332" s="16" t="str">
        <f t="shared" si="6"/>
        <v>Valid</v>
      </c>
      <c r="AF332" s="16" t="str">
        <f t="shared" ref="AF332:AG332" si="675">IF(ISNUMBER(B332),"Valid","Invalid")</f>
        <v>Valid</v>
      </c>
      <c r="AG332" s="16" t="str">
        <f t="shared" si="675"/>
        <v>Valid</v>
      </c>
      <c r="AH332" s="16" t="str">
        <f t="shared" ref="AH332:AI332" si="676">IF(OR(B332="",ISBLANK(B332)),"Missing","Valid")</f>
        <v>Valid</v>
      </c>
      <c r="AI332" s="16" t="str">
        <f t="shared" si="676"/>
        <v>Valid</v>
      </c>
      <c r="AJ332" s="16" t="b">
        <v>0</v>
      </c>
      <c r="AK332" s="16" t="b">
        <v>0</v>
      </c>
      <c r="AL332" s="16" t="b">
        <v>0</v>
      </c>
      <c r="AM332" s="16" t="b">
        <v>0</v>
      </c>
      <c r="AN332" s="16" t="b">
        <v>0</v>
      </c>
      <c r="AO332" s="16" t="b">
        <v>0</v>
      </c>
      <c r="AP332" s="16" t="b">
        <v>0</v>
      </c>
      <c r="AQ332" s="17">
        <f t="shared" si="9"/>
        <v>0</v>
      </c>
      <c r="AR332" s="12">
        <f t="shared" si="10"/>
        <v>783.09</v>
      </c>
      <c r="AS332" s="18">
        <f t="shared" si="11"/>
        <v>0</v>
      </c>
      <c r="AT332" s="12">
        <f t="shared" si="12"/>
        <v>279.20000000000005</v>
      </c>
      <c r="AU332" s="18">
        <f t="shared" si="13"/>
        <v>0</v>
      </c>
      <c r="AV332" s="19">
        <f t="shared" si="14"/>
        <v>0.3565362857398256</v>
      </c>
      <c r="AW332" s="20" t="str">
        <f t="shared" si="15"/>
        <v>May</v>
      </c>
      <c r="AX332" s="21">
        <f t="shared" si="16"/>
        <v>2024</v>
      </c>
    </row>
    <row r="333" spans="1:50" ht="15.75" customHeight="1">
      <c r="A333" s="10" t="s">
        <v>1128</v>
      </c>
      <c r="B333" s="11">
        <v>45630</v>
      </c>
      <c r="C333" s="11">
        <v>45632</v>
      </c>
      <c r="D333" s="10" t="s">
        <v>1129</v>
      </c>
      <c r="E333" s="10" t="s">
        <v>161</v>
      </c>
      <c r="F333" s="10" t="s">
        <v>124</v>
      </c>
      <c r="G333" s="10" t="s">
        <v>67</v>
      </c>
      <c r="H333" s="10" t="s">
        <v>68</v>
      </c>
      <c r="I333" s="10" t="s">
        <v>69</v>
      </c>
      <c r="J333" s="10" t="s">
        <v>57</v>
      </c>
      <c r="K333" s="10" t="s">
        <v>182</v>
      </c>
      <c r="L333" s="10" t="s">
        <v>1130</v>
      </c>
      <c r="M333" s="10" t="s">
        <v>60</v>
      </c>
      <c r="N333" s="12">
        <v>4</v>
      </c>
      <c r="O333" s="12">
        <v>2685.66</v>
      </c>
      <c r="P333" s="12">
        <v>0</v>
      </c>
      <c r="Q333" s="12">
        <v>10742.64</v>
      </c>
      <c r="R333" s="12">
        <v>6477.37</v>
      </c>
      <c r="S333" s="12">
        <v>4265.2700000000004</v>
      </c>
      <c r="T333" s="10" t="s">
        <v>61</v>
      </c>
      <c r="U333" s="13" t="s">
        <v>132</v>
      </c>
      <c r="V333" s="14" t="e">
        <f t="shared" ca="1" si="0"/>
        <v>#NAME?</v>
      </c>
      <c r="W333" s="10" t="str">
        <f ca="1">IFERROR(__xludf.DUMMYFUNCTION("IF(COUNTIF($A:$A,A327)=1,
""Unique"",
IF(COUNTUNIQUE(FILTER($V$2:$V$934,$A$2:$A$934=A327))&gt;1,
""Conflicting Duplicate"",
""Exact Duplicate""))"),"Unique")</f>
        <v>Unique</v>
      </c>
      <c r="X333" s="10" t="b">
        <f t="shared" ca="1" si="1"/>
        <v>1</v>
      </c>
      <c r="Y333" s="10" t="str">
        <f t="shared" si="2"/>
        <v>Duplicate Order ID</v>
      </c>
      <c r="Z333" s="10"/>
      <c r="AA333" s="10" t="str">
        <f t="shared" si="3"/>
        <v>Clean</v>
      </c>
      <c r="AB333" s="15" t="str">
        <f t="shared" si="4"/>
        <v>Valid</v>
      </c>
      <c r="AC333" s="15">
        <v>2</v>
      </c>
      <c r="AD333" s="16" t="str">
        <f t="shared" si="5"/>
        <v>Valid</v>
      </c>
      <c r="AE333" s="16" t="str">
        <f t="shared" si="6"/>
        <v>Valid</v>
      </c>
      <c r="AF333" s="16" t="str">
        <f t="shared" ref="AF333:AG333" si="677">IF(ISNUMBER(B333),"Valid","Invalid")</f>
        <v>Valid</v>
      </c>
      <c r="AG333" s="16" t="str">
        <f t="shared" si="677"/>
        <v>Valid</v>
      </c>
      <c r="AH333" s="16" t="str">
        <f t="shared" ref="AH333:AI333" si="678">IF(OR(B333="",ISBLANK(B333)),"Missing","Valid")</f>
        <v>Valid</v>
      </c>
      <c r="AI333" s="16" t="str">
        <f t="shared" si="678"/>
        <v>Valid</v>
      </c>
      <c r="AJ333" s="16" t="b">
        <v>0</v>
      </c>
      <c r="AK333" s="16" t="b">
        <v>0</v>
      </c>
      <c r="AL333" s="16" t="b">
        <v>0</v>
      </c>
      <c r="AM333" s="16" t="b">
        <v>0</v>
      </c>
      <c r="AN333" s="16" t="b">
        <v>0</v>
      </c>
      <c r="AO333" s="16" t="b">
        <v>0</v>
      </c>
      <c r="AP333" s="16" t="b">
        <v>0</v>
      </c>
      <c r="AQ333" s="17">
        <f t="shared" si="9"/>
        <v>0</v>
      </c>
      <c r="AR333" s="12">
        <f t="shared" si="10"/>
        <v>10742.64</v>
      </c>
      <c r="AS333" s="18">
        <f t="shared" si="11"/>
        <v>0</v>
      </c>
      <c r="AT333" s="12">
        <f t="shared" si="12"/>
        <v>4265.2699999999995</v>
      </c>
      <c r="AU333" s="18">
        <f t="shared" si="13"/>
        <v>0</v>
      </c>
      <c r="AV333" s="19">
        <f t="shared" si="14"/>
        <v>0.39704113700170535</v>
      </c>
      <c r="AW333" s="20" t="str">
        <f t="shared" si="15"/>
        <v>December</v>
      </c>
      <c r="AX333" s="21">
        <f t="shared" si="16"/>
        <v>2024</v>
      </c>
    </row>
    <row r="334" spans="1:50" ht="15.75" customHeight="1">
      <c r="A334" s="10" t="s">
        <v>1131</v>
      </c>
      <c r="B334" s="11">
        <v>45804</v>
      </c>
      <c r="C334" s="11">
        <v>45805</v>
      </c>
      <c r="D334" s="10" t="s">
        <v>1132</v>
      </c>
      <c r="E334" s="10" t="s">
        <v>157</v>
      </c>
      <c r="F334" s="10" t="s">
        <v>53</v>
      </c>
      <c r="G334" s="10" t="s">
        <v>83</v>
      </c>
      <c r="H334" s="10" t="s">
        <v>113</v>
      </c>
      <c r="I334" s="10" t="s">
        <v>114</v>
      </c>
      <c r="J334" s="10" t="s">
        <v>103</v>
      </c>
      <c r="K334" s="10" t="s">
        <v>304</v>
      </c>
      <c r="L334" s="10" t="s">
        <v>1133</v>
      </c>
      <c r="M334" s="10" t="s">
        <v>60</v>
      </c>
      <c r="N334" s="12">
        <v>2</v>
      </c>
      <c r="O334" s="12">
        <v>3911.96</v>
      </c>
      <c r="P334" s="12">
        <v>0</v>
      </c>
      <c r="Q334" s="12">
        <v>7823.92</v>
      </c>
      <c r="R334" s="12">
        <v>6034.63</v>
      </c>
      <c r="S334" s="12">
        <v>1789.29</v>
      </c>
      <c r="T334" s="10" t="s">
        <v>61</v>
      </c>
      <c r="U334" s="13" t="s">
        <v>62</v>
      </c>
      <c r="V334" s="14" t="e">
        <f t="shared" ca="1" si="0"/>
        <v>#NAME?</v>
      </c>
      <c r="W334" s="10" t="str">
        <f ca="1">IFERROR(__xludf.DUMMYFUNCTION("IF(COUNTIF($A:$A,A328)=1,
""Unique"",
IF(COUNTUNIQUE(FILTER($V$2:$V$934,$A$2:$A$934=A328))&gt;1,
""Conflicting Duplicate"",
""Exact Duplicate""))"),"Unique")</f>
        <v>Unique</v>
      </c>
      <c r="X334" s="10" t="b">
        <f t="shared" ca="1" si="1"/>
        <v>1</v>
      </c>
      <c r="Y334" s="10" t="str">
        <f t="shared" si="2"/>
        <v>Unique</v>
      </c>
      <c r="Z334" s="10"/>
      <c r="AA334" s="10" t="str">
        <f t="shared" si="3"/>
        <v>Clean</v>
      </c>
      <c r="AB334" s="15" t="str">
        <f t="shared" si="4"/>
        <v>Valid</v>
      </c>
      <c r="AC334" s="15">
        <v>1</v>
      </c>
      <c r="AD334" s="16" t="str">
        <f t="shared" si="5"/>
        <v>Valid</v>
      </c>
      <c r="AE334" s="16" t="str">
        <f t="shared" si="6"/>
        <v>Valid</v>
      </c>
      <c r="AF334" s="16" t="str">
        <f t="shared" ref="AF334:AG334" si="679">IF(ISNUMBER(B334),"Valid","Invalid")</f>
        <v>Valid</v>
      </c>
      <c r="AG334" s="16" t="str">
        <f t="shared" si="679"/>
        <v>Valid</v>
      </c>
      <c r="AH334" s="16" t="str">
        <f t="shared" ref="AH334:AI334" si="680">IF(OR(B334="",ISBLANK(B334)),"Missing","Valid")</f>
        <v>Valid</v>
      </c>
      <c r="AI334" s="16" t="str">
        <f t="shared" si="680"/>
        <v>Valid</v>
      </c>
      <c r="AJ334" s="16" t="b">
        <v>0</v>
      </c>
      <c r="AK334" s="16" t="b">
        <v>0</v>
      </c>
      <c r="AL334" s="16" t="b">
        <v>0</v>
      </c>
      <c r="AM334" s="16" t="b">
        <v>0</v>
      </c>
      <c r="AN334" s="16" t="b">
        <v>0</v>
      </c>
      <c r="AO334" s="16" t="b">
        <v>0</v>
      </c>
      <c r="AP334" s="16" t="b">
        <v>0</v>
      </c>
      <c r="AQ334" s="17">
        <f t="shared" si="9"/>
        <v>0</v>
      </c>
      <c r="AR334" s="12">
        <f t="shared" si="10"/>
        <v>7823.92</v>
      </c>
      <c r="AS334" s="18">
        <f t="shared" si="11"/>
        <v>0</v>
      </c>
      <c r="AT334" s="12">
        <f t="shared" si="12"/>
        <v>1789.29</v>
      </c>
      <c r="AU334" s="18">
        <f t="shared" si="13"/>
        <v>0</v>
      </c>
      <c r="AV334" s="19">
        <f t="shared" si="14"/>
        <v>0.22869482305545047</v>
      </c>
      <c r="AW334" s="20" t="str">
        <f t="shared" si="15"/>
        <v>May</v>
      </c>
      <c r="AX334" s="21">
        <f t="shared" si="16"/>
        <v>2025</v>
      </c>
    </row>
    <row r="335" spans="1:50" ht="15.75" customHeight="1">
      <c r="A335" s="10" t="s">
        <v>1134</v>
      </c>
      <c r="B335" s="11">
        <v>45830</v>
      </c>
      <c r="C335" s="11">
        <v>45835</v>
      </c>
      <c r="D335" s="10" t="s">
        <v>1135</v>
      </c>
      <c r="E335" s="10" t="s">
        <v>170</v>
      </c>
      <c r="F335" s="10" t="s">
        <v>124</v>
      </c>
      <c r="G335" s="10" t="s">
        <v>234</v>
      </c>
      <c r="H335" s="10" t="s">
        <v>380</v>
      </c>
      <c r="I335" s="10" t="s">
        <v>381</v>
      </c>
      <c r="J335" s="10" t="s">
        <v>103</v>
      </c>
      <c r="K335" s="10" t="s">
        <v>200</v>
      </c>
      <c r="L335" s="10" t="s">
        <v>1136</v>
      </c>
      <c r="M335" s="10" t="s">
        <v>79</v>
      </c>
      <c r="N335" s="12">
        <v>2</v>
      </c>
      <c r="O335" s="12">
        <v>1468.05</v>
      </c>
      <c r="P335" s="12">
        <v>0</v>
      </c>
      <c r="Q335" s="12">
        <v>2936.1</v>
      </c>
      <c r="R335" s="12">
        <v>1923.1</v>
      </c>
      <c r="S335" s="12">
        <v>1013</v>
      </c>
      <c r="T335" s="10" t="s">
        <v>61</v>
      </c>
      <c r="U335" s="13" t="s">
        <v>62</v>
      </c>
      <c r="V335" s="14" t="e">
        <f t="shared" ca="1" si="0"/>
        <v>#NAME?</v>
      </c>
      <c r="W335" s="10" t="str">
        <f ca="1">IFERROR(__xludf.DUMMYFUNCTION("IF(COUNTIF($A:$A,A329)=1,
""Unique"",
IF(COUNTUNIQUE(FILTER($V$2:$V$934,$A$2:$A$934=A329))&gt;1,
""Conflicting Duplicate"",
""Exact Duplicate""))"),"Unique")</f>
        <v>Unique</v>
      </c>
      <c r="X335" s="10" t="b">
        <f t="shared" ca="1" si="1"/>
        <v>1</v>
      </c>
      <c r="Y335" s="10" t="str">
        <f t="shared" si="2"/>
        <v>Unique</v>
      </c>
      <c r="Z335" s="10"/>
      <c r="AA335" s="10" t="str">
        <f t="shared" si="3"/>
        <v>Warning</v>
      </c>
      <c r="AB335" s="15" t="str">
        <f t="shared" si="4"/>
        <v>Valid</v>
      </c>
      <c r="AC335" s="15">
        <v>5</v>
      </c>
      <c r="AD335" s="16" t="str">
        <f t="shared" si="5"/>
        <v>Valid</v>
      </c>
      <c r="AE335" s="16" t="str">
        <f t="shared" si="6"/>
        <v>Valid</v>
      </c>
      <c r="AF335" s="16" t="str">
        <f t="shared" ref="AF335:AG335" si="681">IF(ISNUMBER(B335),"Valid","Invalid")</f>
        <v>Valid</v>
      </c>
      <c r="AG335" s="16" t="str">
        <f t="shared" si="681"/>
        <v>Valid</v>
      </c>
      <c r="AH335" s="16" t="str">
        <f t="shared" ref="AH335:AI335" si="682">IF(OR(B335="",ISBLANK(B335)),"Missing","Valid")</f>
        <v>Valid</v>
      </c>
      <c r="AI335" s="16" t="str">
        <f t="shared" si="682"/>
        <v>Valid</v>
      </c>
      <c r="AJ335" s="16" t="b">
        <v>1</v>
      </c>
      <c r="AK335" s="16" t="b">
        <v>0</v>
      </c>
      <c r="AL335" s="16" t="b">
        <v>0</v>
      </c>
      <c r="AM335" s="16" t="b">
        <v>0</v>
      </c>
      <c r="AN335" s="16" t="b">
        <v>0</v>
      </c>
      <c r="AO335" s="16" t="b">
        <v>0</v>
      </c>
      <c r="AP335" s="16" t="b">
        <v>1</v>
      </c>
      <c r="AQ335" s="17">
        <f t="shared" si="9"/>
        <v>0</v>
      </c>
      <c r="AR335" s="12">
        <f t="shared" si="10"/>
        <v>2936.1</v>
      </c>
      <c r="AS335" s="18">
        <f t="shared" si="11"/>
        <v>0</v>
      </c>
      <c r="AT335" s="12">
        <f t="shared" si="12"/>
        <v>1013</v>
      </c>
      <c r="AU335" s="18">
        <f t="shared" si="13"/>
        <v>0</v>
      </c>
      <c r="AV335" s="19">
        <f t="shared" si="14"/>
        <v>0.34501549674738602</v>
      </c>
      <c r="AW335" s="20" t="str">
        <f t="shared" si="15"/>
        <v>June</v>
      </c>
      <c r="AX335" s="21">
        <f t="shared" si="16"/>
        <v>2025</v>
      </c>
    </row>
    <row r="336" spans="1:50" ht="15.75" customHeight="1">
      <c r="A336" s="10" t="s">
        <v>1137</v>
      </c>
      <c r="B336" s="11">
        <v>45547</v>
      </c>
      <c r="C336" s="11">
        <v>45552</v>
      </c>
      <c r="D336" s="10" t="s">
        <v>1138</v>
      </c>
      <c r="E336" s="10" t="s">
        <v>91</v>
      </c>
      <c r="F336" s="10" t="s">
        <v>53</v>
      </c>
      <c r="G336" s="10" t="s">
        <v>67</v>
      </c>
      <c r="H336" s="10" t="s">
        <v>258</v>
      </c>
      <c r="I336" s="10" t="s">
        <v>259</v>
      </c>
      <c r="J336" s="10" t="s">
        <v>57</v>
      </c>
      <c r="K336" s="10" t="s">
        <v>153</v>
      </c>
      <c r="L336" s="10" t="s">
        <v>1139</v>
      </c>
      <c r="M336" s="10" t="s">
        <v>79</v>
      </c>
      <c r="N336" s="12">
        <v>9</v>
      </c>
      <c r="O336" s="12">
        <v>1921.47</v>
      </c>
      <c r="P336" s="12">
        <v>0.25</v>
      </c>
      <c r="Q336" s="12">
        <v>12969.92</v>
      </c>
      <c r="R336" s="12">
        <v>9398.4599999999991</v>
      </c>
      <c r="S336" s="12">
        <v>3571.46</v>
      </c>
      <c r="T336" s="10" t="s">
        <v>61</v>
      </c>
      <c r="U336" s="13" t="s">
        <v>62</v>
      </c>
      <c r="V336" s="14" t="e">
        <f t="shared" ca="1" si="0"/>
        <v>#NAME?</v>
      </c>
      <c r="W336" s="10" t="str">
        <f ca="1">IFERROR(__xludf.DUMMYFUNCTION("IF(COUNTIF($A:$A,A330)=1,
""Unique"",
IF(COUNTUNIQUE(FILTER($V$2:$V$934,$A$2:$A$934=A330))&gt;1,
""Conflicting Duplicate"",
""Exact Duplicate""))"),"Unique")</f>
        <v>Unique</v>
      </c>
      <c r="X336" s="10" t="b">
        <f t="shared" ca="1" si="1"/>
        <v>1</v>
      </c>
      <c r="Y336" s="10" t="str">
        <f t="shared" si="2"/>
        <v>Unique</v>
      </c>
      <c r="Z336" s="10"/>
      <c r="AA336" s="10" t="str">
        <f t="shared" si="3"/>
        <v>Clean</v>
      </c>
      <c r="AB336" s="15" t="str">
        <f t="shared" si="4"/>
        <v>Valid</v>
      </c>
      <c r="AC336" s="15">
        <v>5</v>
      </c>
      <c r="AD336" s="16" t="str">
        <f t="shared" si="5"/>
        <v>Valid</v>
      </c>
      <c r="AE336" s="16" t="str">
        <f t="shared" si="6"/>
        <v>Valid</v>
      </c>
      <c r="AF336" s="16" t="str">
        <f t="shared" ref="AF336:AG336" si="683">IF(ISNUMBER(B336),"Valid","Invalid")</f>
        <v>Valid</v>
      </c>
      <c r="AG336" s="16" t="str">
        <f t="shared" si="683"/>
        <v>Valid</v>
      </c>
      <c r="AH336" s="16" t="str">
        <f t="shared" ref="AH336:AI336" si="684">IF(OR(B336="",ISBLANK(B336)),"Missing","Valid")</f>
        <v>Valid</v>
      </c>
      <c r="AI336" s="16" t="str">
        <f t="shared" si="684"/>
        <v>Valid</v>
      </c>
      <c r="AJ336" s="16" t="b">
        <v>0</v>
      </c>
      <c r="AK336" s="16" t="b">
        <v>0</v>
      </c>
      <c r="AL336" s="16" t="b">
        <v>0</v>
      </c>
      <c r="AM336" s="16" t="b">
        <v>0</v>
      </c>
      <c r="AN336" s="16" t="b">
        <v>0</v>
      </c>
      <c r="AO336" s="16" t="b">
        <v>0</v>
      </c>
      <c r="AP336" s="16" t="b">
        <v>0</v>
      </c>
      <c r="AQ336" s="17">
        <f t="shared" si="9"/>
        <v>0.25</v>
      </c>
      <c r="AR336" s="12">
        <f t="shared" si="10"/>
        <v>12969.922500000001</v>
      </c>
      <c r="AS336" s="18">
        <f t="shared" si="11"/>
        <v>-2.500000000509317E-3</v>
      </c>
      <c r="AT336" s="12">
        <f t="shared" si="12"/>
        <v>3571.4625000000015</v>
      </c>
      <c r="AU336" s="18">
        <f t="shared" si="13"/>
        <v>-2.5000000014188117E-3</v>
      </c>
      <c r="AV336" s="19">
        <f t="shared" si="14"/>
        <v>0.27536498386941027</v>
      </c>
      <c r="AW336" s="20" t="str">
        <f t="shared" si="15"/>
        <v>September</v>
      </c>
      <c r="AX336" s="21">
        <f t="shared" si="16"/>
        <v>2024</v>
      </c>
    </row>
    <row r="337" spans="1:50" ht="15.75" customHeight="1">
      <c r="A337" s="10" t="s">
        <v>1140</v>
      </c>
      <c r="B337" s="11">
        <v>45824</v>
      </c>
      <c r="C337" s="11">
        <v>45826</v>
      </c>
      <c r="D337" s="10" t="s">
        <v>1141</v>
      </c>
      <c r="E337" s="10" t="s">
        <v>147</v>
      </c>
      <c r="F337" s="10" t="s">
        <v>124</v>
      </c>
      <c r="G337" s="10" t="s">
        <v>92</v>
      </c>
      <c r="H337" s="10" t="s">
        <v>101</v>
      </c>
      <c r="I337" s="10" t="s">
        <v>102</v>
      </c>
      <c r="J337" s="10" t="s">
        <v>57</v>
      </c>
      <c r="K337" s="10" t="s">
        <v>58</v>
      </c>
      <c r="L337" s="10" t="s">
        <v>1142</v>
      </c>
      <c r="M337" s="10" t="s">
        <v>79</v>
      </c>
      <c r="N337" s="12">
        <v>3</v>
      </c>
      <c r="O337" s="12">
        <v>4289.37</v>
      </c>
      <c r="P337" s="12">
        <v>0.1</v>
      </c>
      <c r="Q337" s="12">
        <v>11581.3</v>
      </c>
      <c r="R337" s="12">
        <v>6829.43</v>
      </c>
      <c r="S337" s="12">
        <v>4751.87</v>
      </c>
      <c r="T337" s="10" t="s">
        <v>61</v>
      </c>
      <c r="U337" s="13" t="s">
        <v>62</v>
      </c>
      <c r="V337" s="14" t="e">
        <f t="shared" ca="1" si="0"/>
        <v>#NAME?</v>
      </c>
      <c r="W337" s="10" t="str">
        <f ca="1">IFERROR(__xludf.DUMMYFUNCTION("IF(COUNTIF($A:$A,A331)=1,
""Unique"",
IF(COUNTUNIQUE(FILTER($V$2:$V$934,$A$2:$A$934=A331))&gt;1,
""Conflicting Duplicate"",
""Exact Duplicate""))"),"Unique")</f>
        <v>Unique</v>
      </c>
      <c r="X337" s="10" t="b">
        <f t="shared" ca="1" si="1"/>
        <v>1</v>
      </c>
      <c r="Y337" s="10" t="str">
        <f t="shared" si="2"/>
        <v>Duplicate Order ID</v>
      </c>
      <c r="Z337" s="10"/>
      <c r="AA337" s="10" t="str">
        <f t="shared" si="3"/>
        <v>Clean</v>
      </c>
      <c r="AB337" s="15" t="str">
        <f t="shared" si="4"/>
        <v>Valid</v>
      </c>
      <c r="AC337" s="15">
        <v>2</v>
      </c>
      <c r="AD337" s="16" t="str">
        <f t="shared" si="5"/>
        <v>Valid</v>
      </c>
      <c r="AE337" s="16" t="str">
        <f t="shared" si="6"/>
        <v>Valid</v>
      </c>
      <c r="AF337" s="16" t="str">
        <f t="shared" ref="AF337:AG337" si="685">IF(ISNUMBER(B337),"Valid","Invalid")</f>
        <v>Valid</v>
      </c>
      <c r="AG337" s="16" t="str">
        <f t="shared" si="685"/>
        <v>Valid</v>
      </c>
      <c r="AH337" s="16" t="str">
        <f t="shared" ref="AH337:AI337" si="686">IF(OR(B337="",ISBLANK(B337)),"Missing","Valid")</f>
        <v>Valid</v>
      </c>
      <c r="AI337" s="16" t="str">
        <f t="shared" si="686"/>
        <v>Valid</v>
      </c>
      <c r="AJ337" s="16" t="b">
        <v>0</v>
      </c>
      <c r="AK337" s="16" t="b">
        <v>0</v>
      </c>
      <c r="AL337" s="16" t="b">
        <v>0</v>
      </c>
      <c r="AM337" s="16" t="b">
        <v>0</v>
      </c>
      <c r="AN337" s="16" t="b">
        <v>0</v>
      </c>
      <c r="AO337" s="16" t="b">
        <v>0</v>
      </c>
      <c r="AP337" s="16" t="b">
        <v>0</v>
      </c>
      <c r="AQ337" s="17">
        <f t="shared" si="9"/>
        <v>0.1</v>
      </c>
      <c r="AR337" s="12">
        <f t="shared" si="10"/>
        <v>11581.299000000001</v>
      </c>
      <c r="AS337" s="18">
        <f t="shared" si="11"/>
        <v>9.9999999838473741E-4</v>
      </c>
      <c r="AT337" s="12">
        <f t="shared" si="12"/>
        <v>4751.8690000000006</v>
      </c>
      <c r="AU337" s="18">
        <f t="shared" si="13"/>
        <v>9.9999999929423211E-4</v>
      </c>
      <c r="AV337" s="19">
        <f t="shared" si="14"/>
        <v>0.41030535521101735</v>
      </c>
      <c r="AW337" s="20" t="str">
        <f t="shared" si="15"/>
        <v>June</v>
      </c>
      <c r="AX337" s="21">
        <f t="shared" si="16"/>
        <v>2025</v>
      </c>
    </row>
    <row r="338" spans="1:50" ht="15.75" customHeight="1">
      <c r="A338" s="10" t="s">
        <v>1143</v>
      </c>
      <c r="B338" s="11">
        <v>45368</v>
      </c>
      <c r="C338" s="11">
        <v>45372</v>
      </c>
      <c r="D338" s="10" t="s">
        <v>895</v>
      </c>
      <c r="E338" s="10" t="s">
        <v>157</v>
      </c>
      <c r="F338" s="10" t="s">
        <v>53</v>
      </c>
      <c r="G338" s="10" t="s">
        <v>54</v>
      </c>
      <c r="H338" s="10" t="s">
        <v>55</v>
      </c>
      <c r="I338" s="10" t="s">
        <v>56</v>
      </c>
      <c r="J338" s="10" t="s">
        <v>103</v>
      </c>
      <c r="K338" s="10" t="s">
        <v>109</v>
      </c>
      <c r="L338" s="10" t="s">
        <v>1144</v>
      </c>
      <c r="M338" s="10" t="s">
        <v>79</v>
      </c>
      <c r="N338" s="12">
        <v>8</v>
      </c>
      <c r="O338" s="12">
        <v>1992.57</v>
      </c>
      <c r="P338" s="12">
        <v>0</v>
      </c>
      <c r="Q338" s="12">
        <v>15940.56</v>
      </c>
      <c r="R338" s="12">
        <v>12347.15</v>
      </c>
      <c r="S338" s="12">
        <v>3593.41</v>
      </c>
      <c r="T338" s="10" t="s">
        <v>61</v>
      </c>
      <c r="U338" s="13" t="s">
        <v>62</v>
      </c>
      <c r="V338" s="14" t="e">
        <f t="shared" ca="1" si="0"/>
        <v>#NAME?</v>
      </c>
      <c r="W338" s="10" t="str">
        <f ca="1">IFERROR(__xludf.DUMMYFUNCTION("IF(COUNTIF($A:$A,A332)=1,
""Unique"",
IF(COUNTUNIQUE(FILTER($V$2:$V$934,$A$2:$A$934=A332))&gt;1,
""Conflicting Duplicate"",
""Exact Duplicate""))"),"Unique")</f>
        <v>Unique</v>
      </c>
      <c r="X338" s="10" t="b">
        <f t="shared" ca="1" si="1"/>
        <v>1</v>
      </c>
      <c r="Y338" s="10" t="str">
        <f t="shared" si="2"/>
        <v>Unique</v>
      </c>
      <c r="Z338" s="10"/>
      <c r="AA338" s="10" t="str">
        <f t="shared" si="3"/>
        <v>Clean</v>
      </c>
      <c r="AB338" s="15" t="str">
        <f t="shared" si="4"/>
        <v>Valid</v>
      </c>
      <c r="AC338" s="15">
        <v>4</v>
      </c>
      <c r="AD338" s="16" t="str">
        <f t="shared" si="5"/>
        <v>Valid</v>
      </c>
      <c r="AE338" s="16" t="str">
        <f t="shared" si="6"/>
        <v>Valid</v>
      </c>
      <c r="AF338" s="16" t="str">
        <f t="shared" ref="AF338:AG338" si="687">IF(ISNUMBER(B338),"Valid","Invalid")</f>
        <v>Valid</v>
      </c>
      <c r="AG338" s="16" t="str">
        <f t="shared" si="687"/>
        <v>Valid</v>
      </c>
      <c r="AH338" s="16" t="str">
        <f t="shared" ref="AH338:AI338" si="688">IF(OR(B338="",ISBLANK(B338)),"Missing","Valid")</f>
        <v>Valid</v>
      </c>
      <c r="AI338" s="16" t="str">
        <f t="shared" si="688"/>
        <v>Valid</v>
      </c>
      <c r="AJ338" s="16" t="b">
        <v>0</v>
      </c>
      <c r="AK338" s="16" t="b">
        <v>0</v>
      </c>
      <c r="AL338" s="16" t="b">
        <v>0</v>
      </c>
      <c r="AM338" s="16" t="b">
        <v>0</v>
      </c>
      <c r="AN338" s="16" t="b">
        <v>0</v>
      </c>
      <c r="AO338" s="16" t="b">
        <v>0</v>
      </c>
      <c r="AP338" s="16" t="b">
        <v>0</v>
      </c>
      <c r="AQ338" s="17">
        <f t="shared" si="9"/>
        <v>0</v>
      </c>
      <c r="AR338" s="12">
        <f t="shared" si="10"/>
        <v>15940.56</v>
      </c>
      <c r="AS338" s="18">
        <f t="shared" si="11"/>
        <v>0</v>
      </c>
      <c r="AT338" s="12">
        <f t="shared" si="12"/>
        <v>3593.41</v>
      </c>
      <c r="AU338" s="18">
        <f t="shared" si="13"/>
        <v>0</v>
      </c>
      <c r="AV338" s="19">
        <f t="shared" si="14"/>
        <v>0.2254255810335396</v>
      </c>
      <c r="AW338" s="20" t="str">
        <f t="shared" si="15"/>
        <v>March</v>
      </c>
      <c r="AX338" s="21">
        <f t="shared" si="16"/>
        <v>2024</v>
      </c>
    </row>
    <row r="339" spans="1:50" ht="15.75" customHeight="1">
      <c r="A339" s="10" t="s">
        <v>1145</v>
      </c>
      <c r="B339" s="11">
        <v>45516</v>
      </c>
      <c r="C339" s="11">
        <v>45522</v>
      </c>
      <c r="D339" s="10" t="s">
        <v>1146</v>
      </c>
      <c r="E339" s="10" t="s">
        <v>91</v>
      </c>
      <c r="F339" s="10" t="s">
        <v>53</v>
      </c>
      <c r="G339" s="10" t="s">
        <v>67</v>
      </c>
      <c r="H339" s="10" t="s">
        <v>195</v>
      </c>
      <c r="I339" s="10" t="s">
        <v>196</v>
      </c>
      <c r="J339" s="10" t="s">
        <v>57</v>
      </c>
      <c r="K339" s="10" t="s">
        <v>120</v>
      </c>
      <c r="L339" s="10" t="s">
        <v>1147</v>
      </c>
      <c r="M339" s="10" t="s">
        <v>73</v>
      </c>
      <c r="N339" s="12">
        <v>6</v>
      </c>
      <c r="O339" s="12">
        <v>1181.74</v>
      </c>
      <c r="P339" s="12">
        <v>0</v>
      </c>
      <c r="Q339" s="12">
        <v>7090.44</v>
      </c>
      <c r="R339" s="12">
        <v>5672.27</v>
      </c>
      <c r="S339" s="12">
        <v>1262.8699999999999</v>
      </c>
      <c r="T339" s="10" t="s">
        <v>61</v>
      </c>
      <c r="U339" s="13" t="s">
        <v>62</v>
      </c>
      <c r="V339" s="14" t="e">
        <f t="shared" ca="1" si="0"/>
        <v>#NAME?</v>
      </c>
      <c r="W339" s="10" t="str">
        <f ca="1">IFERROR(__xludf.DUMMYFUNCTION("IF(COUNTIF($A:$A,A333)=1,
""Unique"",
IF(COUNTUNIQUE(FILTER($V$2:$V$934,$A$2:$A$934=A333))&gt;1,
""Conflicting Duplicate"",
""Exact Duplicate""))"),"Conflicting Duplicate")</f>
        <v>Conflicting Duplicate</v>
      </c>
      <c r="X339" s="10" t="b">
        <f t="shared" ca="1" si="1"/>
        <v>1</v>
      </c>
      <c r="Y339" s="10" t="str">
        <f t="shared" si="2"/>
        <v>Unique</v>
      </c>
      <c r="Z339" s="10"/>
      <c r="AA339" s="10" t="str">
        <f t="shared" si="3"/>
        <v>Clean</v>
      </c>
      <c r="AB339" s="15" t="str">
        <f t="shared" si="4"/>
        <v>Valid</v>
      </c>
      <c r="AC339" s="15">
        <v>6</v>
      </c>
      <c r="AD339" s="16" t="str">
        <f t="shared" si="5"/>
        <v>Valid</v>
      </c>
      <c r="AE339" s="16" t="str">
        <f t="shared" si="6"/>
        <v>Valid</v>
      </c>
      <c r="AF339" s="16" t="str">
        <f t="shared" ref="AF339:AG339" si="689">IF(ISNUMBER(B339),"Valid","Invalid")</f>
        <v>Valid</v>
      </c>
      <c r="AG339" s="16" t="str">
        <f t="shared" si="689"/>
        <v>Valid</v>
      </c>
      <c r="AH339" s="16" t="str">
        <f t="shared" ref="AH339:AI339" si="690">IF(OR(B339="",ISBLANK(B339)),"Missing","Valid")</f>
        <v>Valid</v>
      </c>
      <c r="AI339" s="16" t="str">
        <f t="shared" si="690"/>
        <v>Valid</v>
      </c>
      <c r="AJ339" s="16" t="b">
        <v>0</v>
      </c>
      <c r="AK339" s="16" t="b">
        <v>0</v>
      </c>
      <c r="AL339" s="16" t="b">
        <v>0</v>
      </c>
      <c r="AM339" s="16" t="b">
        <v>0</v>
      </c>
      <c r="AN339" s="16" t="b">
        <v>0</v>
      </c>
      <c r="AO339" s="16" t="b">
        <v>0</v>
      </c>
      <c r="AP339" s="16" t="b">
        <v>0</v>
      </c>
      <c r="AQ339" s="17">
        <f t="shared" si="9"/>
        <v>0</v>
      </c>
      <c r="AR339" s="12">
        <f t="shared" si="10"/>
        <v>7090.4400000000005</v>
      </c>
      <c r="AS339" s="18">
        <f t="shared" si="11"/>
        <v>0</v>
      </c>
      <c r="AT339" s="12">
        <f t="shared" si="12"/>
        <v>1418.17</v>
      </c>
      <c r="AU339" s="18">
        <f t="shared" si="13"/>
        <v>-155.30000000000018</v>
      </c>
      <c r="AV339" s="19">
        <f t="shared" si="14"/>
        <v>0.20001156486762456</v>
      </c>
      <c r="AW339" s="20" t="str">
        <f t="shared" si="15"/>
        <v>August</v>
      </c>
      <c r="AX339" s="21">
        <f t="shared" si="16"/>
        <v>2024</v>
      </c>
    </row>
    <row r="340" spans="1:50" ht="15.75" customHeight="1">
      <c r="A340" s="10" t="s">
        <v>1148</v>
      </c>
      <c r="B340" s="11">
        <v>45634</v>
      </c>
      <c r="C340" s="11">
        <v>45634</v>
      </c>
      <c r="D340" s="10" t="s">
        <v>1149</v>
      </c>
      <c r="E340" s="10" t="s">
        <v>82</v>
      </c>
      <c r="F340" s="10" t="s">
        <v>66</v>
      </c>
      <c r="G340" s="10" t="s">
        <v>83</v>
      </c>
      <c r="H340" s="10" t="s">
        <v>113</v>
      </c>
      <c r="I340" s="10" t="s">
        <v>114</v>
      </c>
      <c r="J340" s="10" t="s">
        <v>103</v>
      </c>
      <c r="K340" s="10" t="s">
        <v>104</v>
      </c>
      <c r="L340" s="10" t="s">
        <v>1150</v>
      </c>
      <c r="M340" s="10" t="s">
        <v>79</v>
      </c>
      <c r="N340" s="12">
        <v>8</v>
      </c>
      <c r="O340" s="12">
        <v>4402.3599999999997</v>
      </c>
      <c r="P340" s="12">
        <v>0.25</v>
      </c>
      <c r="Q340" s="12">
        <v>26414.16</v>
      </c>
      <c r="R340" s="12">
        <v>21822.53</v>
      </c>
      <c r="S340" s="12">
        <v>4591.63</v>
      </c>
      <c r="T340" s="10" t="s">
        <v>61</v>
      </c>
      <c r="U340" s="13" t="s">
        <v>62</v>
      </c>
      <c r="V340" s="14" t="e">
        <f t="shared" ca="1" si="0"/>
        <v>#NAME?</v>
      </c>
      <c r="W340" s="10" t="str">
        <f ca="1">IFERROR(__xludf.DUMMYFUNCTION("IF(COUNTIF($A:$A,A334)=1,
""Unique"",
IF(COUNTUNIQUE(FILTER($V$2:$V$934,$A$2:$A$934=A334))&gt;1,
""Conflicting Duplicate"",
""Exact Duplicate""))"),"Unique")</f>
        <v>Unique</v>
      </c>
      <c r="X340" s="10" t="b">
        <f t="shared" ca="1" si="1"/>
        <v>1</v>
      </c>
      <c r="Y340" s="10" t="str">
        <f t="shared" si="2"/>
        <v>Unique</v>
      </c>
      <c r="Z340" s="10"/>
      <c r="AA340" s="10" t="str">
        <f t="shared" si="3"/>
        <v>Clean</v>
      </c>
      <c r="AB340" s="15" t="str">
        <f t="shared" si="4"/>
        <v>Valid</v>
      </c>
      <c r="AC340" s="15">
        <v>0</v>
      </c>
      <c r="AD340" s="16" t="str">
        <f t="shared" si="5"/>
        <v>Valid</v>
      </c>
      <c r="AE340" s="16" t="str">
        <f t="shared" si="6"/>
        <v>Valid</v>
      </c>
      <c r="AF340" s="16" t="str">
        <f t="shared" ref="AF340:AG340" si="691">IF(ISNUMBER(B340),"Valid","Invalid")</f>
        <v>Valid</v>
      </c>
      <c r="AG340" s="16" t="str">
        <f t="shared" si="691"/>
        <v>Valid</v>
      </c>
      <c r="AH340" s="16" t="str">
        <f t="shared" ref="AH340:AI340" si="692">IF(OR(B340="",ISBLANK(B340)),"Missing","Valid")</f>
        <v>Valid</v>
      </c>
      <c r="AI340" s="16" t="str">
        <f t="shared" si="692"/>
        <v>Valid</v>
      </c>
      <c r="AJ340" s="16" t="b">
        <v>0</v>
      </c>
      <c r="AK340" s="16" t="b">
        <v>0</v>
      </c>
      <c r="AL340" s="16" t="b">
        <v>0</v>
      </c>
      <c r="AM340" s="16" t="b">
        <v>0</v>
      </c>
      <c r="AN340" s="16" t="b">
        <v>0</v>
      </c>
      <c r="AO340" s="16" t="b">
        <v>0</v>
      </c>
      <c r="AP340" s="16" t="b">
        <v>0</v>
      </c>
      <c r="AQ340" s="17">
        <f t="shared" si="9"/>
        <v>0.25</v>
      </c>
      <c r="AR340" s="12">
        <f t="shared" si="10"/>
        <v>26414.159999999996</v>
      </c>
      <c r="AS340" s="18">
        <f t="shared" si="11"/>
        <v>0</v>
      </c>
      <c r="AT340" s="12">
        <f t="shared" si="12"/>
        <v>4591.6299999999974</v>
      </c>
      <c r="AU340" s="18">
        <f t="shared" si="13"/>
        <v>0</v>
      </c>
      <c r="AV340" s="19">
        <f t="shared" si="14"/>
        <v>0.17383214154832097</v>
      </c>
      <c r="AW340" s="20" t="str">
        <f t="shared" si="15"/>
        <v>December</v>
      </c>
      <c r="AX340" s="21">
        <f t="shared" si="16"/>
        <v>2024</v>
      </c>
    </row>
    <row r="341" spans="1:50" ht="15.75" customHeight="1">
      <c r="A341" s="10" t="s">
        <v>1151</v>
      </c>
      <c r="B341" s="11">
        <v>45708</v>
      </c>
      <c r="C341" s="11">
        <v>45710</v>
      </c>
      <c r="D341" s="10" t="s">
        <v>1152</v>
      </c>
      <c r="E341" s="10" t="s">
        <v>108</v>
      </c>
      <c r="F341" s="10" t="s">
        <v>119</v>
      </c>
      <c r="G341" s="10" t="s">
        <v>67</v>
      </c>
      <c r="H341" s="10" t="s">
        <v>258</v>
      </c>
      <c r="I341" s="10" t="s">
        <v>259</v>
      </c>
      <c r="J341" s="10" t="s">
        <v>70</v>
      </c>
      <c r="K341" s="10" t="s">
        <v>187</v>
      </c>
      <c r="L341" s="10" t="s">
        <v>1153</v>
      </c>
      <c r="M341" s="10" t="s">
        <v>88</v>
      </c>
      <c r="N341" s="12">
        <v>8</v>
      </c>
      <c r="O341" s="12">
        <v>3265.76</v>
      </c>
      <c r="P341" s="12">
        <v>0.2</v>
      </c>
      <c r="Q341" s="12">
        <v>20900.86</v>
      </c>
      <c r="R341" s="12">
        <v>12513.14</v>
      </c>
      <c r="S341" s="12">
        <v>8387.7199999999993</v>
      </c>
      <c r="T341" s="10" t="s">
        <v>61</v>
      </c>
      <c r="U341" s="13" t="s">
        <v>62</v>
      </c>
      <c r="V341" s="14" t="e">
        <f t="shared" ca="1" si="0"/>
        <v>#NAME?</v>
      </c>
      <c r="W341" s="10" t="str">
        <f ca="1">IFERROR(__xludf.DUMMYFUNCTION("IF(COUNTIF($A:$A,A335)=1,
""Unique"",
IF(COUNTUNIQUE(FILTER($V$2:$V$934,$A$2:$A$934=A335))&gt;1,
""Conflicting Duplicate"",
""Exact Duplicate""))"),"Unique")</f>
        <v>Unique</v>
      </c>
      <c r="X341" s="10" t="b">
        <f t="shared" ca="1" si="1"/>
        <v>1</v>
      </c>
      <c r="Y341" s="10" t="str">
        <f t="shared" si="2"/>
        <v>Unique</v>
      </c>
      <c r="Z341" s="10"/>
      <c r="AA341" s="10" t="str">
        <f t="shared" si="3"/>
        <v>Clean</v>
      </c>
      <c r="AB341" s="15" t="str">
        <f t="shared" si="4"/>
        <v>Valid</v>
      </c>
      <c r="AC341" s="15">
        <v>2</v>
      </c>
      <c r="AD341" s="16" t="str">
        <f t="shared" si="5"/>
        <v>Valid</v>
      </c>
      <c r="AE341" s="16" t="str">
        <f t="shared" si="6"/>
        <v>Valid</v>
      </c>
      <c r="AF341" s="16" t="str">
        <f t="shared" ref="AF341:AG341" si="693">IF(ISNUMBER(B341),"Valid","Invalid")</f>
        <v>Valid</v>
      </c>
      <c r="AG341" s="16" t="str">
        <f t="shared" si="693"/>
        <v>Valid</v>
      </c>
      <c r="AH341" s="16" t="str">
        <f t="shared" ref="AH341:AI341" si="694">IF(OR(B341="",ISBLANK(B341)),"Missing","Valid")</f>
        <v>Valid</v>
      </c>
      <c r="AI341" s="16" t="str">
        <f t="shared" si="694"/>
        <v>Valid</v>
      </c>
      <c r="AJ341" s="16" t="b">
        <v>0</v>
      </c>
      <c r="AK341" s="16" t="b">
        <v>0</v>
      </c>
      <c r="AL341" s="16" t="b">
        <v>0</v>
      </c>
      <c r="AM341" s="16" t="b">
        <v>0</v>
      </c>
      <c r="AN341" s="16" t="b">
        <v>0</v>
      </c>
      <c r="AO341" s="16" t="b">
        <v>0</v>
      </c>
      <c r="AP341" s="16" t="b">
        <v>0</v>
      </c>
      <c r="AQ341" s="17">
        <f t="shared" si="9"/>
        <v>0.2</v>
      </c>
      <c r="AR341" s="12">
        <f t="shared" si="10"/>
        <v>20900.864000000001</v>
      </c>
      <c r="AS341" s="18">
        <f t="shared" si="11"/>
        <v>-4.0000000008149073E-3</v>
      </c>
      <c r="AT341" s="12">
        <f t="shared" si="12"/>
        <v>8387.724000000002</v>
      </c>
      <c r="AU341" s="18">
        <f t="shared" si="13"/>
        <v>-4.0000000026338967E-3</v>
      </c>
      <c r="AV341" s="19">
        <f t="shared" si="14"/>
        <v>0.40130991714026759</v>
      </c>
      <c r="AW341" s="20" t="str">
        <f t="shared" si="15"/>
        <v>February</v>
      </c>
      <c r="AX341" s="21">
        <f t="shared" si="16"/>
        <v>2025</v>
      </c>
    </row>
    <row r="342" spans="1:50" ht="15.75" customHeight="1">
      <c r="A342" s="10" t="s">
        <v>1154</v>
      </c>
      <c r="B342" s="11">
        <v>45312</v>
      </c>
      <c r="C342" s="11">
        <v>45320</v>
      </c>
      <c r="D342" s="10" t="s">
        <v>1155</v>
      </c>
      <c r="E342" s="10" t="s">
        <v>108</v>
      </c>
      <c r="F342" s="10" t="s">
        <v>53</v>
      </c>
      <c r="G342" s="10" t="s">
        <v>83</v>
      </c>
      <c r="H342" s="10" t="s">
        <v>204</v>
      </c>
      <c r="I342" s="10" t="s">
        <v>205</v>
      </c>
      <c r="J342" s="10" t="s">
        <v>57</v>
      </c>
      <c r="K342" s="10" t="s">
        <v>182</v>
      </c>
      <c r="L342" s="10" t="s">
        <v>1156</v>
      </c>
      <c r="M342" s="10" t="s">
        <v>88</v>
      </c>
      <c r="N342" s="12">
        <v>5</v>
      </c>
      <c r="O342" s="12">
        <v>4058.08</v>
      </c>
      <c r="P342" s="12">
        <v>0.1</v>
      </c>
      <c r="Q342" s="12">
        <v>18261.36</v>
      </c>
      <c r="R342" s="12">
        <v>11399.94</v>
      </c>
      <c r="S342" s="12">
        <v>6861.42</v>
      </c>
      <c r="T342" s="10" t="s">
        <v>61</v>
      </c>
      <c r="U342" s="13" t="s">
        <v>62</v>
      </c>
      <c r="V342" s="14" t="e">
        <f t="shared" ca="1" si="0"/>
        <v>#NAME?</v>
      </c>
      <c r="W342" s="10" t="str">
        <f ca="1">IFERROR(__xludf.DUMMYFUNCTION("IF(COUNTIF($A:$A,A336)=1,
""Unique"",
IF(COUNTUNIQUE(FILTER($V$2:$V$934,$A$2:$A$934=A336))&gt;1,
""Conflicting Duplicate"",
""Exact Duplicate""))"),"Unique")</f>
        <v>Unique</v>
      </c>
      <c r="X342" s="10" t="b">
        <f t="shared" ca="1" si="1"/>
        <v>1</v>
      </c>
      <c r="Y342" s="10" t="str">
        <f t="shared" si="2"/>
        <v>Unique</v>
      </c>
      <c r="Z342" s="10"/>
      <c r="AA342" s="10" t="str">
        <f t="shared" si="3"/>
        <v>Clean</v>
      </c>
      <c r="AB342" s="15" t="str">
        <f t="shared" si="4"/>
        <v>Valid</v>
      </c>
      <c r="AC342" s="15">
        <v>8</v>
      </c>
      <c r="AD342" s="16" t="str">
        <f t="shared" si="5"/>
        <v>Valid</v>
      </c>
      <c r="AE342" s="16" t="str">
        <f t="shared" si="6"/>
        <v>Valid</v>
      </c>
      <c r="AF342" s="16" t="str">
        <f t="shared" ref="AF342:AG342" si="695">IF(ISNUMBER(B342),"Valid","Invalid")</f>
        <v>Valid</v>
      </c>
      <c r="AG342" s="16" t="str">
        <f t="shared" si="695"/>
        <v>Valid</v>
      </c>
      <c r="AH342" s="16" t="str">
        <f t="shared" ref="AH342:AI342" si="696">IF(OR(B342="",ISBLANK(B342)),"Missing","Valid")</f>
        <v>Valid</v>
      </c>
      <c r="AI342" s="16" t="str">
        <f t="shared" si="696"/>
        <v>Valid</v>
      </c>
      <c r="AJ342" s="16" t="b">
        <v>0</v>
      </c>
      <c r="AK342" s="16" t="b">
        <v>0</v>
      </c>
      <c r="AL342" s="16" t="b">
        <v>0</v>
      </c>
      <c r="AM342" s="16" t="b">
        <v>0</v>
      </c>
      <c r="AN342" s="16" t="b">
        <v>0</v>
      </c>
      <c r="AO342" s="16" t="b">
        <v>0</v>
      </c>
      <c r="AP342" s="16" t="b">
        <v>0</v>
      </c>
      <c r="AQ342" s="17">
        <f t="shared" si="9"/>
        <v>0.1</v>
      </c>
      <c r="AR342" s="12">
        <f t="shared" si="10"/>
        <v>18261.36</v>
      </c>
      <c r="AS342" s="18">
        <f t="shared" si="11"/>
        <v>0</v>
      </c>
      <c r="AT342" s="12">
        <f t="shared" si="12"/>
        <v>6861.42</v>
      </c>
      <c r="AU342" s="18">
        <f t="shared" si="13"/>
        <v>0</v>
      </c>
      <c r="AV342" s="19">
        <f t="shared" si="14"/>
        <v>0.3757343374206521</v>
      </c>
      <c r="AW342" s="20" t="str">
        <f t="shared" si="15"/>
        <v>January</v>
      </c>
      <c r="AX342" s="21">
        <f t="shared" si="16"/>
        <v>2024</v>
      </c>
    </row>
    <row r="343" spans="1:50" ht="15.75" customHeight="1">
      <c r="A343" s="10" t="s">
        <v>1157</v>
      </c>
      <c r="B343" s="11">
        <v>45908</v>
      </c>
      <c r="C343" s="11">
        <v>45909</v>
      </c>
      <c r="D343" s="10" t="s">
        <v>1158</v>
      </c>
      <c r="E343" s="10" t="s">
        <v>170</v>
      </c>
      <c r="F343" s="10" t="s">
        <v>124</v>
      </c>
      <c r="G343" s="10" t="s">
        <v>92</v>
      </c>
      <c r="H343" s="10" t="s">
        <v>209</v>
      </c>
      <c r="I343" s="10" t="s">
        <v>210</v>
      </c>
      <c r="J343" s="10" t="s">
        <v>70</v>
      </c>
      <c r="K343" s="10" t="s">
        <v>95</v>
      </c>
      <c r="L343" s="10" t="s">
        <v>1159</v>
      </c>
      <c r="M343" s="10" t="s">
        <v>60</v>
      </c>
      <c r="N343" s="12">
        <v>2</v>
      </c>
      <c r="O343" s="12">
        <v>3960.33</v>
      </c>
      <c r="P343" s="12">
        <v>0.05</v>
      </c>
      <c r="Q343" s="12">
        <v>7524.63</v>
      </c>
      <c r="R343" s="12">
        <v>6229.6</v>
      </c>
      <c r="S343" s="12">
        <v>1295.03</v>
      </c>
      <c r="T343" s="10" t="s">
        <v>61</v>
      </c>
      <c r="U343" s="13" t="s">
        <v>62</v>
      </c>
      <c r="V343" s="14" t="e">
        <f t="shared" ca="1" si="0"/>
        <v>#NAME?</v>
      </c>
      <c r="W343" s="10" t="str">
        <f ca="1">IFERROR(__xludf.DUMMYFUNCTION("IF(COUNTIF($A:$A,A337)=1,
""Unique"",
IF(COUNTUNIQUE(FILTER($V$2:$V$934,$A$2:$A$934=A337))&gt;1,
""Conflicting Duplicate"",
""Exact Duplicate""))"),"Conflicting Duplicate")</f>
        <v>Conflicting Duplicate</v>
      </c>
      <c r="X343" s="10" t="b">
        <f t="shared" ca="1" si="1"/>
        <v>1</v>
      </c>
      <c r="Y343" s="10" t="str">
        <f t="shared" si="2"/>
        <v>Unique</v>
      </c>
      <c r="Z343" s="10"/>
      <c r="AA343" s="10" t="str">
        <f t="shared" si="3"/>
        <v>Clean</v>
      </c>
      <c r="AB343" s="15" t="str">
        <f t="shared" si="4"/>
        <v>Valid</v>
      </c>
      <c r="AC343" s="15">
        <v>1</v>
      </c>
      <c r="AD343" s="16" t="str">
        <f t="shared" si="5"/>
        <v>Valid</v>
      </c>
      <c r="AE343" s="16" t="str">
        <f t="shared" si="6"/>
        <v>Valid</v>
      </c>
      <c r="AF343" s="16" t="str">
        <f t="shared" ref="AF343:AG343" si="697">IF(ISNUMBER(B343),"Valid","Invalid")</f>
        <v>Valid</v>
      </c>
      <c r="AG343" s="16" t="str">
        <f t="shared" si="697"/>
        <v>Valid</v>
      </c>
      <c r="AH343" s="16" t="str">
        <f t="shared" ref="AH343:AI343" si="698">IF(OR(B343="",ISBLANK(B343)),"Missing","Valid")</f>
        <v>Valid</v>
      </c>
      <c r="AI343" s="16" t="str">
        <f t="shared" si="698"/>
        <v>Valid</v>
      </c>
      <c r="AJ343" s="16" t="b">
        <v>0</v>
      </c>
      <c r="AK343" s="16" t="b">
        <v>0</v>
      </c>
      <c r="AL343" s="16" t="b">
        <v>0</v>
      </c>
      <c r="AM343" s="16" t="b">
        <v>0</v>
      </c>
      <c r="AN343" s="16" t="b">
        <v>0</v>
      </c>
      <c r="AO343" s="16" t="b">
        <v>0</v>
      </c>
      <c r="AP343" s="16" t="b">
        <v>0</v>
      </c>
      <c r="AQ343" s="17">
        <f t="shared" si="9"/>
        <v>0.05</v>
      </c>
      <c r="AR343" s="12">
        <f t="shared" si="10"/>
        <v>7524.6269999999995</v>
      </c>
      <c r="AS343" s="18">
        <f t="shared" si="11"/>
        <v>3.0000000006111804E-3</v>
      </c>
      <c r="AT343" s="12">
        <f t="shared" si="12"/>
        <v>1295.0269999999991</v>
      </c>
      <c r="AU343" s="18">
        <f t="shared" si="13"/>
        <v>3.0000000008385541E-3</v>
      </c>
      <c r="AV343" s="19">
        <f t="shared" si="14"/>
        <v>0.17210514222166751</v>
      </c>
      <c r="AW343" s="20" t="str">
        <f t="shared" si="15"/>
        <v>September</v>
      </c>
      <c r="AX343" s="21">
        <f t="shared" si="16"/>
        <v>2025</v>
      </c>
    </row>
    <row r="344" spans="1:50" ht="15.75" customHeight="1">
      <c r="A344" s="10" t="s">
        <v>1160</v>
      </c>
      <c r="B344" s="11">
        <v>45862</v>
      </c>
      <c r="C344" s="11">
        <v>45870</v>
      </c>
      <c r="D344" s="10" t="s">
        <v>1161</v>
      </c>
      <c r="E344" s="10" t="s">
        <v>294</v>
      </c>
      <c r="F344" s="10" t="s">
        <v>66</v>
      </c>
      <c r="G344" s="10" t="s">
        <v>67</v>
      </c>
      <c r="H344" s="10" t="s">
        <v>258</v>
      </c>
      <c r="I344" s="10" t="s">
        <v>259</v>
      </c>
      <c r="J344" s="10" t="s">
        <v>57</v>
      </c>
      <c r="K344" s="10" t="s">
        <v>182</v>
      </c>
      <c r="L344" s="10" t="s">
        <v>1162</v>
      </c>
      <c r="M344" s="10" t="s">
        <v>79</v>
      </c>
      <c r="N344" s="12">
        <v>8</v>
      </c>
      <c r="O344" s="12">
        <v>1528.92</v>
      </c>
      <c r="P344" s="12">
        <v>0</v>
      </c>
      <c r="Q344" s="12">
        <v>12231.36</v>
      </c>
      <c r="R344" s="12">
        <v>8766.9</v>
      </c>
      <c r="S344" s="12">
        <v>3464.46</v>
      </c>
      <c r="T344" s="10" t="s">
        <v>61</v>
      </c>
      <c r="U344" s="13" t="s">
        <v>62</v>
      </c>
      <c r="V344" s="14" t="e">
        <f t="shared" ca="1" si="0"/>
        <v>#NAME?</v>
      </c>
      <c r="W344" s="10" t="str">
        <f ca="1">IFERROR(__xludf.DUMMYFUNCTION("IF(COUNTIF($A:$A,A338)=1,
""Unique"",
IF(COUNTUNIQUE(FILTER($V$2:$V$934,$A$2:$A$934=A338))&gt;1,
""Conflicting Duplicate"",
""Exact Duplicate""))"),"Unique")</f>
        <v>Unique</v>
      </c>
      <c r="X344" s="10" t="b">
        <f t="shared" ca="1" si="1"/>
        <v>1</v>
      </c>
      <c r="Y344" s="10" t="str">
        <f t="shared" si="2"/>
        <v>Unique</v>
      </c>
      <c r="Z344" s="10"/>
      <c r="AA344" s="10" t="str">
        <f t="shared" si="3"/>
        <v>Clean</v>
      </c>
      <c r="AB344" s="15" t="str">
        <f t="shared" si="4"/>
        <v>Valid</v>
      </c>
      <c r="AC344" s="15">
        <v>8</v>
      </c>
      <c r="AD344" s="16" t="str">
        <f t="shared" si="5"/>
        <v>Valid</v>
      </c>
      <c r="AE344" s="16" t="str">
        <f t="shared" si="6"/>
        <v>Valid</v>
      </c>
      <c r="AF344" s="16" t="str">
        <f t="shared" ref="AF344:AG344" si="699">IF(ISNUMBER(B344),"Valid","Invalid")</f>
        <v>Valid</v>
      </c>
      <c r="AG344" s="16" t="str">
        <f t="shared" si="699"/>
        <v>Valid</v>
      </c>
      <c r="AH344" s="16" t="str">
        <f t="shared" ref="AH344:AI344" si="700">IF(OR(B344="",ISBLANK(B344)),"Missing","Valid")</f>
        <v>Valid</v>
      </c>
      <c r="AI344" s="16" t="str">
        <f t="shared" si="700"/>
        <v>Valid</v>
      </c>
      <c r="AJ344" s="16" t="b">
        <v>0</v>
      </c>
      <c r="AK344" s="16" t="b">
        <v>0</v>
      </c>
      <c r="AL344" s="16" t="b">
        <v>0</v>
      </c>
      <c r="AM344" s="16" t="b">
        <v>0</v>
      </c>
      <c r="AN344" s="16" t="b">
        <v>0</v>
      </c>
      <c r="AO344" s="16" t="b">
        <v>0</v>
      </c>
      <c r="AP344" s="16" t="b">
        <v>0</v>
      </c>
      <c r="AQ344" s="17">
        <f t="shared" si="9"/>
        <v>0</v>
      </c>
      <c r="AR344" s="12">
        <f t="shared" si="10"/>
        <v>12231.36</v>
      </c>
      <c r="AS344" s="18">
        <f t="shared" si="11"/>
        <v>0</v>
      </c>
      <c r="AT344" s="12">
        <f t="shared" si="12"/>
        <v>3464.4600000000009</v>
      </c>
      <c r="AU344" s="18">
        <f t="shared" si="13"/>
        <v>0</v>
      </c>
      <c r="AV344" s="19">
        <f t="shared" si="14"/>
        <v>0.28324405462679547</v>
      </c>
      <c r="AW344" s="20" t="str">
        <f t="shared" si="15"/>
        <v>July</v>
      </c>
      <c r="AX344" s="21">
        <f t="shared" si="16"/>
        <v>2025</v>
      </c>
    </row>
    <row r="345" spans="1:50" ht="15.75" customHeight="1">
      <c r="A345" s="10" t="s">
        <v>1163</v>
      </c>
      <c r="B345" s="11">
        <v>45933</v>
      </c>
      <c r="C345" s="11">
        <v>45938</v>
      </c>
      <c r="D345" s="10" t="s">
        <v>1164</v>
      </c>
      <c r="E345" s="10" t="s">
        <v>157</v>
      </c>
      <c r="F345" s="10" t="s">
        <v>119</v>
      </c>
      <c r="G345" s="10" t="s">
        <v>92</v>
      </c>
      <c r="H345" s="10" t="s">
        <v>101</v>
      </c>
      <c r="I345" s="10" t="s">
        <v>102</v>
      </c>
      <c r="J345" s="10" t="s">
        <v>103</v>
      </c>
      <c r="K345" s="10" t="s">
        <v>304</v>
      </c>
      <c r="L345" s="10" t="s">
        <v>1165</v>
      </c>
      <c r="M345" s="10" t="s">
        <v>73</v>
      </c>
      <c r="N345" s="12">
        <v>9</v>
      </c>
      <c r="O345" s="12">
        <v>3837</v>
      </c>
      <c r="P345" s="12">
        <v>0.1</v>
      </c>
      <c r="Q345" s="12">
        <v>31079.7</v>
      </c>
      <c r="R345" s="12">
        <v>17758.25</v>
      </c>
      <c r="S345" s="12">
        <v>13321.45</v>
      </c>
      <c r="T345" s="10" t="s">
        <v>61</v>
      </c>
      <c r="U345" s="13" t="s">
        <v>62</v>
      </c>
      <c r="V345" s="14" t="e">
        <f t="shared" ca="1" si="0"/>
        <v>#NAME?</v>
      </c>
      <c r="W345" s="10" t="str">
        <f ca="1">IFERROR(__xludf.DUMMYFUNCTION("IF(COUNTIF($A:$A,A339)=1,
""Unique"",
IF(COUNTUNIQUE(FILTER($V$2:$V$934,$A$2:$A$934=A339))&gt;1,
""Conflicting Duplicate"",
""Exact Duplicate""))"),"Unique")</f>
        <v>Unique</v>
      </c>
      <c r="X345" s="10" t="b">
        <f t="shared" ca="1" si="1"/>
        <v>1</v>
      </c>
      <c r="Y345" s="10" t="str">
        <f t="shared" si="2"/>
        <v>Unique</v>
      </c>
      <c r="Z345" s="10"/>
      <c r="AA345" s="10" t="str">
        <f t="shared" si="3"/>
        <v>Clean</v>
      </c>
      <c r="AB345" s="15" t="str">
        <f t="shared" si="4"/>
        <v>Valid</v>
      </c>
      <c r="AC345" s="15">
        <v>5</v>
      </c>
      <c r="AD345" s="16" t="str">
        <f t="shared" si="5"/>
        <v>Valid</v>
      </c>
      <c r="AE345" s="16" t="str">
        <f t="shared" si="6"/>
        <v>Valid</v>
      </c>
      <c r="AF345" s="16" t="str">
        <f t="shared" ref="AF345:AG345" si="701">IF(ISNUMBER(B345),"Valid","Invalid")</f>
        <v>Valid</v>
      </c>
      <c r="AG345" s="16" t="str">
        <f t="shared" si="701"/>
        <v>Valid</v>
      </c>
      <c r="AH345" s="16" t="str">
        <f t="shared" ref="AH345:AI345" si="702">IF(OR(B345="",ISBLANK(B345)),"Missing","Valid")</f>
        <v>Valid</v>
      </c>
      <c r="AI345" s="16" t="str">
        <f t="shared" si="702"/>
        <v>Valid</v>
      </c>
      <c r="AJ345" s="16" t="b">
        <v>0</v>
      </c>
      <c r="AK345" s="16" t="b">
        <v>0</v>
      </c>
      <c r="AL345" s="16" t="b">
        <v>0</v>
      </c>
      <c r="AM345" s="16" t="b">
        <v>0</v>
      </c>
      <c r="AN345" s="16" t="b">
        <v>0</v>
      </c>
      <c r="AO345" s="16" t="b">
        <v>0</v>
      </c>
      <c r="AP345" s="16" t="b">
        <v>0</v>
      </c>
      <c r="AQ345" s="17">
        <f t="shared" si="9"/>
        <v>0.1</v>
      </c>
      <c r="AR345" s="12">
        <f t="shared" si="10"/>
        <v>31079.7</v>
      </c>
      <c r="AS345" s="18">
        <f t="shared" si="11"/>
        <v>0</v>
      </c>
      <c r="AT345" s="12">
        <f t="shared" si="12"/>
        <v>13321.45</v>
      </c>
      <c r="AU345" s="18">
        <f t="shared" si="13"/>
        <v>0</v>
      </c>
      <c r="AV345" s="19">
        <f t="shared" si="14"/>
        <v>0.4286222196481948</v>
      </c>
      <c r="AW345" s="20" t="str">
        <f t="shared" si="15"/>
        <v>October</v>
      </c>
      <c r="AX345" s="21">
        <f t="shared" si="16"/>
        <v>2025</v>
      </c>
    </row>
    <row r="346" spans="1:50" ht="15.75" customHeight="1">
      <c r="A346" s="10" t="s">
        <v>1166</v>
      </c>
      <c r="B346" s="11">
        <v>45362</v>
      </c>
      <c r="C346" s="11">
        <v>45362</v>
      </c>
      <c r="D346" s="10" t="s">
        <v>1167</v>
      </c>
      <c r="E346" s="10" t="s">
        <v>143</v>
      </c>
      <c r="F346" s="10" t="s">
        <v>53</v>
      </c>
      <c r="G346" s="10" t="s">
        <v>54</v>
      </c>
      <c r="H346" s="10" t="s">
        <v>151</v>
      </c>
      <c r="I346" s="10" t="s">
        <v>152</v>
      </c>
      <c r="J346" s="10" t="s">
        <v>70</v>
      </c>
      <c r="K346" s="10" t="s">
        <v>187</v>
      </c>
      <c r="L346" s="10" t="s">
        <v>1168</v>
      </c>
      <c r="M346" s="10" t="s">
        <v>73</v>
      </c>
      <c r="N346" s="12">
        <v>9</v>
      </c>
      <c r="O346" s="12">
        <v>3456.38</v>
      </c>
      <c r="P346" s="12">
        <v>0</v>
      </c>
      <c r="Q346" s="12">
        <v>31107.42</v>
      </c>
      <c r="R346" s="12">
        <v>20146.66</v>
      </c>
      <c r="S346" s="12">
        <v>10960.76</v>
      </c>
      <c r="T346" s="10" t="s">
        <v>140</v>
      </c>
      <c r="U346" s="13" t="s">
        <v>132</v>
      </c>
      <c r="V346" s="14" t="e">
        <f t="shared" ca="1" si="0"/>
        <v>#NAME?</v>
      </c>
      <c r="W346" s="10" t="str">
        <f ca="1">IFERROR(__xludf.DUMMYFUNCTION("IF(COUNTIF($A:$A,A340)=1,
""Unique"",
IF(COUNTUNIQUE(FILTER($V$2:$V$934,$A$2:$A$934=A340))&gt;1,
""Conflicting Duplicate"",
""Exact Duplicate""))"),"Unique")</f>
        <v>Unique</v>
      </c>
      <c r="X346" s="10" t="b">
        <f t="shared" ca="1" si="1"/>
        <v>1</v>
      </c>
      <c r="Y346" s="10" t="str">
        <f t="shared" si="2"/>
        <v>Unique</v>
      </c>
      <c r="Z346" s="10"/>
      <c r="AA346" s="10" t="str">
        <f t="shared" si="3"/>
        <v>Clean</v>
      </c>
      <c r="AB346" s="15" t="str">
        <f t="shared" si="4"/>
        <v>Valid</v>
      </c>
      <c r="AC346" s="15">
        <v>0</v>
      </c>
      <c r="AD346" s="16" t="str">
        <f t="shared" si="5"/>
        <v>Valid</v>
      </c>
      <c r="AE346" s="16" t="str">
        <f t="shared" si="6"/>
        <v>Valid</v>
      </c>
      <c r="AF346" s="16" t="str">
        <f t="shared" ref="AF346:AG346" si="703">IF(ISNUMBER(B346),"Valid","Invalid")</f>
        <v>Valid</v>
      </c>
      <c r="AG346" s="16" t="str">
        <f t="shared" si="703"/>
        <v>Valid</v>
      </c>
      <c r="AH346" s="16" t="str">
        <f t="shared" ref="AH346:AI346" si="704">IF(OR(B346="",ISBLANK(B346)),"Missing","Valid")</f>
        <v>Valid</v>
      </c>
      <c r="AI346" s="16" t="str">
        <f t="shared" si="704"/>
        <v>Valid</v>
      </c>
      <c r="AJ346" s="16" t="b">
        <v>0</v>
      </c>
      <c r="AK346" s="16" t="b">
        <v>0</v>
      </c>
      <c r="AL346" s="16" t="b">
        <v>0</v>
      </c>
      <c r="AM346" s="16" t="b">
        <v>0</v>
      </c>
      <c r="AN346" s="16" t="b">
        <v>0</v>
      </c>
      <c r="AO346" s="16" t="b">
        <v>0</v>
      </c>
      <c r="AP346" s="16" t="b">
        <v>0</v>
      </c>
      <c r="AQ346" s="17">
        <f t="shared" si="9"/>
        <v>0</v>
      </c>
      <c r="AR346" s="12">
        <f t="shared" si="10"/>
        <v>31107.420000000002</v>
      </c>
      <c r="AS346" s="18">
        <f t="shared" si="11"/>
        <v>0</v>
      </c>
      <c r="AT346" s="12">
        <f t="shared" si="12"/>
        <v>10960.760000000002</v>
      </c>
      <c r="AU346" s="18">
        <f t="shared" si="13"/>
        <v>0</v>
      </c>
      <c r="AV346" s="19">
        <f t="shared" si="14"/>
        <v>0.3523519468988428</v>
      </c>
      <c r="AW346" s="20" t="str">
        <f t="shared" si="15"/>
        <v>March</v>
      </c>
      <c r="AX346" s="21">
        <f t="shared" si="16"/>
        <v>2024</v>
      </c>
    </row>
    <row r="347" spans="1:50" ht="15.75" customHeight="1">
      <c r="A347" s="10" t="s">
        <v>1169</v>
      </c>
      <c r="B347" s="11">
        <v>45549</v>
      </c>
      <c r="C347" s="11">
        <v>45557</v>
      </c>
      <c r="D347" s="10" t="s">
        <v>1170</v>
      </c>
      <c r="E347" s="10" t="s">
        <v>52</v>
      </c>
      <c r="F347" s="10" t="s">
        <v>53</v>
      </c>
      <c r="G347" s="10" t="s">
        <v>92</v>
      </c>
      <c r="H347" s="10" t="s">
        <v>101</v>
      </c>
      <c r="I347" s="10" t="s">
        <v>102</v>
      </c>
      <c r="J347" s="10" t="s">
        <v>70</v>
      </c>
      <c r="K347" s="10" t="s">
        <v>86</v>
      </c>
      <c r="L347" s="10" t="s">
        <v>1171</v>
      </c>
      <c r="M347" s="10" t="s">
        <v>60</v>
      </c>
      <c r="N347" s="12">
        <v>2</v>
      </c>
      <c r="O347" s="12">
        <v>2765.3</v>
      </c>
      <c r="P347" s="12">
        <v>0</v>
      </c>
      <c r="Q347" s="12">
        <v>5530.6</v>
      </c>
      <c r="R347" s="12">
        <v>4453.1099999999997</v>
      </c>
      <c r="S347" s="12">
        <v>1077.49</v>
      </c>
      <c r="T347" s="10" t="s">
        <v>61</v>
      </c>
      <c r="U347" s="13" t="s">
        <v>62</v>
      </c>
      <c r="V347" s="14" t="e">
        <f t="shared" ca="1" si="0"/>
        <v>#NAME?</v>
      </c>
      <c r="W347" s="10" t="str">
        <f ca="1">IFERROR(__xludf.DUMMYFUNCTION("IF(COUNTIF($A:$A,A341)=1,
""Unique"",
IF(COUNTUNIQUE(FILTER($V$2:$V$934,$A$2:$A$934=A341))&gt;1,
""Conflicting Duplicate"",
""Exact Duplicate""))"),"Unique")</f>
        <v>Unique</v>
      </c>
      <c r="X347" s="10" t="b">
        <f t="shared" ca="1" si="1"/>
        <v>1</v>
      </c>
      <c r="Y347" s="10" t="str">
        <f t="shared" si="2"/>
        <v>Unique</v>
      </c>
      <c r="Z347" s="10"/>
      <c r="AA347" s="10" t="str">
        <f t="shared" si="3"/>
        <v>Clean</v>
      </c>
      <c r="AB347" s="15" t="str">
        <f t="shared" si="4"/>
        <v>Valid</v>
      </c>
      <c r="AC347" s="15">
        <v>8</v>
      </c>
      <c r="AD347" s="16" t="str">
        <f t="shared" si="5"/>
        <v>Valid</v>
      </c>
      <c r="AE347" s="16" t="str">
        <f t="shared" si="6"/>
        <v>Valid</v>
      </c>
      <c r="AF347" s="16" t="str">
        <f t="shared" ref="AF347:AG347" si="705">IF(ISNUMBER(B347),"Valid","Invalid")</f>
        <v>Valid</v>
      </c>
      <c r="AG347" s="16" t="str">
        <f t="shared" si="705"/>
        <v>Valid</v>
      </c>
      <c r="AH347" s="16" t="str">
        <f t="shared" ref="AH347:AI347" si="706">IF(OR(B347="",ISBLANK(B347)),"Missing","Valid")</f>
        <v>Valid</v>
      </c>
      <c r="AI347" s="16" t="str">
        <f t="shared" si="706"/>
        <v>Valid</v>
      </c>
      <c r="AJ347" s="16" t="b">
        <v>0</v>
      </c>
      <c r="AK347" s="16" t="b">
        <v>0</v>
      </c>
      <c r="AL347" s="16" t="b">
        <v>0</v>
      </c>
      <c r="AM347" s="16" t="b">
        <v>0</v>
      </c>
      <c r="AN347" s="16" t="b">
        <v>0</v>
      </c>
      <c r="AO347" s="16" t="b">
        <v>0</v>
      </c>
      <c r="AP347" s="16" t="b">
        <v>0</v>
      </c>
      <c r="AQ347" s="17">
        <f t="shared" si="9"/>
        <v>0</v>
      </c>
      <c r="AR347" s="12">
        <f t="shared" si="10"/>
        <v>5530.6</v>
      </c>
      <c r="AS347" s="18">
        <f t="shared" si="11"/>
        <v>0</v>
      </c>
      <c r="AT347" s="12">
        <f t="shared" si="12"/>
        <v>1077.4900000000007</v>
      </c>
      <c r="AU347" s="18">
        <f t="shared" si="13"/>
        <v>0</v>
      </c>
      <c r="AV347" s="19">
        <f t="shared" si="14"/>
        <v>0.19482334647235391</v>
      </c>
      <c r="AW347" s="20" t="str">
        <f t="shared" si="15"/>
        <v>September</v>
      </c>
      <c r="AX347" s="21">
        <f t="shared" si="16"/>
        <v>2024</v>
      </c>
    </row>
    <row r="348" spans="1:50" ht="15.75" customHeight="1">
      <c r="A348" s="10" t="s">
        <v>1172</v>
      </c>
      <c r="B348" s="11">
        <v>45860</v>
      </c>
      <c r="C348" s="11">
        <v>45866</v>
      </c>
      <c r="D348" s="10" t="s">
        <v>1173</v>
      </c>
      <c r="E348" s="10" t="s">
        <v>147</v>
      </c>
      <c r="F348" s="10" t="s">
        <v>119</v>
      </c>
      <c r="G348" s="10" t="s">
        <v>83</v>
      </c>
      <c r="H348" s="10" t="s">
        <v>214</v>
      </c>
      <c r="I348" s="10" t="s">
        <v>215</v>
      </c>
      <c r="J348" s="10" t="s">
        <v>70</v>
      </c>
      <c r="K348" s="10" t="s">
        <v>95</v>
      </c>
      <c r="L348" s="10" t="s">
        <v>1174</v>
      </c>
      <c r="M348" s="10" t="s">
        <v>60</v>
      </c>
      <c r="N348" s="12">
        <v>6</v>
      </c>
      <c r="O348" s="12">
        <v>1607.46</v>
      </c>
      <c r="P348" s="12">
        <v>0.2</v>
      </c>
      <c r="Q348" s="12">
        <v>7715.81</v>
      </c>
      <c r="R348" s="12">
        <v>4258.42</v>
      </c>
      <c r="S348" s="12">
        <v>3457.39</v>
      </c>
      <c r="T348" s="10" t="s">
        <v>61</v>
      </c>
      <c r="U348" s="13" t="s">
        <v>62</v>
      </c>
      <c r="V348" s="14" t="e">
        <f t="shared" ca="1" si="0"/>
        <v>#NAME?</v>
      </c>
      <c r="W348" s="10" t="str">
        <f ca="1">IFERROR(__xludf.DUMMYFUNCTION("IF(COUNTIF($A:$A,A342)=1,
""Unique"",
IF(COUNTUNIQUE(FILTER($V$2:$V$934,$A$2:$A$934=A342))&gt;1,
""Conflicting Duplicate"",
""Exact Duplicate""))"),"Unique")</f>
        <v>Unique</v>
      </c>
      <c r="X348" s="10" t="b">
        <f t="shared" ca="1" si="1"/>
        <v>1</v>
      </c>
      <c r="Y348" s="10" t="str">
        <f t="shared" si="2"/>
        <v>Unique</v>
      </c>
      <c r="Z348" s="10"/>
      <c r="AA348" s="10" t="str">
        <f t="shared" si="3"/>
        <v>Clean</v>
      </c>
      <c r="AB348" s="15" t="str">
        <f t="shared" si="4"/>
        <v>Valid</v>
      </c>
      <c r="AC348" s="15">
        <v>6</v>
      </c>
      <c r="AD348" s="16" t="str">
        <f t="shared" si="5"/>
        <v>Valid</v>
      </c>
      <c r="AE348" s="16" t="str">
        <f t="shared" si="6"/>
        <v>Valid</v>
      </c>
      <c r="AF348" s="16" t="str">
        <f t="shared" ref="AF348:AG348" si="707">IF(ISNUMBER(B348),"Valid","Invalid")</f>
        <v>Valid</v>
      </c>
      <c r="AG348" s="16" t="str">
        <f t="shared" si="707"/>
        <v>Valid</v>
      </c>
      <c r="AH348" s="16" t="str">
        <f t="shared" ref="AH348:AI348" si="708">IF(OR(B348="",ISBLANK(B348)),"Missing","Valid")</f>
        <v>Valid</v>
      </c>
      <c r="AI348" s="16" t="str">
        <f t="shared" si="708"/>
        <v>Valid</v>
      </c>
      <c r="AJ348" s="16" t="b">
        <v>0</v>
      </c>
      <c r="AK348" s="16" t="b">
        <v>0</v>
      </c>
      <c r="AL348" s="16" t="b">
        <v>0</v>
      </c>
      <c r="AM348" s="16" t="b">
        <v>0</v>
      </c>
      <c r="AN348" s="16" t="b">
        <v>0</v>
      </c>
      <c r="AO348" s="16" t="b">
        <v>0</v>
      </c>
      <c r="AP348" s="16" t="b">
        <v>0</v>
      </c>
      <c r="AQ348" s="17">
        <f t="shared" si="9"/>
        <v>0.2</v>
      </c>
      <c r="AR348" s="12">
        <f t="shared" si="10"/>
        <v>7715.8080000000009</v>
      </c>
      <c r="AS348" s="18">
        <f t="shared" si="11"/>
        <v>1.9999999994979589E-3</v>
      </c>
      <c r="AT348" s="12">
        <f t="shared" si="12"/>
        <v>3457.3880000000008</v>
      </c>
      <c r="AU348" s="18">
        <f t="shared" si="13"/>
        <v>1.9999999990432116E-3</v>
      </c>
      <c r="AV348" s="19">
        <f t="shared" si="14"/>
        <v>0.4480915025360922</v>
      </c>
      <c r="AW348" s="20" t="str">
        <f t="shared" si="15"/>
        <v>July</v>
      </c>
      <c r="AX348" s="21">
        <f t="shared" si="16"/>
        <v>2025</v>
      </c>
    </row>
    <row r="349" spans="1:50" ht="15.75" customHeight="1">
      <c r="A349" s="10" t="s">
        <v>1175</v>
      </c>
      <c r="B349" s="11">
        <v>45627</v>
      </c>
      <c r="C349" s="11">
        <v>45634</v>
      </c>
      <c r="D349" s="10" t="s">
        <v>1176</v>
      </c>
      <c r="E349" s="10" t="s">
        <v>157</v>
      </c>
      <c r="F349" s="10" t="s">
        <v>66</v>
      </c>
      <c r="G349" s="10" t="s">
        <v>92</v>
      </c>
      <c r="H349" s="10" t="s">
        <v>219</v>
      </c>
      <c r="I349" s="10" t="s">
        <v>220</v>
      </c>
      <c r="J349" s="10" t="s">
        <v>70</v>
      </c>
      <c r="K349" s="10" t="s">
        <v>95</v>
      </c>
      <c r="L349" s="10" t="s">
        <v>1177</v>
      </c>
      <c r="M349" s="10" t="s">
        <v>60</v>
      </c>
      <c r="N349" s="12">
        <v>5</v>
      </c>
      <c r="O349" s="12">
        <v>2981.49</v>
      </c>
      <c r="P349" s="12">
        <v>0.2</v>
      </c>
      <c r="Q349" s="12">
        <v>11925.96</v>
      </c>
      <c r="R349" s="12">
        <v>10103.51</v>
      </c>
      <c r="S349" s="12">
        <v>1822.45</v>
      </c>
      <c r="T349" s="10" t="s">
        <v>131</v>
      </c>
      <c r="U349" s="13" t="s">
        <v>132</v>
      </c>
      <c r="V349" s="14" t="e">
        <f t="shared" ca="1" si="0"/>
        <v>#NAME?</v>
      </c>
      <c r="W349" s="10" t="str">
        <f ca="1">IFERROR(__xludf.DUMMYFUNCTION("IF(COUNTIF($A:$A,A343)=1,
""Unique"",
IF(COUNTUNIQUE(FILTER($V$2:$V$934,$A$2:$A$934=A343))&gt;1,
""Conflicting Duplicate"",
""Exact Duplicate""))"),"Unique")</f>
        <v>Unique</v>
      </c>
      <c r="X349" s="10" t="b">
        <f t="shared" ca="1" si="1"/>
        <v>1</v>
      </c>
      <c r="Y349" s="10" t="str">
        <f t="shared" si="2"/>
        <v>Unique</v>
      </c>
      <c r="Z349" s="10"/>
      <c r="AA349" s="10" t="str">
        <f t="shared" si="3"/>
        <v>Clean</v>
      </c>
      <c r="AB349" s="15" t="str">
        <f t="shared" si="4"/>
        <v>Valid</v>
      </c>
      <c r="AC349" s="15">
        <v>7</v>
      </c>
      <c r="AD349" s="16" t="str">
        <f t="shared" si="5"/>
        <v>Valid</v>
      </c>
      <c r="AE349" s="16" t="str">
        <f t="shared" si="6"/>
        <v>Valid</v>
      </c>
      <c r="AF349" s="16" t="str">
        <f t="shared" ref="AF349:AG349" si="709">IF(ISNUMBER(B349),"Valid","Invalid")</f>
        <v>Valid</v>
      </c>
      <c r="AG349" s="16" t="str">
        <f t="shared" si="709"/>
        <v>Valid</v>
      </c>
      <c r="AH349" s="16" t="str">
        <f t="shared" ref="AH349:AI349" si="710">IF(OR(B349="",ISBLANK(B349)),"Missing","Valid")</f>
        <v>Valid</v>
      </c>
      <c r="AI349" s="16" t="str">
        <f t="shared" si="710"/>
        <v>Valid</v>
      </c>
      <c r="AJ349" s="16" t="b">
        <v>0</v>
      </c>
      <c r="AK349" s="16" t="b">
        <v>0</v>
      </c>
      <c r="AL349" s="16" t="b">
        <v>0</v>
      </c>
      <c r="AM349" s="16" t="b">
        <v>0</v>
      </c>
      <c r="AN349" s="16" t="b">
        <v>0</v>
      </c>
      <c r="AO349" s="16" t="b">
        <v>0</v>
      </c>
      <c r="AP349" s="16" t="b">
        <v>0</v>
      </c>
      <c r="AQ349" s="17">
        <f t="shared" si="9"/>
        <v>0.2</v>
      </c>
      <c r="AR349" s="12">
        <f t="shared" si="10"/>
        <v>11925.96</v>
      </c>
      <c r="AS349" s="18">
        <f t="shared" si="11"/>
        <v>0</v>
      </c>
      <c r="AT349" s="12">
        <f t="shared" si="12"/>
        <v>1822.4499999999989</v>
      </c>
      <c r="AU349" s="18">
        <f t="shared" si="13"/>
        <v>0</v>
      </c>
      <c r="AV349" s="19">
        <f t="shared" si="14"/>
        <v>0.15281369382422874</v>
      </c>
      <c r="AW349" s="20" t="str">
        <f t="shared" si="15"/>
        <v>December</v>
      </c>
      <c r="AX349" s="21">
        <f t="shared" si="16"/>
        <v>2024</v>
      </c>
    </row>
    <row r="350" spans="1:50" ht="15.75" customHeight="1">
      <c r="A350" s="10" t="s">
        <v>1178</v>
      </c>
      <c r="B350" s="11">
        <v>45445</v>
      </c>
      <c r="C350" s="11">
        <v>45450</v>
      </c>
      <c r="D350" s="10" t="s">
        <v>1179</v>
      </c>
      <c r="E350" s="10" t="s">
        <v>157</v>
      </c>
      <c r="F350" s="10" t="s">
        <v>119</v>
      </c>
      <c r="G350" s="10" t="s">
        <v>83</v>
      </c>
      <c r="H350" s="10" t="s">
        <v>204</v>
      </c>
      <c r="I350" s="10" t="s">
        <v>205</v>
      </c>
      <c r="J350" s="10" t="s">
        <v>103</v>
      </c>
      <c r="K350" s="10" t="s">
        <v>200</v>
      </c>
      <c r="L350" s="10" t="s">
        <v>1180</v>
      </c>
      <c r="M350" s="10" t="s">
        <v>73</v>
      </c>
      <c r="N350" s="12">
        <v>9</v>
      </c>
      <c r="O350" s="12">
        <v>2860.26</v>
      </c>
      <c r="P350" s="12">
        <v>0.25</v>
      </c>
      <c r="Q350" s="12">
        <v>19306.759999999998</v>
      </c>
      <c r="R350" s="12">
        <v>14442.38</v>
      </c>
      <c r="S350" s="12">
        <v>4864.38</v>
      </c>
      <c r="T350" s="10" t="s">
        <v>61</v>
      </c>
      <c r="U350" s="13" t="s">
        <v>62</v>
      </c>
      <c r="V350" s="14" t="e">
        <f t="shared" ca="1" si="0"/>
        <v>#NAME?</v>
      </c>
      <c r="W350" s="10" t="str">
        <f ca="1">IFERROR(__xludf.DUMMYFUNCTION("IF(COUNTIF($A:$A,A344)=1,
""Unique"",
IF(COUNTUNIQUE(FILTER($V$2:$V$934,$A$2:$A$934=A344))&gt;1,
""Conflicting Duplicate"",
""Exact Duplicate""))"),"Unique")</f>
        <v>Unique</v>
      </c>
      <c r="X350" s="10" t="b">
        <f t="shared" ca="1" si="1"/>
        <v>1</v>
      </c>
      <c r="Y350" s="10" t="str">
        <f t="shared" si="2"/>
        <v>Unique</v>
      </c>
      <c r="Z350" s="10"/>
      <c r="AA350" s="10" t="str">
        <f t="shared" si="3"/>
        <v>Clean</v>
      </c>
      <c r="AB350" s="15" t="str">
        <f t="shared" si="4"/>
        <v>Valid</v>
      </c>
      <c r="AC350" s="15">
        <v>5</v>
      </c>
      <c r="AD350" s="16" t="str">
        <f t="shared" si="5"/>
        <v>Valid</v>
      </c>
      <c r="AE350" s="16" t="str">
        <f t="shared" si="6"/>
        <v>Valid</v>
      </c>
      <c r="AF350" s="16" t="str">
        <f t="shared" ref="AF350:AG350" si="711">IF(ISNUMBER(B350),"Valid","Invalid")</f>
        <v>Valid</v>
      </c>
      <c r="AG350" s="16" t="str">
        <f t="shared" si="711"/>
        <v>Valid</v>
      </c>
      <c r="AH350" s="16" t="str">
        <f t="shared" ref="AH350:AI350" si="712">IF(OR(B350="",ISBLANK(B350)),"Missing","Valid")</f>
        <v>Valid</v>
      </c>
      <c r="AI350" s="16" t="str">
        <f t="shared" si="712"/>
        <v>Valid</v>
      </c>
      <c r="AJ350" s="16" t="b">
        <v>0</v>
      </c>
      <c r="AK350" s="16" t="b">
        <v>0</v>
      </c>
      <c r="AL350" s="16" t="b">
        <v>0</v>
      </c>
      <c r="AM350" s="16" t="b">
        <v>0</v>
      </c>
      <c r="AN350" s="16" t="b">
        <v>0</v>
      </c>
      <c r="AO350" s="16" t="b">
        <v>0</v>
      </c>
      <c r="AP350" s="16" t="b">
        <v>0</v>
      </c>
      <c r="AQ350" s="17">
        <f t="shared" si="9"/>
        <v>0.25</v>
      </c>
      <c r="AR350" s="12">
        <f t="shared" si="10"/>
        <v>19306.755000000005</v>
      </c>
      <c r="AS350" s="18">
        <f t="shared" si="11"/>
        <v>4.9999999937426765E-3</v>
      </c>
      <c r="AT350" s="12">
        <f t="shared" si="12"/>
        <v>4864.3750000000055</v>
      </c>
      <c r="AU350" s="18">
        <f t="shared" si="13"/>
        <v>4.9999999946521712E-3</v>
      </c>
      <c r="AV350" s="19">
        <f t="shared" si="14"/>
        <v>0.25195197225012717</v>
      </c>
      <c r="AW350" s="20" t="str">
        <f t="shared" si="15"/>
        <v>June</v>
      </c>
      <c r="AX350" s="21">
        <f t="shared" si="16"/>
        <v>2024</v>
      </c>
    </row>
    <row r="351" spans="1:50" ht="15.75" customHeight="1">
      <c r="A351" s="10" t="s">
        <v>1181</v>
      </c>
      <c r="B351" s="11">
        <v>45927</v>
      </c>
      <c r="C351" s="11">
        <v>45929</v>
      </c>
      <c r="D351" s="10" t="s">
        <v>1182</v>
      </c>
      <c r="E351" s="10" t="s">
        <v>294</v>
      </c>
      <c r="F351" s="10" t="s">
        <v>124</v>
      </c>
      <c r="G351" s="10" t="s">
        <v>67</v>
      </c>
      <c r="H351" s="10" t="s">
        <v>258</v>
      </c>
      <c r="I351" s="10" t="s">
        <v>259</v>
      </c>
      <c r="J351" s="10" t="s">
        <v>70</v>
      </c>
      <c r="K351" s="10" t="s">
        <v>86</v>
      </c>
      <c r="L351" s="10" t="s">
        <v>1183</v>
      </c>
      <c r="M351" s="10" t="s">
        <v>60</v>
      </c>
      <c r="N351" s="12">
        <v>9</v>
      </c>
      <c r="O351" s="12">
        <v>2867.55</v>
      </c>
      <c r="P351" s="12">
        <v>0.25</v>
      </c>
      <c r="Q351" s="12">
        <v>19355.96</v>
      </c>
      <c r="R351" s="12">
        <v>15012.45</v>
      </c>
      <c r="S351" s="12">
        <v>4017.4</v>
      </c>
      <c r="T351" s="10" t="s">
        <v>61</v>
      </c>
      <c r="U351" s="13" t="s">
        <v>62</v>
      </c>
      <c r="V351" s="14" t="e">
        <f t="shared" ca="1" si="0"/>
        <v>#NAME?</v>
      </c>
      <c r="W351" s="10" t="str">
        <f ca="1">IFERROR(__xludf.DUMMYFUNCTION("IF(COUNTIF($A:$A,A345)=1,
""Unique"",
IF(COUNTUNIQUE(FILTER($V$2:$V$934,$A$2:$A$934=A345))&gt;1,
""Conflicting Duplicate"",
""Exact Duplicate""))"),"Unique")</f>
        <v>Unique</v>
      </c>
      <c r="X351" s="10" t="b">
        <f t="shared" ca="1" si="1"/>
        <v>1</v>
      </c>
      <c r="Y351" s="10" t="str">
        <f t="shared" si="2"/>
        <v>Unique</v>
      </c>
      <c r="Z351" s="10"/>
      <c r="AA351" s="10" t="str">
        <f t="shared" si="3"/>
        <v>Clean</v>
      </c>
      <c r="AB351" s="15" t="str">
        <f t="shared" si="4"/>
        <v>Valid</v>
      </c>
      <c r="AC351" s="15">
        <v>2</v>
      </c>
      <c r="AD351" s="16" t="str">
        <f t="shared" si="5"/>
        <v>Valid</v>
      </c>
      <c r="AE351" s="16" t="str">
        <f t="shared" si="6"/>
        <v>Valid</v>
      </c>
      <c r="AF351" s="16" t="str">
        <f t="shared" ref="AF351:AG351" si="713">IF(ISNUMBER(B351),"Valid","Invalid")</f>
        <v>Valid</v>
      </c>
      <c r="AG351" s="16" t="str">
        <f t="shared" si="713"/>
        <v>Valid</v>
      </c>
      <c r="AH351" s="16" t="str">
        <f t="shared" ref="AH351:AI351" si="714">IF(OR(B351="",ISBLANK(B351)),"Missing","Valid")</f>
        <v>Valid</v>
      </c>
      <c r="AI351" s="16" t="str">
        <f t="shared" si="714"/>
        <v>Valid</v>
      </c>
      <c r="AJ351" s="16" t="b">
        <v>0</v>
      </c>
      <c r="AK351" s="16" t="b">
        <v>0</v>
      </c>
      <c r="AL351" s="16" t="b">
        <v>0</v>
      </c>
      <c r="AM351" s="16" t="b">
        <v>0</v>
      </c>
      <c r="AN351" s="16" t="b">
        <v>0</v>
      </c>
      <c r="AO351" s="16" t="b">
        <v>0</v>
      </c>
      <c r="AP351" s="16" t="b">
        <v>0</v>
      </c>
      <c r="AQ351" s="17">
        <f t="shared" si="9"/>
        <v>0.25</v>
      </c>
      <c r="AR351" s="12">
        <f t="shared" si="10"/>
        <v>19355.962500000001</v>
      </c>
      <c r="AS351" s="18">
        <f t="shared" si="11"/>
        <v>-2.5000000023283064E-3</v>
      </c>
      <c r="AT351" s="12">
        <f t="shared" si="12"/>
        <v>4343.5125000000007</v>
      </c>
      <c r="AU351" s="18">
        <f t="shared" si="13"/>
        <v>-326.11250000000064</v>
      </c>
      <c r="AV351" s="19">
        <f t="shared" si="14"/>
        <v>0.22440178317146461</v>
      </c>
      <c r="AW351" s="20" t="str">
        <f t="shared" si="15"/>
        <v>September</v>
      </c>
      <c r="AX351" s="21">
        <f t="shared" si="16"/>
        <v>2025</v>
      </c>
    </row>
    <row r="352" spans="1:50" ht="15.75" customHeight="1">
      <c r="A352" s="10" t="s">
        <v>1184</v>
      </c>
      <c r="B352" s="11">
        <v>45298</v>
      </c>
      <c r="C352" s="11">
        <v>45305</v>
      </c>
      <c r="D352" s="10" t="s">
        <v>1185</v>
      </c>
      <c r="E352" s="10" t="s">
        <v>161</v>
      </c>
      <c r="F352" s="10" t="s">
        <v>66</v>
      </c>
      <c r="G352" s="10" t="s">
        <v>67</v>
      </c>
      <c r="H352" s="10" t="s">
        <v>258</v>
      </c>
      <c r="I352" s="10" t="s">
        <v>259</v>
      </c>
      <c r="J352" s="10" t="s">
        <v>70</v>
      </c>
      <c r="K352" s="10" t="s">
        <v>86</v>
      </c>
      <c r="L352" s="10" t="s">
        <v>1186</v>
      </c>
      <c r="M352" s="10" t="s">
        <v>60</v>
      </c>
      <c r="N352" s="12">
        <v>4</v>
      </c>
      <c r="O352" s="12">
        <v>3309.54</v>
      </c>
      <c r="P352" s="12">
        <v>0.1</v>
      </c>
      <c r="Q352" s="12">
        <v>11914.34</v>
      </c>
      <c r="R352" s="12">
        <v>9771.24</v>
      </c>
      <c r="S352" s="12">
        <v>2143.1</v>
      </c>
      <c r="T352" s="10" t="s">
        <v>131</v>
      </c>
      <c r="U352" s="13" t="s">
        <v>132</v>
      </c>
      <c r="V352" s="14" t="e">
        <f t="shared" ca="1" si="0"/>
        <v>#NAME?</v>
      </c>
      <c r="W352" s="10" t="str">
        <f ca="1">IFERROR(__xludf.DUMMYFUNCTION("IF(COUNTIF($A:$A,A346)=1,
""Unique"",
IF(COUNTUNIQUE(FILTER($V$2:$V$934,$A$2:$A$934=A346))&gt;1,
""Conflicting Duplicate"",
""Exact Duplicate""))"),"Unique")</f>
        <v>Unique</v>
      </c>
      <c r="X352" s="10" t="b">
        <f t="shared" ca="1" si="1"/>
        <v>1</v>
      </c>
      <c r="Y352" s="10" t="str">
        <f t="shared" si="2"/>
        <v>Unique</v>
      </c>
      <c r="Z352" s="10"/>
      <c r="AA352" s="10" t="str">
        <f t="shared" si="3"/>
        <v>Clean</v>
      </c>
      <c r="AB352" s="15" t="str">
        <f t="shared" si="4"/>
        <v>Valid</v>
      </c>
      <c r="AC352" s="15">
        <v>7</v>
      </c>
      <c r="AD352" s="16" t="str">
        <f t="shared" si="5"/>
        <v>Valid</v>
      </c>
      <c r="AE352" s="16" t="str">
        <f t="shared" si="6"/>
        <v>Valid</v>
      </c>
      <c r="AF352" s="16" t="str">
        <f t="shared" ref="AF352:AG352" si="715">IF(ISNUMBER(B352),"Valid","Invalid")</f>
        <v>Valid</v>
      </c>
      <c r="AG352" s="16" t="str">
        <f t="shared" si="715"/>
        <v>Valid</v>
      </c>
      <c r="AH352" s="16" t="str">
        <f t="shared" ref="AH352:AI352" si="716">IF(OR(B352="",ISBLANK(B352)),"Missing","Valid")</f>
        <v>Valid</v>
      </c>
      <c r="AI352" s="16" t="str">
        <f t="shared" si="716"/>
        <v>Valid</v>
      </c>
      <c r="AJ352" s="16" t="b">
        <v>0</v>
      </c>
      <c r="AK352" s="16" t="b">
        <v>0</v>
      </c>
      <c r="AL352" s="16" t="b">
        <v>0</v>
      </c>
      <c r="AM352" s="16" t="b">
        <v>0</v>
      </c>
      <c r="AN352" s="16" t="b">
        <v>0</v>
      </c>
      <c r="AO352" s="16" t="b">
        <v>0</v>
      </c>
      <c r="AP352" s="16" t="b">
        <v>0</v>
      </c>
      <c r="AQ352" s="17">
        <f t="shared" si="9"/>
        <v>0.1</v>
      </c>
      <c r="AR352" s="12">
        <f t="shared" si="10"/>
        <v>11914.344000000001</v>
      </c>
      <c r="AS352" s="18">
        <f t="shared" si="11"/>
        <v>-4.0000000008149073E-3</v>
      </c>
      <c r="AT352" s="12">
        <f t="shared" si="12"/>
        <v>2143.1040000000012</v>
      </c>
      <c r="AU352" s="18">
        <f t="shared" si="13"/>
        <v>-4.0000000012696546E-3</v>
      </c>
      <c r="AV352" s="19">
        <f t="shared" si="14"/>
        <v>0.17987595456367561</v>
      </c>
      <c r="AW352" s="20" t="str">
        <f t="shared" si="15"/>
        <v>January</v>
      </c>
      <c r="AX352" s="21">
        <f t="shared" si="16"/>
        <v>2024</v>
      </c>
    </row>
    <row r="353" spans="1:50" ht="15.75" customHeight="1">
      <c r="A353" s="10" t="s">
        <v>1187</v>
      </c>
      <c r="B353" s="11">
        <v>45800</v>
      </c>
      <c r="C353" s="11">
        <v>45804</v>
      </c>
      <c r="D353" s="10" t="s">
        <v>1188</v>
      </c>
      <c r="E353" s="10" t="s">
        <v>100</v>
      </c>
      <c r="F353" s="10" t="s">
        <v>66</v>
      </c>
      <c r="G353" s="10" t="s">
        <v>83</v>
      </c>
      <c r="H353" s="10" t="s">
        <v>84</v>
      </c>
      <c r="I353" s="10" t="s">
        <v>85</v>
      </c>
      <c r="J353" s="10" t="s">
        <v>57</v>
      </c>
      <c r="K353" s="10" t="s">
        <v>153</v>
      </c>
      <c r="L353" s="10" t="s">
        <v>1189</v>
      </c>
      <c r="M353" s="10" t="s">
        <v>79</v>
      </c>
      <c r="N353" s="12">
        <v>6</v>
      </c>
      <c r="O353" s="12">
        <v>719.44</v>
      </c>
      <c r="P353" s="12">
        <v>0.25</v>
      </c>
      <c r="Q353" s="12">
        <v>3237.48</v>
      </c>
      <c r="R353" s="12">
        <v>2118.34</v>
      </c>
      <c r="S353" s="12">
        <v>1119.1400000000001</v>
      </c>
      <c r="T353" s="10" t="s">
        <v>140</v>
      </c>
      <c r="U353" s="13" t="s">
        <v>97</v>
      </c>
      <c r="V353" s="14" t="e">
        <f t="shared" ca="1" si="0"/>
        <v>#NAME?</v>
      </c>
      <c r="W353" s="10" t="str">
        <f ca="1">IFERROR(__xludf.DUMMYFUNCTION("IF(COUNTIF($A:$A,A347)=1,
""Unique"",
IF(COUNTUNIQUE(FILTER($V$2:$V$934,$A$2:$A$934=A347))&gt;1,
""Conflicting Duplicate"",
""Exact Duplicate""))"),"Unique")</f>
        <v>Unique</v>
      </c>
      <c r="X353" s="10" t="b">
        <f t="shared" ca="1" si="1"/>
        <v>1</v>
      </c>
      <c r="Y353" s="10" t="str">
        <f t="shared" si="2"/>
        <v>Unique</v>
      </c>
      <c r="Z353" s="10"/>
      <c r="AA353" s="10" t="str">
        <f t="shared" si="3"/>
        <v>Clean</v>
      </c>
      <c r="AB353" s="15" t="str">
        <f t="shared" si="4"/>
        <v>Valid</v>
      </c>
      <c r="AC353" s="15">
        <v>4</v>
      </c>
      <c r="AD353" s="16" t="str">
        <f t="shared" si="5"/>
        <v>Valid</v>
      </c>
      <c r="AE353" s="16" t="str">
        <f t="shared" si="6"/>
        <v>Valid</v>
      </c>
      <c r="AF353" s="16" t="str">
        <f t="shared" ref="AF353:AG353" si="717">IF(ISNUMBER(B353),"Valid","Invalid")</f>
        <v>Valid</v>
      </c>
      <c r="AG353" s="16" t="str">
        <f t="shared" si="717"/>
        <v>Valid</v>
      </c>
      <c r="AH353" s="16" t="str">
        <f t="shared" ref="AH353:AI353" si="718">IF(OR(B353="",ISBLANK(B353)),"Missing","Valid")</f>
        <v>Valid</v>
      </c>
      <c r="AI353" s="16" t="str">
        <f t="shared" si="718"/>
        <v>Valid</v>
      </c>
      <c r="AJ353" s="16" t="b">
        <v>0</v>
      </c>
      <c r="AK353" s="16" t="b">
        <v>0</v>
      </c>
      <c r="AL353" s="16" t="b">
        <v>0</v>
      </c>
      <c r="AM353" s="16" t="b">
        <v>0</v>
      </c>
      <c r="AN353" s="16" t="b">
        <v>0</v>
      </c>
      <c r="AO353" s="16" t="b">
        <v>0</v>
      </c>
      <c r="AP353" s="16" t="b">
        <v>0</v>
      </c>
      <c r="AQ353" s="17">
        <f t="shared" si="9"/>
        <v>0.25</v>
      </c>
      <c r="AR353" s="12">
        <f t="shared" si="10"/>
        <v>3237.4800000000005</v>
      </c>
      <c r="AS353" s="18">
        <f t="shared" si="11"/>
        <v>0</v>
      </c>
      <c r="AT353" s="12">
        <f t="shared" si="12"/>
        <v>1119.1400000000003</v>
      </c>
      <c r="AU353" s="18">
        <f t="shared" si="13"/>
        <v>0</v>
      </c>
      <c r="AV353" s="19">
        <f t="shared" si="14"/>
        <v>0.34568244437031276</v>
      </c>
      <c r="AW353" s="20" t="str">
        <f t="shared" si="15"/>
        <v>May</v>
      </c>
      <c r="AX353" s="21">
        <f t="shared" si="16"/>
        <v>2025</v>
      </c>
    </row>
    <row r="354" spans="1:50" ht="15.75" customHeight="1">
      <c r="A354" s="10" t="s">
        <v>1190</v>
      </c>
      <c r="B354" s="11">
        <v>45884</v>
      </c>
      <c r="C354" s="11">
        <v>45886</v>
      </c>
      <c r="D354" s="10" t="s">
        <v>1191</v>
      </c>
      <c r="E354" s="10" t="s">
        <v>191</v>
      </c>
      <c r="F354" s="10" t="s">
        <v>66</v>
      </c>
      <c r="G354" s="10" t="s">
        <v>67</v>
      </c>
      <c r="H354" s="10" t="s">
        <v>195</v>
      </c>
      <c r="I354" s="10" t="s">
        <v>196</v>
      </c>
      <c r="J354" s="10" t="s">
        <v>103</v>
      </c>
      <c r="K354" s="10" t="s">
        <v>109</v>
      </c>
      <c r="L354" s="10" t="s">
        <v>1192</v>
      </c>
      <c r="M354" s="10" t="s">
        <v>79</v>
      </c>
      <c r="N354" s="12">
        <v>5</v>
      </c>
      <c r="O354" s="12">
        <v>2862.6</v>
      </c>
      <c r="P354" s="12">
        <v>0.25</v>
      </c>
      <c r="Q354" s="12">
        <v>10734.75</v>
      </c>
      <c r="R354" s="12">
        <v>6475.73</v>
      </c>
      <c r="S354" s="12">
        <v>4259.0200000000004</v>
      </c>
      <c r="T354" s="10" t="s">
        <v>61</v>
      </c>
      <c r="U354" s="13" t="s">
        <v>62</v>
      </c>
      <c r="V354" s="14" t="e">
        <f t="shared" ca="1" si="0"/>
        <v>#NAME?</v>
      </c>
      <c r="W354" s="10" t="str">
        <f ca="1">IFERROR(__xludf.DUMMYFUNCTION("IF(COUNTIF($A:$A,A348)=1,
""Unique"",
IF(COUNTUNIQUE(FILTER($V$2:$V$934,$A$2:$A$934=A348))&gt;1,
""Conflicting Duplicate"",
""Exact Duplicate""))"),"Unique")</f>
        <v>Unique</v>
      </c>
      <c r="X354" s="10" t="b">
        <f t="shared" ca="1" si="1"/>
        <v>1</v>
      </c>
      <c r="Y354" s="10" t="str">
        <f t="shared" si="2"/>
        <v>Unique</v>
      </c>
      <c r="Z354" s="10"/>
      <c r="AA354" s="10" t="str">
        <f t="shared" si="3"/>
        <v>Clean</v>
      </c>
      <c r="AB354" s="15" t="str">
        <f t="shared" si="4"/>
        <v>Valid</v>
      </c>
      <c r="AC354" s="15">
        <v>2</v>
      </c>
      <c r="AD354" s="16" t="str">
        <f t="shared" si="5"/>
        <v>Valid</v>
      </c>
      <c r="AE354" s="16" t="str">
        <f t="shared" si="6"/>
        <v>Valid</v>
      </c>
      <c r="AF354" s="16" t="str">
        <f t="shared" ref="AF354:AG354" si="719">IF(ISNUMBER(B354),"Valid","Invalid")</f>
        <v>Valid</v>
      </c>
      <c r="AG354" s="16" t="str">
        <f t="shared" si="719"/>
        <v>Valid</v>
      </c>
      <c r="AH354" s="16" t="str">
        <f t="shared" ref="AH354:AI354" si="720">IF(OR(B354="",ISBLANK(B354)),"Missing","Valid")</f>
        <v>Valid</v>
      </c>
      <c r="AI354" s="16" t="str">
        <f t="shared" si="720"/>
        <v>Valid</v>
      </c>
      <c r="AJ354" s="16" t="b">
        <v>0</v>
      </c>
      <c r="AK354" s="16" t="b">
        <v>0</v>
      </c>
      <c r="AL354" s="16" t="b">
        <v>0</v>
      </c>
      <c r="AM354" s="16" t="b">
        <v>0</v>
      </c>
      <c r="AN354" s="16" t="b">
        <v>0</v>
      </c>
      <c r="AO354" s="16" t="b">
        <v>0</v>
      </c>
      <c r="AP354" s="16" t="b">
        <v>0</v>
      </c>
      <c r="AQ354" s="17">
        <f t="shared" si="9"/>
        <v>0.25</v>
      </c>
      <c r="AR354" s="12">
        <f t="shared" si="10"/>
        <v>10734.75</v>
      </c>
      <c r="AS354" s="18">
        <f t="shared" si="11"/>
        <v>0</v>
      </c>
      <c r="AT354" s="12">
        <f t="shared" si="12"/>
        <v>4259.0200000000004</v>
      </c>
      <c r="AU354" s="18">
        <f t="shared" si="13"/>
        <v>0</v>
      </c>
      <c r="AV354" s="19">
        <f t="shared" si="14"/>
        <v>0.39675073942103917</v>
      </c>
      <c r="AW354" s="20" t="str">
        <f t="shared" si="15"/>
        <v>August</v>
      </c>
      <c r="AX354" s="21">
        <f t="shared" si="16"/>
        <v>2025</v>
      </c>
    </row>
    <row r="355" spans="1:50" ht="15.75" customHeight="1">
      <c r="A355" s="10" t="s">
        <v>1193</v>
      </c>
      <c r="B355" s="11">
        <v>45709</v>
      </c>
      <c r="C355" s="11">
        <v>45715</v>
      </c>
      <c r="D355" s="10" t="s">
        <v>1194</v>
      </c>
      <c r="E355" s="10" t="s">
        <v>91</v>
      </c>
      <c r="F355" s="10" t="s">
        <v>53</v>
      </c>
      <c r="G355" s="10" t="s">
        <v>54</v>
      </c>
      <c r="H355" s="10" t="s">
        <v>55</v>
      </c>
      <c r="I355" s="10" t="s">
        <v>56</v>
      </c>
      <c r="J355" s="10" t="s">
        <v>57</v>
      </c>
      <c r="K355" s="10" t="s">
        <v>77</v>
      </c>
      <c r="L355" s="10" t="s">
        <v>1195</v>
      </c>
      <c r="M355" s="10" t="s">
        <v>73</v>
      </c>
      <c r="N355" s="12">
        <v>9</v>
      </c>
      <c r="O355" s="12">
        <v>1431.67</v>
      </c>
      <c r="P355" s="12">
        <v>0.2</v>
      </c>
      <c r="Q355" s="12">
        <v>10308.02</v>
      </c>
      <c r="R355" s="12">
        <v>5822.31</v>
      </c>
      <c r="S355" s="12">
        <v>4485.71</v>
      </c>
      <c r="T355" s="10" t="s">
        <v>61</v>
      </c>
      <c r="U355" s="13" t="s">
        <v>62</v>
      </c>
      <c r="V355" s="14" t="e">
        <f t="shared" ca="1" si="0"/>
        <v>#NAME?</v>
      </c>
      <c r="W355" s="10" t="str">
        <f ca="1">IFERROR(__xludf.DUMMYFUNCTION("IF(COUNTIF($A:$A,A349)=1,
""Unique"",
IF(COUNTUNIQUE(FILTER($V$2:$V$934,$A$2:$A$934=A349))&gt;1,
""Conflicting Duplicate"",
""Exact Duplicate""))"),"Unique")</f>
        <v>Unique</v>
      </c>
      <c r="X355" s="10" t="b">
        <f t="shared" ca="1" si="1"/>
        <v>1</v>
      </c>
      <c r="Y355" s="10" t="str">
        <f t="shared" si="2"/>
        <v>Unique</v>
      </c>
      <c r="Z355" s="10"/>
      <c r="AA355" s="10" t="str">
        <f t="shared" si="3"/>
        <v>Clean</v>
      </c>
      <c r="AB355" s="15" t="str">
        <f t="shared" si="4"/>
        <v>Valid</v>
      </c>
      <c r="AC355" s="15">
        <v>6</v>
      </c>
      <c r="AD355" s="16" t="str">
        <f t="shared" si="5"/>
        <v>Valid</v>
      </c>
      <c r="AE355" s="16" t="str">
        <f t="shared" si="6"/>
        <v>Valid</v>
      </c>
      <c r="AF355" s="16" t="str">
        <f t="shared" ref="AF355:AG355" si="721">IF(ISNUMBER(B355),"Valid","Invalid")</f>
        <v>Valid</v>
      </c>
      <c r="AG355" s="16" t="str">
        <f t="shared" si="721"/>
        <v>Valid</v>
      </c>
      <c r="AH355" s="16" t="str">
        <f t="shared" ref="AH355:AI355" si="722">IF(OR(B355="",ISBLANK(B355)),"Missing","Valid")</f>
        <v>Valid</v>
      </c>
      <c r="AI355" s="16" t="str">
        <f t="shared" si="722"/>
        <v>Valid</v>
      </c>
      <c r="AJ355" s="16" t="b">
        <v>0</v>
      </c>
      <c r="AK355" s="16" t="b">
        <v>0</v>
      </c>
      <c r="AL355" s="16" t="b">
        <v>0</v>
      </c>
      <c r="AM355" s="16" t="b">
        <v>0</v>
      </c>
      <c r="AN355" s="16" t="b">
        <v>0</v>
      </c>
      <c r="AO355" s="16" t="b">
        <v>0</v>
      </c>
      <c r="AP355" s="16" t="b">
        <v>0</v>
      </c>
      <c r="AQ355" s="17">
        <f t="shared" si="9"/>
        <v>0.2</v>
      </c>
      <c r="AR355" s="12">
        <f t="shared" si="10"/>
        <v>10308.024000000001</v>
      </c>
      <c r="AS355" s="18">
        <f t="shared" si="11"/>
        <v>-4.0000000008149073E-3</v>
      </c>
      <c r="AT355" s="12">
        <f t="shared" si="12"/>
        <v>4485.7140000000009</v>
      </c>
      <c r="AU355" s="18">
        <f t="shared" si="13"/>
        <v>-4.0000000008149073E-3</v>
      </c>
      <c r="AV355" s="19">
        <f t="shared" si="14"/>
        <v>0.4351672056642476</v>
      </c>
      <c r="AW355" s="20" t="str">
        <f t="shared" si="15"/>
        <v>February</v>
      </c>
      <c r="AX355" s="21">
        <f t="shared" si="16"/>
        <v>2025</v>
      </c>
    </row>
    <row r="356" spans="1:50" ht="15.75" customHeight="1">
      <c r="A356" s="10" t="s">
        <v>1196</v>
      </c>
      <c r="B356" s="11">
        <v>45653</v>
      </c>
      <c r="C356" s="11">
        <v>45657</v>
      </c>
      <c r="D356" s="10" t="s">
        <v>1197</v>
      </c>
      <c r="E356" s="10" t="s">
        <v>294</v>
      </c>
      <c r="F356" s="10" t="s">
        <v>119</v>
      </c>
      <c r="G356" s="10" t="s">
        <v>54</v>
      </c>
      <c r="H356" s="10" t="s">
        <v>151</v>
      </c>
      <c r="I356" s="10" t="s">
        <v>152</v>
      </c>
      <c r="J356" s="10" t="s">
        <v>70</v>
      </c>
      <c r="K356" s="10" t="s">
        <v>86</v>
      </c>
      <c r="L356" s="10" t="s">
        <v>1198</v>
      </c>
      <c r="M356" s="10" t="s">
        <v>88</v>
      </c>
      <c r="N356" s="12">
        <v>6</v>
      </c>
      <c r="O356" s="12">
        <v>3346.78</v>
      </c>
      <c r="P356" s="12">
        <v>-0.06</v>
      </c>
      <c r="Q356" s="12">
        <v>20080.68</v>
      </c>
      <c r="R356" s="12">
        <v>12908.84</v>
      </c>
      <c r="S356" s="12">
        <v>7171.84</v>
      </c>
      <c r="T356" s="10" t="s">
        <v>140</v>
      </c>
      <c r="U356" s="13" t="s">
        <v>97</v>
      </c>
      <c r="V356" s="14" t="e">
        <f t="shared" ca="1" si="0"/>
        <v>#NAME?</v>
      </c>
      <c r="W356" s="10" t="str">
        <f ca="1">IFERROR(__xludf.DUMMYFUNCTION("IF(COUNTIF($A:$A,A350)=1,
""Unique"",
IF(COUNTUNIQUE(FILTER($V$2:$V$934,$A$2:$A$934=A350))&gt;1,
""Conflicting Duplicate"",
""Exact Duplicate""))"),"Unique")</f>
        <v>Unique</v>
      </c>
      <c r="X356" s="10" t="b">
        <f t="shared" ca="1" si="1"/>
        <v>1</v>
      </c>
      <c r="Y356" s="10" t="str">
        <f t="shared" si="2"/>
        <v>Unique</v>
      </c>
      <c r="Z356" s="10"/>
      <c r="AA356" s="10" t="str">
        <f t="shared" si="3"/>
        <v>Invalid</v>
      </c>
      <c r="AB356" s="15" t="str">
        <f t="shared" si="4"/>
        <v>Valid</v>
      </c>
      <c r="AC356" s="15">
        <v>4</v>
      </c>
      <c r="AD356" s="16" t="str">
        <f t="shared" si="5"/>
        <v>Valid</v>
      </c>
      <c r="AE356" s="16" t="str">
        <f t="shared" si="6"/>
        <v>Valid</v>
      </c>
      <c r="AF356" s="16" t="str">
        <f t="shared" ref="AF356:AG356" si="723">IF(ISNUMBER(B356),"Valid","Invalid")</f>
        <v>Valid</v>
      </c>
      <c r="AG356" s="16" t="str">
        <f t="shared" si="723"/>
        <v>Valid</v>
      </c>
      <c r="AH356" s="16" t="str">
        <f t="shared" ref="AH356:AI356" si="724">IF(OR(B356="",ISBLANK(B356)),"Missing","Valid")</f>
        <v>Valid</v>
      </c>
      <c r="AI356" s="16" t="str">
        <f t="shared" si="724"/>
        <v>Valid</v>
      </c>
      <c r="AJ356" s="16" t="b">
        <v>0</v>
      </c>
      <c r="AK356" s="16" t="b">
        <v>0</v>
      </c>
      <c r="AL356" s="16" t="b">
        <v>0</v>
      </c>
      <c r="AM356" s="16" t="b">
        <v>1</v>
      </c>
      <c r="AN356" s="16" t="b">
        <v>0</v>
      </c>
      <c r="AO356" s="16" t="b">
        <v>0</v>
      </c>
      <c r="AP356" s="16" t="b">
        <v>1</v>
      </c>
      <c r="AQ356" s="17">
        <f t="shared" si="9"/>
        <v>-0.06</v>
      </c>
      <c r="AR356" s="12">
        <f t="shared" si="10"/>
        <v>21285.520800000002</v>
      </c>
      <c r="AS356" s="18">
        <f t="shared" si="11"/>
        <v>-1204.8408000000018</v>
      </c>
      <c r="AT356" s="12">
        <f t="shared" si="12"/>
        <v>8376.6808000000019</v>
      </c>
      <c r="AU356" s="18">
        <f t="shared" si="13"/>
        <v>-1204.8408000000018</v>
      </c>
      <c r="AV356" s="19">
        <f t="shared" si="14"/>
        <v>0.39353891683965753</v>
      </c>
      <c r="AW356" s="20" t="str">
        <f t="shared" si="15"/>
        <v>December</v>
      </c>
      <c r="AX356" s="21">
        <f t="shared" si="16"/>
        <v>2024</v>
      </c>
    </row>
    <row r="357" spans="1:50" ht="15.75" customHeight="1">
      <c r="A357" s="10" t="s">
        <v>1199</v>
      </c>
      <c r="B357" s="11">
        <v>45424</v>
      </c>
      <c r="C357" s="11">
        <v>45421</v>
      </c>
      <c r="D357" s="10" t="s">
        <v>1200</v>
      </c>
      <c r="E357" s="10" t="s">
        <v>143</v>
      </c>
      <c r="F357" s="10" t="s">
        <v>119</v>
      </c>
      <c r="G357" s="10" t="s">
        <v>92</v>
      </c>
      <c r="H357" s="10" t="s">
        <v>55</v>
      </c>
      <c r="I357" s="10" t="s">
        <v>138</v>
      </c>
      <c r="J357" s="10" t="s">
        <v>70</v>
      </c>
      <c r="K357" s="10" t="s">
        <v>71</v>
      </c>
      <c r="L357" s="10" t="s">
        <v>1201</v>
      </c>
      <c r="M357" s="10" t="s">
        <v>88</v>
      </c>
      <c r="N357" s="12">
        <v>5</v>
      </c>
      <c r="O357" s="12">
        <v>3203.48</v>
      </c>
      <c r="P357" s="12">
        <v>0</v>
      </c>
      <c r="Q357" s="12">
        <v>16017.4</v>
      </c>
      <c r="R357" s="12">
        <v>9557.7999999999993</v>
      </c>
      <c r="S357" s="12">
        <v>6459.6</v>
      </c>
      <c r="T357" s="10" t="s">
        <v>140</v>
      </c>
      <c r="U357" s="13" t="s">
        <v>97</v>
      </c>
      <c r="V357" s="14" t="e">
        <f t="shared" ca="1" si="0"/>
        <v>#NAME?</v>
      </c>
      <c r="W357" s="10" t="str">
        <f ca="1">IFERROR(__xludf.DUMMYFUNCTION("IF(COUNTIF($A:$A,A351)=1,
""Unique"",
IF(COUNTUNIQUE(FILTER($V$2:$V$934,$A$2:$A$934=A351))&gt;1,
""Conflicting Duplicate"",
""Exact Duplicate""))"),"Unique")</f>
        <v>Unique</v>
      </c>
      <c r="X357" s="10" t="b">
        <f t="shared" ca="1" si="1"/>
        <v>1</v>
      </c>
      <c r="Y357" s="10" t="str">
        <f t="shared" si="2"/>
        <v>Unique</v>
      </c>
      <c r="Z357" s="10"/>
      <c r="AA357" s="10" t="str">
        <f t="shared" si="3"/>
        <v>Invalid</v>
      </c>
      <c r="AB357" s="15" t="str">
        <f t="shared" si="4"/>
        <v>Invalid</v>
      </c>
      <c r="AC357" s="15">
        <v>-3</v>
      </c>
      <c r="AD357" s="16" t="str">
        <f t="shared" si="5"/>
        <v>Invalid Shipping Date</v>
      </c>
      <c r="AE357" s="16" t="str">
        <f t="shared" si="6"/>
        <v>Valid</v>
      </c>
      <c r="AF357" s="16" t="str">
        <f t="shared" ref="AF357:AG357" si="725">IF(ISNUMBER(B357),"Valid","Invalid")</f>
        <v>Valid</v>
      </c>
      <c r="AG357" s="16" t="str">
        <f t="shared" si="725"/>
        <v>Valid</v>
      </c>
      <c r="AH357" s="16" t="str">
        <f t="shared" ref="AH357:AI357" si="726">IF(OR(B357="",ISBLANK(B357)),"Missing","Valid")</f>
        <v>Valid</v>
      </c>
      <c r="AI357" s="16" t="str">
        <f t="shared" si="726"/>
        <v>Valid</v>
      </c>
      <c r="AJ357" s="16" t="b">
        <v>0</v>
      </c>
      <c r="AK357" s="16" t="b">
        <v>0</v>
      </c>
      <c r="AL357" s="16" t="b">
        <v>0</v>
      </c>
      <c r="AM357" s="16" t="b">
        <v>0</v>
      </c>
      <c r="AN357" s="16" t="b">
        <v>0</v>
      </c>
      <c r="AO357" s="16" t="b">
        <v>1</v>
      </c>
      <c r="AP357" s="16" t="b">
        <v>1</v>
      </c>
      <c r="AQ357" s="17">
        <f t="shared" si="9"/>
        <v>0</v>
      </c>
      <c r="AR357" s="12">
        <f t="shared" si="10"/>
        <v>16017.4</v>
      </c>
      <c r="AS357" s="18">
        <f t="shared" si="11"/>
        <v>0</v>
      </c>
      <c r="AT357" s="12">
        <f t="shared" si="12"/>
        <v>6459.6</v>
      </c>
      <c r="AU357" s="18">
        <f t="shared" si="13"/>
        <v>0</v>
      </c>
      <c r="AV357" s="19">
        <f t="shared" si="14"/>
        <v>0.40328642601171227</v>
      </c>
      <c r="AW357" s="20" t="str">
        <f t="shared" si="15"/>
        <v>May</v>
      </c>
      <c r="AX357" s="21">
        <f t="shared" si="16"/>
        <v>2024</v>
      </c>
    </row>
    <row r="358" spans="1:50" ht="15.75" customHeight="1">
      <c r="A358" s="10" t="s">
        <v>1202</v>
      </c>
      <c r="B358" s="11">
        <v>45835</v>
      </c>
      <c r="C358" s="11">
        <v>45837</v>
      </c>
      <c r="D358" s="10" t="s">
        <v>1203</v>
      </c>
      <c r="E358" s="10" t="s">
        <v>170</v>
      </c>
      <c r="F358" s="10" t="s">
        <v>124</v>
      </c>
      <c r="G358" s="10" t="s">
        <v>83</v>
      </c>
      <c r="H358" s="10" t="s">
        <v>84</v>
      </c>
      <c r="I358" s="10" t="s">
        <v>85</v>
      </c>
      <c r="J358" s="10" t="s">
        <v>70</v>
      </c>
      <c r="K358" s="10" t="s">
        <v>95</v>
      </c>
      <c r="L358" s="10" t="s">
        <v>1204</v>
      </c>
      <c r="M358" s="10" t="s">
        <v>79</v>
      </c>
      <c r="N358" s="12">
        <v>5</v>
      </c>
      <c r="O358" s="12">
        <v>621.70000000000005</v>
      </c>
      <c r="P358" s="12">
        <v>0.2</v>
      </c>
      <c r="Q358" s="12">
        <v>2486.8000000000002</v>
      </c>
      <c r="R358" s="12">
        <v>2131.73</v>
      </c>
      <c r="S358" s="12">
        <v>355.07</v>
      </c>
      <c r="T358" s="10" t="s">
        <v>140</v>
      </c>
      <c r="U358" s="13" t="s">
        <v>132</v>
      </c>
      <c r="V358" s="14" t="e">
        <f t="shared" ca="1" si="0"/>
        <v>#NAME?</v>
      </c>
      <c r="W358" s="10" t="str">
        <f ca="1">IFERROR(__xludf.DUMMYFUNCTION("IF(COUNTIF($A:$A,A352)=1,
""Unique"",
IF(COUNTUNIQUE(FILTER($V$2:$V$934,$A$2:$A$934=A352))&gt;1,
""Conflicting Duplicate"",
""Exact Duplicate""))"),"Unique")</f>
        <v>Unique</v>
      </c>
      <c r="X358" s="10" t="b">
        <f t="shared" ca="1" si="1"/>
        <v>1</v>
      </c>
      <c r="Y358" s="10" t="str">
        <f t="shared" si="2"/>
        <v>Unique</v>
      </c>
      <c r="Z358" s="10"/>
      <c r="AA358" s="10" t="str">
        <f t="shared" si="3"/>
        <v>Clean</v>
      </c>
      <c r="AB358" s="15" t="str">
        <f t="shared" si="4"/>
        <v>Valid</v>
      </c>
      <c r="AC358" s="15">
        <v>2</v>
      </c>
      <c r="AD358" s="16" t="str">
        <f t="shared" si="5"/>
        <v>Valid</v>
      </c>
      <c r="AE358" s="16" t="str">
        <f t="shared" si="6"/>
        <v>Valid</v>
      </c>
      <c r="AF358" s="16" t="str">
        <f t="shared" ref="AF358:AG358" si="727">IF(ISNUMBER(B358),"Valid","Invalid")</f>
        <v>Valid</v>
      </c>
      <c r="AG358" s="16" t="str">
        <f t="shared" si="727"/>
        <v>Valid</v>
      </c>
      <c r="AH358" s="16" t="str">
        <f t="shared" ref="AH358:AI358" si="728">IF(OR(B358="",ISBLANK(B358)),"Missing","Valid")</f>
        <v>Valid</v>
      </c>
      <c r="AI358" s="16" t="str">
        <f t="shared" si="728"/>
        <v>Valid</v>
      </c>
      <c r="AJ358" s="16" t="b">
        <v>0</v>
      </c>
      <c r="AK358" s="16" t="b">
        <v>0</v>
      </c>
      <c r="AL358" s="16" t="b">
        <v>0</v>
      </c>
      <c r="AM358" s="16" t="b">
        <v>0</v>
      </c>
      <c r="AN358" s="16" t="b">
        <v>0</v>
      </c>
      <c r="AO358" s="16" t="b">
        <v>0</v>
      </c>
      <c r="AP358" s="16" t="b">
        <v>0</v>
      </c>
      <c r="AQ358" s="17">
        <f t="shared" si="9"/>
        <v>0.2</v>
      </c>
      <c r="AR358" s="12">
        <f t="shared" si="10"/>
        <v>2486.8000000000002</v>
      </c>
      <c r="AS358" s="18">
        <f t="shared" si="11"/>
        <v>0</v>
      </c>
      <c r="AT358" s="12">
        <f t="shared" si="12"/>
        <v>355.07000000000016</v>
      </c>
      <c r="AU358" s="18">
        <f t="shared" si="13"/>
        <v>0</v>
      </c>
      <c r="AV358" s="19">
        <f t="shared" si="14"/>
        <v>0.1427818883705968</v>
      </c>
      <c r="AW358" s="20" t="str">
        <f t="shared" si="15"/>
        <v>June</v>
      </c>
      <c r="AX358" s="21">
        <f t="shared" si="16"/>
        <v>2025</v>
      </c>
    </row>
    <row r="359" spans="1:50" ht="15.75" customHeight="1">
      <c r="A359" s="10" t="s">
        <v>1205</v>
      </c>
      <c r="B359" s="11">
        <v>45678</v>
      </c>
      <c r="C359" s="11">
        <v>45686</v>
      </c>
      <c r="D359" s="10" t="s">
        <v>1206</v>
      </c>
      <c r="E359" s="10" t="s">
        <v>65</v>
      </c>
      <c r="F359" s="10" t="s">
        <v>124</v>
      </c>
      <c r="G359" s="10" t="s">
        <v>83</v>
      </c>
      <c r="H359" s="10" t="s">
        <v>113</v>
      </c>
      <c r="I359" s="10" t="s">
        <v>114</v>
      </c>
      <c r="J359" s="10" t="s">
        <v>103</v>
      </c>
      <c r="K359" s="10" t="s">
        <v>304</v>
      </c>
      <c r="L359" s="10" t="s">
        <v>1207</v>
      </c>
      <c r="M359" s="10" t="s">
        <v>60</v>
      </c>
      <c r="N359" s="12">
        <v>8</v>
      </c>
      <c r="O359" s="12">
        <v>546.13</v>
      </c>
      <c r="P359" s="12">
        <v>0</v>
      </c>
      <c r="Q359" s="12">
        <v>4369.04</v>
      </c>
      <c r="R359" s="12">
        <v>3716.88</v>
      </c>
      <c r="S359" s="12">
        <v>652.16</v>
      </c>
      <c r="T359" s="10" t="s">
        <v>61</v>
      </c>
      <c r="U359" s="13" t="s">
        <v>97</v>
      </c>
      <c r="V359" s="14" t="e">
        <f t="shared" ca="1" si="0"/>
        <v>#NAME?</v>
      </c>
      <c r="W359" s="10" t="str">
        <f ca="1">IFERROR(__xludf.DUMMYFUNCTION("IF(COUNTIF($A:$A,A353)=1,
""Unique"",
IF(COUNTUNIQUE(FILTER($V$2:$V$934,$A$2:$A$934=A353))&gt;1,
""Conflicting Duplicate"",
""Exact Duplicate""))"),"Unique")</f>
        <v>Unique</v>
      </c>
      <c r="X359" s="10" t="b">
        <f t="shared" ca="1" si="1"/>
        <v>1</v>
      </c>
      <c r="Y359" s="10" t="str">
        <f t="shared" si="2"/>
        <v>Unique</v>
      </c>
      <c r="Z359" s="10"/>
      <c r="AA359" s="10" t="str">
        <f t="shared" si="3"/>
        <v>Clean</v>
      </c>
      <c r="AB359" s="15" t="str">
        <f t="shared" si="4"/>
        <v>Valid</v>
      </c>
      <c r="AC359" s="15">
        <v>8</v>
      </c>
      <c r="AD359" s="16" t="str">
        <f t="shared" si="5"/>
        <v>Valid</v>
      </c>
      <c r="AE359" s="16" t="str">
        <f t="shared" si="6"/>
        <v>Valid</v>
      </c>
      <c r="AF359" s="16" t="str">
        <f t="shared" ref="AF359:AG359" si="729">IF(ISNUMBER(B359),"Valid","Invalid")</f>
        <v>Valid</v>
      </c>
      <c r="AG359" s="16" t="str">
        <f t="shared" si="729"/>
        <v>Valid</v>
      </c>
      <c r="AH359" s="16" t="str">
        <f t="shared" ref="AH359:AI359" si="730">IF(OR(B359="",ISBLANK(B359)),"Missing","Valid")</f>
        <v>Valid</v>
      </c>
      <c r="AI359" s="16" t="str">
        <f t="shared" si="730"/>
        <v>Valid</v>
      </c>
      <c r="AJ359" s="16" t="b">
        <v>0</v>
      </c>
      <c r="AK359" s="16" t="b">
        <v>0</v>
      </c>
      <c r="AL359" s="16" t="b">
        <v>0</v>
      </c>
      <c r="AM359" s="16" t="b">
        <v>0</v>
      </c>
      <c r="AN359" s="16" t="b">
        <v>0</v>
      </c>
      <c r="AO359" s="16" t="b">
        <v>0</v>
      </c>
      <c r="AP359" s="16" t="b">
        <v>0</v>
      </c>
      <c r="AQ359" s="17">
        <f t="shared" si="9"/>
        <v>0</v>
      </c>
      <c r="AR359" s="12">
        <f t="shared" si="10"/>
        <v>4369.04</v>
      </c>
      <c r="AS359" s="18">
        <f t="shared" si="11"/>
        <v>0</v>
      </c>
      <c r="AT359" s="12">
        <f t="shared" si="12"/>
        <v>652.15999999999985</v>
      </c>
      <c r="AU359" s="18">
        <f t="shared" si="13"/>
        <v>0</v>
      </c>
      <c r="AV359" s="19">
        <f t="shared" si="14"/>
        <v>0.14926848918755603</v>
      </c>
      <c r="AW359" s="20" t="str">
        <f t="shared" si="15"/>
        <v>January</v>
      </c>
      <c r="AX359" s="21">
        <f t="shared" si="16"/>
        <v>2025</v>
      </c>
    </row>
    <row r="360" spans="1:50" ht="15.75" customHeight="1">
      <c r="A360" s="10" t="s">
        <v>1208</v>
      </c>
      <c r="B360" s="11">
        <v>45878</v>
      </c>
      <c r="C360" s="11">
        <v>45876</v>
      </c>
      <c r="D360" s="10" t="s">
        <v>1209</v>
      </c>
      <c r="E360" s="10" t="s">
        <v>100</v>
      </c>
      <c r="F360" s="10" t="s">
        <v>124</v>
      </c>
      <c r="G360" s="10" t="s">
        <v>92</v>
      </c>
      <c r="H360" s="10" t="s">
        <v>209</v>
      </c>
      <c r="I360" s="10" t="s">
        <v>210</v>
      </c>
      <c r="J360" s="10" t="s">
        <v>70</v>
      </c>
      <c r="K360" s="10" t="s">
        <v>187</v>
      </c>
      <c r="L360" s="10" t="s">
        <v>1210</v>
      </c>
      <c r="M360" s="10" t="s">
        <v>60</v>
      </c>
      <c r="N360" s="12">
        <v>5</v>
      </c>
      <c r="O360" s="12">
        <v>1253.92</v>
      </c>
      <c r="P360" s="12">
        <v>0.05</v>
      </c>
      <c r="Q360" s="12">
        <v>5956.12</v>
      </c>
      <c r="R360" s="12">
        <v>4379.18</v>
      </c>
      <c r="S360" s="12">
        <v>1576.94</v>
      </c>
      <c r="T360" s="10" t="s">
        <v>140</v>
      </c>
      <c r="U360" s="13" t="s">
        <v>132</v>
      </c>
      <c r="V360" s="14" t="e">
        <f t="shared" ca="1" si="0"/>
        <v>#NAME?</v>
      </c>
      <c r="W360" s="10" t="str">
        <f ca="1">IFERROR(__xludf.DUMMYFUNCTION("IF(COUNTIF($A:$A,A354)=1,
""Unique"",
IF(COUNTUNIQUE(FILTER($V$2:$V$934,$A$2:$A$934=A354))&gt;1,
""Conflicting Duplicate"",
""Exact Duplicate""))"),"Unique")</f>
        <v>Unique</v>
      </c>
      <c r="X360" s="10" t="b">
        <f t="shared" ca="1" si="1"/>
        <v>1</v>
      </c>
      <c r="Y360" s="10" t="str">
        <f t="shared" si="2"/>
        <v>Unique</v>
      </c>
      <c r="Z360" s="10"/>
      <c r="AA360" s="10" t="str">
        <f t="shared" si="3"/>
        <v>Invalid</v>
      </c>
      <c r="AB360" s="15" t="str">
        <f t="shared" si="4"/>
        <v>Invalid</v>
      </c>
      <c r="AC360" s="15">
        <v>-2</v>
      </c>
      <c r="AD360" s="16" t="str">
        <f t="shared" si="5"/>
        <v>Invalid Shipping Date</v>
      </c>
      <c r="AE360" s="16" t="str">
        <f t="shared" si="6"/>
        <v>Valid</v>
      </c>
      <c r="AF360" s="16" t="str">
        <f t="shared" ref="AF360:AG360" si="731">IF(ISNUMBER(B360),"Valid","Invalid")</f>
        <v>Valid</v>
      </c>
      <c r="AG360" s="16" t="str">
        <f t="shared" si="731"/>
        <v>Valid</v>
      </c>
      <c r="AH360" s="16" t="str">
        <f t="shared" ref="AH360:AI360" si="732">IF(OR(B360="",ISBLANK(B360)),"Missing","Valid")</f>
        <v>Valid</v>
      </c>
      <c r="AI360" s="16" t="str">
        <f t="shared" si="732"/>
        <v>Valid</v>
      </c>
      <c r="AJ360" s="16" t="b">
        <v>0</v>
      </c>
      <c r="AK360" s="16" t="b">
        <v>0</v>
      </c>
      <c r="AL360" s="16" t="b">
        <v>0</v>
      </c>
      <c r="AM360" s="16" t="b">
        <v>0</v>
      </c>
      <c r="AN360" s="16" t="b">
        <v>0</v>
      </c>
      <c r="AO360" s="16" t="b">
        <v>1</v>
      </c>
      <c r="AP360" s="16" t="b">
        <v>1</v>
      </c>
      <c r="AQ360" s="17">
        <f t="shared" si="9"/>
        <v>0.05</v>
      </c>
      <c r="AR360" s="12">
        <f t="shared" si="10"/>
        <v>5956.12</v>
      </c>
      <c r="AS360" s="18">
        <f t="shared" si="11"/>
        <v>0</v>
      </c>
      <c r="AT360" s="12">
        <f t="shared" si="12"/>
        <v>1576.9399999999996</v>
      </c>
      <c r="AU360" s="18">
        <f t="shared" si="13"/>
        <v>0</v>
      </c>
      <c r="AV360" s="19">
        <f t="shared" si="14"/>
        <v>0.26475960860425907</v>
      </c>
      <c r="AW360" s="20" t="str">
        <f t="shared" si="15"/>
        <v>August</v>
      </c>
      <c r="AX360" s="21">
        <f t="shared" si="16"/>
        <v>2025</v>
      </c>
    </row>
    <row r="361" spans="1:50" ht="15.75" customHeight="1">
      <c r="A361" s="10" t="s">
        <v>1211</v>
      </c>
      <c r="B361" s="11">
        <v>45525</v>
      </c>
      <c r="C361" s="11">
        <v>45526</v>
      </c>
      <c r="D361" s="10" t="s">
        <v>1212</v>
      </c>
      <c r="E361" s="10" t="s">
        <v>76</v>
      </c>
      <c r="F361" s="10" t="s">
        <v>53</v>
      </c>
      <c r="G361" s="10" t="s">
        <v>83</v>
      </c>
      <c r="H361" s="10" t="s">
        <v>277</v>
      </c>
      <c r="I361" s="10" t="s">
        <v>278</v>
      </c>
      <c r="J361" s="10" t="s">
        <v>103</v>
      </c>
      <c r="K361" s="10" t="s">
        <v>200</v>
      </c>
      <c r="L361" s="10" t="s">
        <v>1213</v>
      </c>
      <c r="M361" s="10" t="s">
        <v>73</v>
      </c>
      <c r="N361" s="12">
        <v>9</v>
      </c>
      <c r="O361" s="12">
        <v>616.96</v>
      </c>
      <c r="P361" s="12">
        <v>0.1</v>
      </c>
      <c r="Q361" s="12">
        <v>4997.38</v>
      </c>
      <c r="R361" s="12">
        <v>2971.39</v>
      </c>
      <c r="S361" s="12">
        <v>2025.99</v>
      </c>
      <c r="T361" s="10" t="s">
        <v>61</v>
      </c>
      <c r="U361" s="13" t="s">
        <v>62</v>
      </c>
      <c r="V361" s="14" t="e">
        <f t="shared" ca="1" si="0"/>
        <v>#NAME?</v>
      </c>
      <c r="W361" s="10" t="str">
        <f ca="1">IFERROR(__xludf.DUMMYFUNCTION("IF(COUNTIF($A:$A,A355)=1,
""Unique"",
IF(COUNTUNIQUE(FILTER($V$2:$V$934,$A$2:$A$934=A355))&gt;1,
""Conflicting Duplicate"",
""Exact Duplicate""))"),"Unique")</f>
        <v>Unique</v>
      </c>
      <c r="X361" s="10" t="b">
        <f t="shared" ca="1" si="1"/>
        <v>1</v>
      </c>
      <c r="Y361" s="10" t="str">
        <f t="shared" si="2"/>
        <v>Unique</v>
      </c>
      <c r="Z361" s="10"/>
      <c r="AA361" s="10" t="str">
        <f t="shared" si="3"/>
        <v>Clean</v>
      </c>
      <c r="AB361" s="15" t="str">
        <f t="shared" si="4"/>
        <v>Valid</v>
      </c>
      <c r="AC361" s="15">
        <v>1</v>
      </c>
      <c r="AD361" s="16" t="str">
        <f t="shared" si="5"/>
        <v>Valid</v>
      </c>
      <c r="AE361" s="16" t="str">
        <f t="shared" si="6"/>
        <v>Valid</v>
      </c>
      <c r="AF361" s="16" t="str">
        <f t="shared" ref="AF361:AG361" si="733">IF(ISNUMBER(B361),"Valid","Invalid")</f>
        <v>Valid</v>
      </c>
      <c r="AG361" s="16" t="str">
        <f t="shared" si="733"/>
        <v>Valid</v>
      </c>
      <c r="AH361" s="16" t="str">
        <f t="shared" ref="AH361:AI361" si="734">IF(OR(B361="",ISBLANK(B361)),"Missing","Valid")</f>
        <v>Valid</v>
      </c>
      <c r="AI361" s="16" t="str">
        <f t="shared" si="734"/>
        <v>Valid</v>
      </c>
      <c r="AJ361" s="16" t="b">
        <v>0</v>
      </c>
      <c r="AK361" s="16" t="b">
        <v>0</v>
      </c>
      <c r="AL361" s="16" t="b">
        <v>0</v>
      </c>
      <c r="AM361" s="16" t="b">
        <v>0</v>
      </c>
      <c r="AN361" s="16" t="b">
        <v>0</v>
      </c>
      <c r="AO361" s="16" t="b">
        <v>0</v>
      </c>
      <c r="AP361" s="16" t="b">
        <v>0</v>
      </c>
      <c r="AQ361" s="17">
        <f t="shared" si="9"/>
        <v>0.1</v>
      </c>
      <c r="AR361" s="12">
        <f t="shared" si="10"/>
        <v>4997.3760000000002</v>
      </c>
      <c r="AS361" s="18">
        <f t="shared" si="11"/>
        <v>3.9999999999054126E-3</v>
      </c>
      <c r="AT361" s="12">
        <f t="shared" si="12"/>
        <v>2025.9860000000003</v>
      </c>
      <c r="AU361" s="18">
        <f t="shared" si="13"/>
        <v>3.9999999996780389E-3</v>
      </c>
      <c r="AV361" s="19">
        <f t="shared" si="14"/>
        <v>0.40540995914656014</v>
      </c>
      <c r="AW361" s="20" t="str">
        <f t="shared" si="15"/>
        <v>August</v>
      </c>
      <c r="AX361" s="21">
        <f t="shared" si="16"/>
        <v>2024</v>
      </c>
    </row>
    <row r="362" spans="1:50" ht="15.75" customHeight="1">
      <c r="A362" s="10" t="s">
        <v>1214</v>
      </c>
      <c r="B362" s="11">
        <v>45460</v>
      </c>
      <c r="C362" s="11">
        <v>45463</v>
      </c>
      <c r="D362" s="10" t="s">
        <v>1215</v>
      </c>
      <c r="E362" s="10" t="s">
        <v>161</v>
      </c>
      <c r="F362" s="10" t="s">
        <v>66</v>
      </c>
      <c r="G362" s="10" t="s">
        <v>92</v>
      </c>
      <c r="H362" s="10" t="s">
        <v>209</v>
      </c>
      <c r="I362" s="10" t="s">
        <v>210</v>
      </c>
      <c r="J362" s="10" t="s">
        <v>70</v>
      </c>
      <c r="K362" s="10" t="s">
        <v>86</v>
      </c>
      <c r="L362" s="10" t="s">
        <v>1216</v>
      </c>
      <c r="M362" s="10" t="s">
        <v>88</v>
      </c>
      <c r="N362" s="12">
        <v>7</v>
      </c>
      <c r="O362" s="12">
        <v>3155.25</v>
      </c>
      <c r="P362" s="12">
        <v>0.2</v>
      </c>
      <c r="Q362" s="12">
        <v>17669.400000000001</v>
      </c>
      <c r="R362" s="12">
        <v>13718.77</v>
      </c>
      <c r="S362" s="12">
        <v>3950.63</v>
      </c>
      <c r="T362" s="10" t="s">
        <v>131</v>
      </c>
      <c r="U362" s="13" t="s">
        <v>97</v>
      </c>
      <c r="V362" s="14" t="e">
        <f t="shared" ca="1" si="0"/>
        <v>#NAME?</v>
      </c>
      <c r="W362" s="10" t="str">
        <f ca="1">IFERROR(__xludf.DUMMYFUNCTION("IF(COUNTIF($A:$A,A356)=1,
""Unique"",
IF(COUNTUNIQUE(FILTER($V$2:$V$934,$A$2:$A$934=A356))&gt;1,
""Conflicting Duplicate"",
""Exact Duplicate""))"),"Unique")</f>
        <v>Unique</v>
      </c>
      <c r="X362" s="10" t="b">
        <f t="shared" ca="1" si="1"/>
        <v>1</v>
      </c>
      <c r="Y362" s="10" t="str">
        <f t="shared" si="2"/>
        <v>Unique</v>
      </c>
      <c r="Z362" s="10"/>
      <c r="AA362" s="10" t="str">
        <f t="shared" si="3"/>
        <v>Clean</v>
      </c>
      <c r="AB362" s="15" t="str">
        <f t="shared" si="4"/>
        <v>Valid</v>
      </c>
      <c r="AC362" s="15">
        <v>3</v>
      </c>
      <c r="AD362" s="16" t="str">
        <f t="shared" si="5"/>
        <v>Valid</v>
      </c>
      <c r="AE362" s="16" t="str">
        <f t="shared" si="6"/>
        <v>Valid</v>
      </c>
      <c r="AF362" s="16" t="str">
        <f t="shared" ref="AF362:AG362" si="735">IF(ISNUMBER(B362),"Valid","Invalid")</f>
        <v>Valid</v>
      </c>
      <c r="AG362" s="16" t="str">
        <f t="shared" si="735"/>
        <v>Valid</v>
      </c>
      <c r="AH362" s="16" t="str">
        <f t="shared" ref="AH362:AI362" si="736">IF(OR(B362="",ISBLANK(B362)),"Missing","Valid")</f>
        <v>Valid</v>
      </c>
      <c r="AI362" s="16" t="str">
        <f t="shared" si="736"/>
        <v>Valid</v>
      </c>
      <c r="AJ362" s="16" t="b">
        <v>0</v>
      </c>
      <c r="AK362" s="16" t="b">
        <v>0</v>
      </c>
      <c r="AL362" s="16" t="b">
        <v>0</v>
      </c>
      <c r="AM362" s="16" t="b">
        <v>0</v>
      </c>
      <c r="AN362" s="16" t="b">
        <v>0</v>
      </c>
      <c r="AO362" s="16" t="b">
        <v>0</v>
      </c>
      <c r="AP362" s="16" t="b">
        <v>0</v>
      </c>
      <c r="AQ362" s="17">
        <f t="shared" si="9"/>
        <v>0.2</v>
      </c>
      <c r="AR362" s="12">
        <f t="shared" si="10"/>
        <v>17669.400000000001</v>
      </c>
      <c r="AS362" s="18">
        <f t="shared" si="11"/>
        <v>0</v>
      </c>
      <c r="AT362" s="12">
        <f t="shared" si="12"/>
        <v>3950.630000000001</v>
      </c>
      <c r="AU362" s="18">
        <f t="shared" si="13"/>
        <v>0</v>
      </c>
      <c r="AV362" s="19">
        <f t="shared" si="14"/>
        <v>0.2235859734908939</v>
      </c>
      <c r="AW362" s="20" t="str">
        <f t="shared" si="15"/>
        <v>June</v>
      </c>
      <c r="AX362" s="21">
        <f t="shared" si="16"/>
        <v>2024</v>
      </c>
    </row>
    <row r="363" spans="1:50" ht="15.75" customHeight="1">
      <c r="A363" s="10" t="s">
        <v>1217</v>
      </c>
      <c r="B363" s="11">
        <v>45748</v>
      </c>
      <c r="C363" s="11">
        <v>45749</v>
      </c>
      <c r="D363" s="10" t="s">
        <v>1218</v>
      </c>
      <c r="E363" s="10" t="s">
        <v>170</v>
      </c>
      <c r="F363" s="10" t="s">
        <v>119</v>
      </c>
      <c r="G363" s="10" t="s">
        <v>67</v>
      </c>
      <c r="H363" s="10" t="s">
        <v>68</v>
      </c>
      <c r="I363" s="10" t="s">
        <v>69</v>
      </c>
      <c r="J363" s="10" t="s">
        <v>70</v>
      </c>
      <c r="K363" s="10" t="s">
        <v>95</v>
      </c>
      <c r="L363" s="10" t="s">
        <v>1219</v>
      </c>
      <c r="M363" s="10" t="s">
        <v>60</v>
      </c>
      <c r="N363" s="12">
        <v>9</v>
      </c>
      <c r="O363" s="12">
        <v>4165.58</v>
      </c>
      <c r="P363" s="12">
        <v>0.05</v>
      </c>
      <c r="Q363" s="12">
        <v>35615.71</v>
      </c>
      <c r="R363" s="12">
        <v>20389.71</v>
      </c>
      <c r="S363" s="12">
        <v>15226</v>
      </c>
      <c r="T363" s="10" t="s">
        <v>140</v>
      </c>
      <c r="U363" s="13" t="s">
        <v>132</v>
      </c>
      <c r="V363" s="14" t="e">
        <f t="shared" ca="1" si="0"/>
        <v>#NAME?</v>
      </c>
      <c r="W363" s="10" t="str">
        <f ca="1">IFERROR(__xludf.DUMMYFUNCTION("IF(COUNTIF($A:$A,A357)=1,
""Unique"",
IF(COUNTUNIQUE(FILTER($V$2:$V$934,$A$2:$A$934=A357))&gt;1,
""Conflicting Duplicate"",
""Exact Duplicate""))"),"Unique")</f>
        <v>Unique</v>
      </c>
      <c r="X363" s="10" t="b">
        <f t="shared" ca="1" si="1"/>
        <v>1</v>
      </c>
      <c r="Y363" s="10" t="str">
        <f t="shared" si="2"/>
        <v>Unique</v>
      </c>
      <c r="Z363" s="10"/>
      <c r="AA363" s="10" t="str">
        <f t="shared" si="3"/>
        <v>Clean</v>
      </c>
      <c r="AB363" s="15" t="str">
        <f t="shared" si="4"/>
        <v>Valid</v>
      </c>
      <c r="AC363" s="15">
        <v>1</v>
      </c>
      <c r="AD363" s="16" t="str">
        <f t="shared" si="5"/>
        <v>Valid</v>
      </c>
      <c r="AE363" s="16" t="str">
        <f t="shared" si="6"/>
        <v>Valid</v>
      </c>
      <c r="AF363" s="16" t="str">
        <f t="shared" ref="AF363:AG363" si="737">IF(ISNUMBER(B363),"Valid","Invalid")</f>
        <v>Valid</v>
      </c>
      <c r="AG363" s="16" t="str">
        <f t="shared" si="737"/>
        <v>Valid</v>
      </c>
      <c r="AH363" s="16" t="str">
        <f t="shared" ref="AH363:AI363" si="738">IF(OR(B363="",ISBLANK(B363)),"Missing","Valid")</f>
        <v>Valid</v>
      </c>
      <c r="AI363" s="16" t="str">
        <f t="shared" si="738"/>
        <v>Valid</v>
      </c>
      <c r="AJ363" s="16" t="b">
        <v>0</v>
      </c>
      <c r="AK363" s="16" t="b">
        <v>0</v>
      </c>
      <c r="AL363" s="16" t="b">
        <v>0</v>
      </c>
      <c r="AM363" s="16" t="b">
        <v>0</v>
      </c>
      <c r="AN363" s="16" t="b">
        <v>0</v>
      </c>
      <c r="AO363" s="16" t="b">
        <v>0</v>
      </c>
      <c r="AP363" s="16" t="b">
        <v>0</v>
      </c>
      <c r="AQ363" s="17">
        <f t="shared" si="9"/>
        <v>0.05</v>
      </c>
      <c r="AR363" s="12">
        <f t="shared" si="10"/>
        <v>35615.709000000003</v>
      </c>
      <c r="AS363" s="18">
        <f t="shared" si="11"/>
        <v>9.9999999656574801E-4</v>
      </c>
      <c r="AT363" s="12">
        <f t="shared" si="12"/>
        <v>15225.999000000003</v>
      </c>
      <c r="AU363" s="18">
        <f t="shared" si="13"/>
        <v>9.9999999656574801E-4</v>
      </c>
      <c r="AV363" s="19">
        <f t="shared" si="14"/>
        <v>0.42750795723314122</v>
      </c>
      <c r="AW363" s="20" t="str">
        <f t="shared" si="15"/>
        <v>April</v>
      </c>
      <c r="AX363" s="21">
        <f t="shared" si="16"/>
        <v>2025</v>
      </c>
    </row>
    <row r="364" spans="1:50" ht="15.75" customHeight="1">
      <c r="A364" s="10" t="s">
        <v>1220</v>
      </c>
      <c r="B364" s="11">
        <v>45527</v>
      </c>
      <c r="C364" s="11">
        <v>45529</v>
      </c>
      <c r="D364" s="10" t="s">
        <v>1221</v>
      </c>
      <c r="E364" s="10" t="s">
        <v>100</v>
      </c>
      <c r="F364" s="10" t="s">
        <v>53</v>
      </c>
      <c r="G364" s="10" t="s">
        <v>92</v>
      </c>
      <c r="H364" s="10" t="s">
        <v>219</v>
      </c>
      <c r="I364" s="10" t="s">
        <v>220</v>
      </c>
      <c r="J364" s="10" t="s">
        <v>103</v>
      </c>
      <c r="K364" s="10" t="s">
        <v>304</v>
      </c>
      <c r="L364" s="10" t="s">
        <v>1222</v>
      </c>
      <c r="M364" s="10" t="s">
        <v>73</v>
      </c>
      <c r="N364" s="12">
        <v>4</v>
      </c>
      <c r="O364" s="12">
        <v>491.16</v>
      </c>
      <c r="P364" s="12">
        <v>0.05</v>
      </c>
      <c r="Q364" s="12">
        <v>1866.41</v>
      </c>
      <c r="R364" s="12">
        <v>1576.49</v>
      </c>
      <c r="S364" s="12">
        <v>289.92</v>
      </c>
      <c r="T364" s="10" t="s">
        <v>61</v>
      </c>
      <c r="U364" s="13" t="s">
        <v>62</v>
      </c>
      <c r="V364" s="14" t="e">
        <f t="shared" ca="1" si="0"/>
        <v>#NAME?</v>
      </c>
      <c r="W364" s="10" t="str">
        <f ca="1">IFERROR(__xludf.DUMMYFUNCTION("IF(COUNTIF($A:$A,A358)=1,
""Unique"",
IF(COUNTUNIQUE(FILTER($V$2:$V$934,$A$2:$A$934=A358))&gt;1,
""Conflicting Duplicate"",
""Exact Duplicate""))"),"Unique")</f>
        <v>Unique</v>
      </c>
      <c r="X364" s="10" t="b">
        <f t="shared" ca="1" si="1"/>
        <v>1</v>
      </c>
      <c r="Y364" s="10" t="str">
        <f t="shared" si="2"/>
        <v>Unique</v>
      </c>
      <c r="Z364" s="10"/>
      <c r="AA364" s="10" t="str">
        <f t="shared" si="3"/>
        <v>Clean</v>
      </c>
      <c r="AB364" s="15" t="str">
        <f t="shared" si="4"/>
        <v>Valid</v>
      </c>
      <c r="AC364" s="15">
        <v>2</v>
      </c>
      <c r="AD364" s="16" t="str">
        <f t="shared" si="5"/>
        <v>Valid</v>
      </c>
      <c r="AE364" s="16" t="str">
        <f t="shared" si="6"/>
        <v>Valid</v>
      </c>
      <c r="AF364" s="16" t="str">
        <f t="shared" ref="AF364:AG364" si="739">IF(ISNUMBER(B364),"Valid","Invalid")</f>
        <v>Valid</v>
      </c>
      <c r="AG364" s="16" t="str">
        <f t="shared" si="739"/>
        <v>Valid</v>
      </c>
      <c r="AH364" s="16" t="str">
        <f t="shared" ref="AH364:AI364" si="740">IF(OR(B364="",ISBLANK(B364)),"Missing","Valid")</f>
        <v>Valid</v>
      </c>
      <c r="AI364" s="16" t="str">
        <f t="shared" si="740"/>
        <v>Valid</v>
      </c>
      <c r="AJ364" s="16" t="b">
        <v>0</v>
      </c>
      <c r="AK364" s="16" t="b">
        <v>0</v>
      </c>
      <c r="AL364" s="16" t="b">
        <v>0</v>
      </c>
      <c r="AM364" s="16" t="b">
        <v>0</v>
      </c>
      <c r="AN364" s="16" t="b">
        <v>0</v>
      </c>
      <c r="AO364" s="16" t="b">
        <v>0</v>
      </c>
      <c r="AP364" s="16" t="b">
        <v>0</v>
      </c>
      <c r="AQ364" s="17">
        <f t="shared" si="9"/>
        <v>0.05</v>
      </c>
      <c r="AR364" s="12">
        <f t="shared" si="10"/>
        <v>1866.4079999999999</v>
      </c>
      <c r="AS364" s="18">
        <f t="shared" si="11"/>
        <v>2.00000000018008E-3</v>
      </c>
      <c r="AT364" s="12">
        <f t="shared" si="12"/>
        <v>289.91799999999989</v>
      </c>
      <c r="AU364" s="18">
        <f t="shared" si="13"/>
        <v>2.0000000001232365E-3</v>
      </c>
      <c r="AV364" s="19">
        <f t="shared" si="14"/>
        <v>0.15533473924243782</v>
      </c>
      <c r="AW364" s="20" t="str">
        <f t="shared" si="15"/>
        <v>August</v>
      </c>
      <c r="AX364" s="21">
        <f t="shared" si="16"/>
        <v>2024</v>
      </c>
    </row>
    <row r="365" spans="1:50" ht="15.75" customHeight="1">
      <c r="A365" s="10" t="s">
        <v>1223</v>
      </c>
      <c r="B365" s="11">
        <v>45845</v>
      </c>
      <c r="C365" s="11">
        <v>45850</v>
      </c>
      <c r="D365" s="10" t="s">
        <v>1224</v>
      </c>
      <c r="E365" s="10" t="s">
        <v>191</v>
      </c>
      <c r="F365" s="10" t="s">
        <v>119</v>
      </c>
      <c r="G365" s="10" t="s">
        <v>67</v>
      </c>
      <c r="H365" s="10" t="s">
        <v>128</v>
      </c>
      <c r="I365" s="10" t="s">
        <v>129</v>
      </c>
      <c r="J365" s="10" t="s">
        <v>70</v>
      </c>
      <c r="K365" s="10" t="s">
        <v>71</v>
      </c>
      <c r="L365" s="10" t="s">
        <v>1225</v>
      </c>
      <c r="M365" s="10" t="s">
        <v>60</v>
      </c>
      <c r="N365" s="12">
        <v>5</v>
      </c>
      <c r="O365" s="12">
        <v>1831.37</v>
      </c>
      <c r="P365" s="12">
        <v>0.25</v>
      </c>
      <c r="Q365" s="12">
        <v>6867.64</v>
      </c>
      <c r="R365" s="12">
        <v>5205.3599999999997</v>
      </c>
      <c r="S365" s="12">
        <v>1662.28</v>
      </c>
      <c r="T365" s="10" t="s">
        <v>61</v>
      </c>
      <c r="U365" s="13" t="s">
        <v>62</v>
      </c>
      <c r="V365" s="14" t="e">
        <f t="shared" ca="1" si="0"/>
        <v>#NAME?</v>
      </c>
      <c r="W365" s="10" t="str">
        <f ca="1">IFERROR(__xludf.DUMMYFUNCTION("IF(COUNTIF($A:$A,A359)=1,
""Unique"",
IF(COUNTUNIQUE(FILTER($V$2:$V$934,$A$2:$A$934=A359))&gt;1,
""Conflicting Duplicate"",
""Exact Duplicate""))"),"Unique")</f>
        <v>Unique</v>
      </c>
      <c r="X365" s="10" t="b">
        <f t="shared" ca="1" si="1"/>
        <v>1</v>
      </c>
      <c r="Y365" s="10" t="str">
        <f t="shared" si="2"/>
        <v>Unique</v>
      </c>
      <c r="Z365" s="10"/>
      <c r="AA365" s="10" t="str">
        <f t="shared" si="3"/>
        <v>Clean</v>
      </c>
      <c r="AB365" s="15" t="str">
        <f t="shared" si="4"/>
        <v>Valid</v>
      </c>
      <c r="AC365" s="15">
        <v>5</v>
      </c>
      <c r="AD365" s="16" t="str">
        <f t="shared" si="5"/>
        <v>Valid</v>
      </c>
      <c r="AE365" s="16" t="str">
        <f t="shared" si="6"/>
        <v>Valid</v>
      </c>
      <c r="AF365" s="16" t="str">
        <f t="shared" ref="AF365:AG365" si="741">IF(ISNUMBER(B365),"Valid","Invalid")</f>
        <v>Valid</v>
      </c>
      <c r="AG365" s="16" t="str">
        <f t="shared" si="741"/>
        <v>Valid</v>
      </c>
      <c r="AH365" s="16" t="str">
        <f t="shared" ref="AH365:AI365" si="742">IF(OR(B365="",ISBLANK(B365)),"Missing","Valid")</f>
        <v>Valid</v>
      </c>
      <c r="AI365" s="16" t="str">
        <f t="shared" si="742"/>
        <v>Valid</v>
      </c>
      <c r="AJ365" s="16" t="b">
        <v>0</v>
      </c>
      <c r="AK365" s="16" t="b">
        <v>0</v>
      </c>
      <c r="AL365" s="16" t="b">
        <v>0</v>
      </c>
      <c r="AM365" s="16" t="b">
        <v>0</v>
      </c>
      <c r="AN365" s="16" t="b">
        <v>0</v>
      </c>
      <c r="AO365" s="16" t="b">
        <v>0</v>
      </c>
      <c r="AP365" s="16" t="b">
        <v>0</v>
      </c>
      <c r="AQ365" s="17">
        <f t="shared" si="9"/>
        <v>0.25</v>
      </c>
      <c r="AR365" s="12">
        <f t="shared" si="10"/>
        <v>6867.6374999999989</v>
      </c>
      <c r="AS365" s="18">
        <f t="shared" si="11"/>
        <v>2.5000000014188117E-3</v>
      </c>
      <c r="AT365" s="12">
        <f t="shared" si="12"/>
        <v>1662.2774999999992</v>
      </c>
      <c r="AU365" s="18">
        <f t="shared" si="13"/>
        <v>2.5000000007366907E-3</v>
      </c>
      <c r="AV365" s="19">
        <f t="shared" si="14"/>
        <v>0.24204502640100028</v>
      </c>
      <c r="AW365" s="20" t="str">
        <f t="shared" si="15"/>
        <v>July</v>
      </c>
      <c r="AX365" s="21">
        <f t="shared" si="16"/>
        <v>2025</v>
      </c>
    </row>
    <row r="366" spans="1:50" ht="15.75" customHeight="1">
      <c r="A366" s="10" t="s">
        <v>1226</v>
      </c>
      <c r="B366" s="11">
        <v>45737</v>
      </c>
      <c r="C366" s="11">
        <v>45740</v>
      </c>
      <c r="D366" s="10" t="s">
        <v>1227</v>
      </c>
      <c r="E366" s="10" t="s">
        <v>157</v>
      </c>
      <c r="F366" s="10" t="s">
        <v>66</v>
      </c>
      <c r="G366" s="10" t="s">
        <v>83</v>
      </c>
      <c r="H366" s="10" t="s">
        <v>113</v>
      </c>
      <c r="I366" s="10" t="s">
        <v>114</v>
      </c>
      <c r="J366" s="10" t="s">
        <v>70</v>
      </c>
      <c r="K366" s="10" t="s">
        <v>95</v>
      </c>
      <c r="L366" s="10" t="s">
        <v>1228</v>
      </c>
      <c r="M366" s="10" t="s">
        <v>60</v>
      </c>
      <c r="N366" s="12">
        <v>5</v>
      </c>
      <c r="O366" s="12">
        <v>1239.1500000000001</v>
      </c>
      <c r="P366" s="12">
        <v>0</v>
      </c>
      <c r="Q366" s="12">
        <v>6195.75</v>
      </c>
      <c r="R366" s="12">
        <v>3967.02</v>
      </c>
      <c r="S366" s="12">
        <v>2228.73</v>
      </c>
      <c r="T366" s="10" t="s">
        <v>61</v>
      </c>
      <c r="U366" s="13" t="s">
        <v>62</v>
      </c>
      <c r="V366" s="14" t="e">
        <f t="shared" ca="1" si="0"/>
        <v>#NAME?</v>
      </c>
      <c r="W366" s="10" t="str">
        <f ca="1">IFERROR(__xludf.DUMMYFUNCTION("IF(COUNTIF($A:$A,A360)=1,
""Unique"",
IF(COUNTUNIQUE(FILTER($V$2:$V$934,$A$2:$A$934=A360))&gt;1,
""Conflicting Duplicate"",
""Exact Duplicate""))"),"Unique")</f>
        <v>Unique</v>
      </c>
      <c r="X366" s="10" t="b">
        <f t="shared" ca="1" si="1"/>
        <v>1</v>
      </c>
      <c r="Y366" s="10" t="str">
        <f t="shared" si="2"/>
        <v>Unique</v>
      </c>
      <c r="Z366" s="10"/>
      <c r="AA366" s="10" t="str">
        <f t="shared" si="3"/>
        <v>Clean</v>
      </c>
      <c r="AB366" s="15" t="str">
        <f t="shared" si="4"/>
        <v>Valid</v>
      </c>
      <c r="AC366" s="15">
        <v>3</v>
      </c>
      <c r="AD366" s="16" t="str">
        <f t="shared" si="5"/>
        <v>Valid</v>
      </c>
      <c r="AE366" s="16" t="str">
        <f t="shared" si="6"/>
        <v>Valid</v>
      </c>
      <c r="AF366" s="16" t="str">
        <f t="shared" ref="AF366:AG366" si="743">IF(ISNUMBER(B366),"Valid","Invalid")</f>
        <v>Valid</v>
      </c>
      <c r="AG366" s="16" t="str">
        <f t="shared" si="743"/>
        <v>Valid</v>
      </c>
      <c r="AH366" s="16" t="str">
        <f t="shared" ref="AH366:AI366" si="744">IF(OR(B366="",ISBLANK(B366)),"Missing","Valid")</f>
        <v>Valid</v>
      </c>
      <c r="AI366" s="16" t="str">
        <f t="shared" si="744"/>
        <v>Valid</v>
      </c>
      <c r="AJ366" s="16" t="b">
        <v>0</v>
      </c>
      <c r="AK366" s="16" t="b">
        <v>0</v>
      </c>
      <c r="AL366" s="16" t="b">
        <v>0</v>
      </c>
      <c r="AM366" s="16" t="b">
        <v>0</v>
      </c>
      <c r="AN366" s="16" t="b">
        <v>0</v>
      </c>
      <c r="AO366" s="16" t="b">
        <v>0</v>
      </c>
      <c r="AP366" s="16" t="b">
        <v>0</v>
      </c>
      <c r="AQ366" s="17">
        <f t="shared" si="9"/>
        <v>0</v>
      </c>
      <c r="AR366" s="12">
        <f t="shared" si="10"/>
        <v>6195.75</v>
      </c>
      <c r="AS366" s="18">
        <f t="shared" si="11"/>
        <v>0</v>
      </c>
      <c r="AT366" s="12">
        <f t="shared" si="12"/>
        <v>2228.73</v>
      </c>
      <c r="AU366" s="18">
        <f t="shared" si="13"/>
        <v>0</v>
      </c>
      <c r="AV366" s="19">
        <f t="shared" si="14"/>
        <v>0.35971916232901585</v>
      </c>
      <c r="AW366" s="20" t="str">
        <f t="shared" si="15"/>
        <v>March</v>
      </c>
      <c r="AX366" s="21">
        <f t="shared" si="16"/>
        <v>2025</v>
      </c>
    </row>
    <row r="367" spans="1:50" ht="15.75" customHeight="1">
      <c r="A367" s="10" t="s">
        <v>1229</v>
      </c>
      <c r="B367" s="11">
        <v>45458</v>
      </c>
      <c r="C367" s="11">
        <v>45464</v>
      </c>
      <c r="D367" s="10" t="s">
        <v>1230</v>
      </c>
      <c r="E367" s="10" t="s">
        <v>118</v>
      </c>
      <c r="F367" s="10" t="s">
        <v>119</v>
      </c>
      <c r="G367" s="10" t="s">
        <v>92</v>
      </c>
      <c r="H367" s="10" t="s">
        <v>219</v>
      </c>
      <c r="I367" s="10" t="s">
        <v>220</v>
      </c>
      <c r="J367" s="10" t="s">
        <v>103</v>
      </c>
      <c r="K367" s="10" t="s">
        <v>104</v>
      </c>
      <c r="L367" s="10" t="s">
        <v>1231</v>
      </c>
      <c r="M367" s="10" t="s">
        <v>79</v>
      </c>
      <c r="N367" s="12">
        <v>8</v>
      </c>
      <c r="O367" s="12">
        <v>1706.4</v>
      </c>
      <c r="P367" s="12">
        <v>0</v>
      </c>
      <c r="Q367" s="12">
        <v>12968.64</v>
      </c>
      <c r="R367" s="12">
        <v>10119.61</v>
      </c>
      <c r="S367" s="12">
        <v>2849.03</v>
      </c>
      <c r="T367" s="10" t="s">
        <v>61</v>
      </c>
      <c r="U367" s="13" t="s">
        <v>62</v>
      </c>
      <c r="V367" s="14" t="e">
        <f t="shared" ca="1" si="0"/>
        <v>#NAME?</v>
      </c>
      <c r="W367" s="10" t="str">
        <f ca="1">IFERROR(__xludf.DUMMYFUNCTION("IF(COUNTIF($A:$A,A361)=1,
""Unique"",
IF(COUNTUNIQUE(FILTER($V$2:$V$934,$A$2:$A$934=A361))&gt;1,
""Conflicting Duplicate"",
""Exact Duplicate""))"),"Unique")</f>
        <v>Unique</v>
      </c>
      <c r="X367" s="10" t="b">
        <f t="shared" ca="1" si="1"/>
        <v>1</v>
      </c>
      <c r="Y367" s="10" t="str">
        <f t="shared" si="2"/>
        <v>Unique</v>
      </c>
      <c r="Z367" s="10"/>
      <c r="AA367" s="10" t="str">
        <f t="shared" si="3"/>
        <v>Clean</v>
      </c>
      <c r="AB367" s="15" t="str">
        <f t="shared" si="4"/>
        <v>Valid</v>
      </c>
      <c r="AC367" s="15">
        <v>6</v>
      </c>
      <c r="AD367" s="16" t="str">
        <f t="shared" si="5"/>
        <v>Valid</v>
      </c>
      <c r="AE367" s="16" t="str">
        <f t="shared" si="6"/>
        <v>Valid</v>
      </c>
      <c r="AF367" s="16" t="str">
        <f t="shared" ref="AF367:AG367" si="745">IF(ISNUMBER(B367),"Valid","Invalid")</f>
        <v>Valid</v>
      </c>
      <c r="AG367" s="16" t="str">
        <f t="shared" si="745"/>
        <v>Valid</v>
      </c>
      <c r="AH367" s="16" t="str">
        <f t="shared" ref="AH367:AI367" si="746">IF(OR(B367="",ISBLANK(B367)),"Missing","Valid")</f>
        <v>Valid</v>
      </c>
      <c r="AI367" s="16" t="str">
        <f t="shared" si="746"/>
        <v>Valid</v>
      </c>
      <c r="AJ367" s="16" t="b">
        <v>0</v>
      </c>
      <c r="AK367" s="16" t="b">
        <v>0</v>
      </c>
      <c r="AL367" s="16" t="b">
        <v>1</v>
      </c>
      <c r="AM367" s="16" t="b">
        <v>0</v>
      </c>
      <c r="AN367" s="16" t="b">
        <v>0</v>
      </c>
      <c r="AO367" s="16" t="b">
        <v>0</v>
      </c>
      <c r="AP367" s="16" t="b">
        <v>1</v>
      </c>
      <c r="AQ367" s="17">
        <f t="shared" si="9"/>
        <v>0</v>
      </c>
      <c r="AR367" s="12">
        <f t="shared" si="10"/>
        <v>13651.2</v>
      </c>
      <c r="AS367" s="18">
        <f t="shared" si="11"/>
        <v>-682.56000000000131</v>
      </c>
      <c r="AT367" s="12">
        <f t="shared" si="12"/>
        <v>3531.59</v>
      </c>
      <c r="AU367" s="18">
        <f t="shared" si="13"/>
        <v>-682.56</v>
      </c>
      <c r="AV367" s="19">
        <f t="shared" si="14"/>
        <v>0.2587017991092358</v>
      </c>
      <c r="AW367" s="20" t="str">
        <f t="shared" si="15"/>
        <v>June</v>
      </c>
      <c r="AX367" s="21">
        <f t="shared" si="16"/>
        <v>2024</v>
      </c>
    </row>
    <row r="368" spans="1:50" ht="15.75" customHeight="1">
      <c r="A368" s="10" t="s">
        <v>1232</v>
      </c>
      <c r="B368" s="11">
        <v>45673</v>
      </c>
      <c r="C368" s="11">
        <v>45679</v>
      </c>
      <c r="D368" s="10" t="s">
        <v>1233</v>
      </c>
      <c r="E368" s="10" t="s">
        <v>161</v>
      </c>
      <c r="F368" s="10" t="s">
        <v>119</v>
      </c>
      <c r="G368" s="10" t="s">
        <v>54</v>
      </c>
      <c r="H368" s="10" t="s">
        <v>55</v>
      </c>
      <c r="I368" s="10" t="s">
        <v>56</v>
      </c>
      <c r="J368" s="10" t="s">
        <v>70</v>
      </c>
      <c r="K368" s="10" t="s">
        <v>71</v>
      </c>
      <c r="L368" s="10" t="s">
        <v>1234</v>
      </c>
      <c r="M368" s="10" t="s">
        <v>73</v>
      </c>
      <c r="N368" s="12">
        <v>2</v>
      </c>
      <c r="O368" s="12">
        <v>4418.28</v>
      </c>
      <c r="P368" s="12">
        <v>0</v>
      </c>
      <c r="Q368" s="12">
        <v>8836.56</v>
      </c>
      <c r="R368" s="12">
        <v>5867.75</v>
      </c>
      <c r="S368" s="12">
        <v>2968.81</v>
      </c>
      <c r="T368" s="10" t="s">
        <v>61</v>
      </c>
      <c r="U368" s="13" t="s">
        <v>62</v>
      </c>
      <c r="V368" s="14" t="e">
        <f t="shared" ca="1" si="0"/>
        <v>#NAME?</v>
      </c>
      <c r="W368" s="10" t="str">
        <f ca="1">IFERROR(__xludf.DUMMYFUNCTION("IF(COUNTIF($A:$A,A362)=1,
""Unique"",
IF(COUNTUNIQUE(FILTER($V$2:$V$934,$A$2:$A$934=A362))&gt;1,
""Conflicting Duplicate"",
""Exact Duplicate""))"),"Unique")</f>
        <v>Unique</v>
      </c>
      <c r="X368" s="10" t="b">
        <f t="shared" ca="1" si="1"/>
        <v>1</v>
      </c>
      <c r="Y368" s="10" t="str">
        <f t="shared" si="2"/>
        <v>Unique</v>
      </c>
      <c r="Z368" s="10"/>
      <c r="AA368" s="10" t="str">
        <f t="shared" si="3"/>
        <v>Clean</v>
      </c>
      <c r="AB368" s="15" t="str">
        <f t="shared" si="4"/>
        <v>Valid</v>
      </c>
      <c r="AC368" s="15">
        <v>6</v>
      </c>
      <c r="AD368" s="16" t="str">
        <f t="shared" si="5"/>
        <v>Valid</v>
      </c>
      <c r="AE368" s="16" t="str">
        <f t="shared" si="6"/>
        <v>Valid</v>
      </c>
      <c r="AF368" s="16" t="str">
        <f t="shared" ref="AF368:AG368" si="747">IF(ISNUMBER(B368),"Valid","Invalid")</f>
        <v>Valid</v>
      </c>
      <c r="AG368" s="16" t="str">
        <f t="shared" si="747"/>
        <v>Valid</v>
      </c>
      <c r="AH368" s="16" t="str">
        <f t="shared" ref="AH368:AI368" si="748">IF(OR(B368="",ISBLANK(B368)),"Missing","Valid")</f>
        <v>Valid</v>
      </c>
      <c r="AI368" s="16" t="str">
        <f t="shared" si="748"/>
        <v>Valid</v>
      </c>
      <c r="AJ368" s="16" t="b">
        <v>0</v>
      </c>
      <c r="AK368" s="16" t="b">
        <v>0</v>
      </c>
      <c r="AL368" s="16" t="b">
        <v>0</v>
      </c>
      <c r="AM368" s="16" t="b">
        <v>0</v>
      </c>
      <c r="AN368" s="16" t="b">
        <v>0</v>
      </c>
      <c r="AO368" s="16" t="b">
        <v>0</v>
      </c>
      <c r="AP368" s="16" t="b">
        <v>0</v>
      </c>
      <c r="AQ368" s="17">
        <f t="shared" si="9"/>
        <v>0</v>
      </c>
      <c r="AR368" s="12">
        <f t="shared" si="10"/>
        <v>8836.56</v>
      </c>
      <c r="AS368" s="18">
        <f t="shared" si="11"/>
        <v>0</v>
      </c>
      <c r="AT368" s="12">
        <f t="shared" si="12"/>
        <v>2968.8099999999995</v>
      </c>
      <c r="AU368" s="18">
        <f t="shared" si="13"/>
        <v>0</v>
      </c>
      <c r="AV368" s="19">
        <f t="shared" si="14"/>
        <v>0.33596897435201023</v>
      </c>
      <c r="AW368" s="20" t="str">
        <f t="shared" si="15"/>
        <v>January</v>
      </c>
      <c r="AX368" s="21">
        <f t="shared" si="16"/>
        <v>2025</v>
      </c>
    </row>
    <row r="369" spans="1:50" ht="15.75" customHeight="1">
      <c r="A369" s="10" t="s">
        <v>1235</v>
      </c>
      <c r="B369" s="11">
        <v>45366</v>
      </c>
      <c r="C369" s="11">
        <v>45367</v>
      </c>
      <c r="D369" s="10" t="s">
        <v>1236</v>
      </c>
      <c r="E369" s="10" t="s">
        <v>170</v>
      </c>
      <c r="F369" s="10" t="s">
        <v>53</v>
      </c>
      <c r="G369" s="10" t="s">
        <v>54</v>
      </c>
      <c r="H369" s="10" t="s">
        <v>380</v>
      </c>
      <c r="I369" s="10" t="s">
        <v>381</v>
      </c>
      <c r="J369" s="10" t="s">
        <v>57</v>
      </c>
      <c r="K369" s="10" t="s">
        <v>77</v>
      </c>
      <c r="L369" s="10" t="s">
        <v>1237</v>
      </c>
      <c r="M369" s="10" t="s">
        <v>88</v>
      </c>
      <c r="N369" s="12">
        <v>6</v>
      </c>
      <c r="O369" s="12">
        <v>3815.09</v>
      </c>
      <c r="P369" s="12">
        <v>0.15</v>
      </c>
      <c r="Q369" s="12">
        <v>19456.96</v>
      </c>
      <c r="R369" s="12">
        <v>14520.06</v>
      </c>
      <c r="S369" s="12">
        <v>4936.8999999999996</v>
      </c>
      <c r="T369" s="10" t="s">
        <v>184</v>
      </c>
      <c r="U369" s="13" t="s">
        <v>97</v>
      </c>
      <c r="V369" s="14" t="e">
        <f t="shared" ca="1" si="0"/>
        <v>#NAME?</v>
      </c>
      <c r="W369" s="10" t="str">
        <f ca="1">IFERROR(__xludf.DUMMYFUNCTION("IF(COUNTIF($A:$A,A363)=1,
""Unique"",
IF(COUNTUNIQUE(FILTER($V$2:$V$934,$A$2:$A$934=A363))&gt;1,
""Conflicting Duplicate"",
""Exact Duplicate""))"),"Unique")</f>
        <v>Unique</v>
      </c>
      <c r="X369" s="10" t="b">
        <f t="shared" ca="1" si="1"/>
        <v>1</v>
      </c>
      <c r="Y369" s="10" t="str">
        <f t="shared" si="2"/>
        <v>Unique</v>
      </c>
      <c r="Z369" s="10"/>
      <c r="AA369" s="10" t="str">
        <f t="shared" si="3"/>
        <v>Clean</v>
      </c>
      <c r="AB369" s="15" t="str">
        <f t="shared" si="4"/>
        <v>Valid</v>
      </c>
      <c r="AC369" s="15">
        <v>1</v>
      </c>
      <c r="AD369" s="16" t="str">
        <f t="shared" si="5"/>
        <v>Valid</v>
      </c>
      <c r="AE369" s="16" t="str">
        <f t="shared" si="6"/>
        <v>Valid</v>
      </c>
      <c r="AF369" s="16" t="str">
        <f t="shared" ref="AF369:AG369" si="749">IF(ISNUMBER(B369),"Valid","Invalid")</f>
        <v>Valid</v>
      </c>
      <c r="AG369" s="16" t="str">
        <f t="shared" si="749"/>
        <v>Valid</v>
      </c>
      <c r="AH369" s="16" t="str">
        <f t="shared" ref="AH369:AI369" si="750">IF(OR(B369="",ISBLANK(B369)),"Missing","Valid")</f>
        <v>Valid</v>
      </c>
      <c r="AI369" s="16" t="str">
        <f t="shared" si="750"/>
        <v>Valid</v>
      </c>
      <c r="AJ369" s="16" t="b">
        <v>0</v>
      </c>
      <c r="AK369" s="16" t="b">
        <v>0</v>
      </c>
      <c r="AL369" s="16" t="b">
        <v>0</v>
      </c>
      <c r="AM369" s="16" t="b">
        <v>0</v>
      </c>
      <c r="AN369" s="16" t="b">
        <v>0</v>
      </c>
      <c r="AO369" s="16" t="b">
        <v>0</v>
      </c>
      <c r="AP369" s="16" t="b">
        <v>0</v>
      </c>
      <c r="AQ369" s="17">
        <f t="shared" si="9"/>
        <v>0.15</v>
      </c>
      <c r="AR369" s="12">
        <f t="shared" si="10"/>
        <v>19456.958999999999</v>
      </c>
      <c r="AS369" s="18">
        <f t="shared" si="11"/>
        <v>1.0000000002037268E-3</v>
      </c>
      <c r="AT369" s="12">
        <f t="shared" si="12"/>
        <v>4936.8989999999994</v>
      </c>
      <c r="AU369" s="18">
        <f t="shared" si="13"/>
        <v>1.0000000002037268E-3</v>
      </c>
      <c r="AV369" s="19">
        <f t="shared" si="14"/>
        <v>0.25373435797443988</v>
      </c>
      <c r="AW369" s="20" t="str">
        <f t="shared" si="15"/>
        <v>March</v>
      </c>
      <c r="AX369" s="21">
        <f t="shared" si="16"/>
        <v>2024</v>
      </c>
    </row>
    <row r="370" spans="1:50" ht="15.75" customHeight="1">
      <c r="A370" s="10" t="s">
        <v>1238</v>
      </c>
      <c r="B370" s="11">
        <v>45844</v>
      </c>
      <c r="C370" s="11">
        <v>45844</v>
      </c>
      <c r="D370" s="10" t="s">
        <v>1239</v>
      </c>
      <c r="E370" s="10" t="s">
        <v>157</v>
      </c>
      <c r="F370" s="10" t="s">
        <v>124</v>
      </c>
      <c r="G370" s="10" t="s">
        <v>54</v>
      </c>
      <c r="H370" s="10" t="s">
        <v>55</v>
      </c>
      <c r="I370" s="10" t="s">
        <v>56</v>
      </c>
      <c r="J370" s="10" t="s">
        <v>103</v>
      </c>
      <c r="K370" s="10" t="s">
        <v>104</v>
      </c>
      <c r="L370" s="10" t="s">
        <v>1240</v>
      </c>
      <c r="M370" s="10" t="s">
        <v>73</v>
      </c>
      <c r="N370" s="12">
        <v>9</v>
      </c>
      <c r="O370" s="12">
        <v>243.19</v>
      </c>
      <c r="P370" s="12">
        <v>0.05</v>
      </c>
      <c r="Q370" s="12">
        <v>2079.27</v>
      </c>
      <c r="R370" s="12">
        <v>1512.17</v>
      </c>
      <c r="S370" s="12">
        <v>567.1</v>
      </c>
      <c r="T370" s="10" t="s">
        <v>131</v>
      </c>
      <c r="U370" s="13" t="s">
        <v>132</v>
      </c>
      <c r="V370" s="14" t="e">
        <f t="shared" ca="1" si="0"/>
        <v>#NAME?</v>
      </c>
      <c r="W370" s="10" t="str">
        <f ca="1">IFERROR(__xludf.DUMMYFUNCTION("IF(COUNTIF($A:$A,A364)=1,
""Unique"",
IF(COUNTUNIQUE(FILTER($V$2:$V$934,$A$2:$A$934=A364))&gt;1,
""Conflicting Duplicate"",
""Exact Duplicate""))"),"Unique")</f>
        <v>Unique</v>
      </c>
      <c r="X370" s="10" t="b">
        <f t="shared" ca="1" si="1"/>
        <v>1</v>
      </c>
      <c r="Y370" s="10" t="str">
        <f t="shared" si="2"/>
        <v>Unique</v>
      </c>
      <c r="Z370" s="10"/>
      <c r="AA370" s="10" t="str">
        <f t="shared" si="3"/>
        <v>Clean</v>
      </c>
      <c r="AB370" s="15" t="str">
        <f t="shared" si="4"/>
        <v>Valid</v>
      </c>
      <c r="AC370" s="15">
        <v>0</v>
      </c>
      <c r="AD370" s="16" t="str">
        <f t="shared" si="5"/>
        <v>Valid</v>
      </c>
      <c r="AE370" s="16" t="str">
        <f t="shared" si="6"/>
        <v>Valid</v>
      </c>
      <c r="AF370" s="16" t="str">
        <f t="shared" ref="AF370:AG370" si="751">IF(ISNUMBER(B370),"Valid","Invalid")</f>
        <v>Valid</v>
      </c>
      <c r="AG370" s="16" t="str">
        <f t="shared" si="751"/>
        <v>Valid</v>
      </c>
      <c r="AH370" s="16" t="str">
        <f t="shared" ref="AH370:AI370" si="752">IF(OR(B370="",ISBLANK(B370)),"Missing","Valid")</f>
        <v>Valid</v>
      </c>
      <c r="AI370" s="16" t="str">
        <f t="shared" si="752"/>
        <v>Valid</v>
      </c>
      <c r="AJ370" s="16" t="b">
        <v>0</v>
      </c>
      <c r="AK370" s="16" t="b">
        <v>0</v>
      </c>
      <c r="AL370" s="16" t="b">
        <v>0</v>
      </c>
      <c r="AM370" s="16" t="b">
        <v>0</v>
      </c>
      <c r="AN370" s="16" t="b">
        <v>0</v>
      </c>
      <c r="AO370" s="16" t="b">
        <v>0</v>
      </c>
      <c r="AP370" s="16" t="b">
        <v>0</v>
      </c>
      <c r="AQ370" s="17">
        <f t="shared" si="9"/>
        <v>0.05</v>
      </c>
      <c r="AR370" s="12">
        <f t="shared" si="10"/>
        <v>2079.2745</v>
      </c>
      <c r="AS370" s="18">
        <f t="shared" si="11"/>
        <v>-4.500000000007276E-3</v>
      </c>
      <c r="AT370" s="12">
        <f t="shared" si="12"/>
        <v>567.10449999999992</v>
      </c>
      <c r="AU370" s="18">
        <f t="shared" si="13"/>
        <v>-4.4999999998935891E-3</v>
      </c>
      <c r="AV370" s="19">
        <f t="shared" si="14"/>
        <v>0.27274152595051782</v>
      </c>
      <c r="AW370" s="20" t="str">
        <f t="shared" si="15"/>
        <v>July</v>
      </c>
      <c r="AX370" s="21">
        <f t="shared" si="16"/>
        <v>2025</v>
      </c>
    </row>
    <row r="371" spans="1:50" ht="15.75" customHeight="1">
      <c r="A371" s="10" t="s">
        <v>1241</v>
      </c>
      <c r="B371" s="11">
        <v>45680</v>
      </c>
      <c r="C371" s="11">
        <v>45687</v>
      </c>
      <c r="D371" s="10" t="s">
        <v>1242</v>
      </c>
      <c r="E371" s="10" t="s">
        <v>143</v>
      </c>
      <c r="F371" s="10" t="s">
        <v>53</v>
      </c>
      <c r="G371" s="10" t="s">
        <v>54</v>
      </c>
      <c r="H371" s="10" t="s">
        <v>380</v>
      </c>
      <c r="I371" s="10" t="s">
        <v>381</v>
      </c>
      <c r="J371" s="10" t="s">
        <v>57</v>
      </c>
      <c r="K371" s="10" t="s">
        <v>120</v>
      </c>
      <c r="L371" s="10" t="s">
        <v>1243</v>
      </c>
      <c r="M371" s="10" t="s">
        <v>88</v>
      </c>
      <c r="N371" s="12">
        <v>9</v>
      </c>
      <c r="O371" s="12">
        <v>1169.3699999999999</v>
      </c>
      <c r="P371" s="12">
        <v>0.15</v>
      </c>
      <c r="Q371" s="12">
        <v>8945.68</v>
      </c>
      <c r="R371" s="12">
        <v>6740.35</v>
      </c>
      <c r="S371" s="12">
        <v>2205.33</v>
      </c>
      <c r="T371" s="10" t="s">
        <v>61</v>
      </c>
      <c r="U371" s="13" t="s">
        <v>62</v>
      </c>
      <c r="V371" s="14" t="e">
        <f t="shared" ca="1" si="0"/>
        <v>#NAME?</v>
      </c>
      <c r="W371" s="10" t="str">
        <f ca="1">IFERROR(__xludf.DUMMYFUNCTION("IF(COUNTIF($A:$A,A365)=1,
""Unique"",
IF(COUNTUNIQUE(FILTER($V$2:$V$934,$A$2:$A$934=A365))&gt;1,
""Conflicting Duplicate"",
""Exact Duplicate""))"),"Unique")</f>
        <v>Unique</v>
      </c>
      <c r="X371" s="10" t="b">
        <f t="shared" ca="1" si="1"/>
        <v>1</v>
      </c>
      <c r="Y371" s="10" t="str">
        <f t="shared" si="2"/>
        <v>Unique</v>
      </c>
      <c r="Z371" s="10"/>
      <c r="AA371" s="10" t="str">
        <f t="shared" si="3"/>
        <v>Clean</v>
      </c>
      <c r="AB371" s="15" t="str">
        <f t="shared" si="4"/>
        <v>Valid</v>
      </c>
      <c r="AC371" s="15">
        <v>7</v>
      </c>
      <c r="AD371" s="16" t="str">
        <f t="shared" si="5"/>
        <v>Valid</v>
      </c>
      <c r="AE371" s="16" t="str">
        <f t="shared" si="6"/>
        <v>Valid</v>
      </c>
      <c r="AF371" s="16" t="str">
        <f t="shared" ref="AF371:AG371" si="753">IF(ISNUMBER(B371),"Valid","Invalid")</f>
        <v>Valid</v>
      </c>
      <c r="AG371" s="16" t="str">
        <f t="shared" si="753"/>
        <v>Valid</v>
      </c>
      <c r="AH371" s="16" t="str">
        <f t="shared" ref="AH371:AI371" si="754">IF(OR(B371="",ISBLANK(B371)),"Missing","Valid")</f>
        <v>Valid</v>
      </c>
      <c r="AI371" s="16" t="str">
        <f t="shared" si="754"/>
        <v>Valid</v>
      </c>
      <c r="AJ371" s="16" t="b">
        <v>0</v>
      </c>
      <c r="AK371" s="16" t="b">
        <v>0</v>
      </c>
      <c r="AL371" s="16" t="b">
        <v>0</v>
      </c>
      <c r="AM371" s="16" t="b">
        <v>0</v>
      </c>
      <c r="AN371" s="16" t="b">
        <v>0</v>
      </c>
      <c r="AO371" s="16" t="b">
        <v>0</v>
      </c>
      <c r="AP371" s="16" t="b">
        <v>0</v>
      </c>
      <c r="AQ371" s="17">
        <f t="shared" si="9"/>
        <v>0.15</v>
      </c>
      <c r="AR371" s="12">
        <f t="shared" si="10"/>
        <v>8945.6804999999986</v>
      </c>
      <c r="AS371" s="18">
        <f t="shared" si="11"/>
        <v>-4.99999998282874E-4</v>
      </c>
      <c r="AT371" s="12">
        <f t="shared" si="12"/>
        <v>2205.3304999999982</v>
      </c>
      <c r="AU371" s="18">
        <f t="shared" si="13"/>
        <v>-4.99999998282874E-4</v>
      </c>
      <c r="AV371" s="19">
        <f t="shared" si="14"/>
        <v>0.24652462157574245</v>
      </c>
      <c r="AW371" s="20" t="str">
        <f t="shared" si="15"/>
        <v>January</v>
      </c>
      <c r="AX371" s="21">
        <f t="shared" si="16"/>
        <v>2025</v>
      </c>
    </row>
    <row r="372" spans="1:50" ht="15.75" customHeight="1">
      <c r="A372" s="10" t="s">
        <v>1244</v>
      </c>
      <c r="B372" s="11">
        <v>45519</v>
      </c>
      <c r="C372" s="11">
        <v>45525</v>
      </c>
      <c r="D372" s="10" t="s">
        <v>1245</v>
      </c>
      <c r="E372" s="10" t="s">
        <v>91</v>
      </c>
      <c r="F372" s="10" t="s">
        <v>66</v>
      </c>
      <c r="G372" s="10" t="s">
        <v>92</v>
      </c>
      <c r="H372" s="10" t="s">
        <v>55</v>
      </c>
      <c r="I372" s="10" t="s">
        <v>138</v>
      </c>
      <c r="J372" s="10" t="s">
        <v>103</v>
      </c>
      <c r="K372" s="10" t="s">
        <v>109</v>
      </c>
      <c r="L372" s="10" t="s">
        <v>1246</v>
      </c>
      <c r="M372" s="10" t="s">
        <v>79</v>
      </c>
      <c r="N372" s="12">
        <v>7</v>
      </c>
      <c r="O372" s="12">
        <v>2333.81</v>
      </c>
      <c r="P372" s="12">
        <v>0.2</v>
      </c>
      <c r="Q372" s="12">
        <v>13069.34</v>
      </c>
      <c r="R372" s="12">
        <v>8768.59</v>
      </c>
      <c r="S372" s="12">
        <v>4300.75</v>
      </c>
      <c r="T372" s="10" t="s">
        <v>61</v>
      </c>
      <c r="U372" s="13" t="s">
        <v>62</v>
      </c>
      <c r="V372" s="14" t="e">
        <f t="shared" ca="1" si="0"/>
        <v>#NAME?</v>
      </c>
      <c r="W372" s="10" t="str">
        <f ca="1">IFERROR(__xludf.DUMMYFUNCTION("IF(COUNTIF($A:$A,A366)=1,
""Unique"",
IF(COUNTUNIQUE(FILTER($V$2:$V$934,$A$2:$A$934=A366))&gt;1,
""Conflicting Duplicate"",
""Exact Duplicate""))"),"Unique")</f>
        <v>Unique</v>
      </c>
      <c r="X372" s="10" t="b">
        <f t="shared" ca="1" si="1"/>
        <v>1</v>
      </c>
      <c r="Y372" s="10" t="str">
        <f t="shared" si="2"/>
        <v>Unique</v>
      </c>
      <c r="Z372" s="10"/>
      <c r="AA372" s="10" t="str">
        <f t="shared" si="3"/>
        <v>Clean</v>
      </c>
      <c r="AB372" s="15" t="str">
        <f t="shared" si="4"/>
        <v>Valid</v>
      </c>
      <c r="AC372" s="15">
        <v>6</v>
      </c>
      <c r="AD372" s="16" t="str">
        <f t="shared" si="5"/>
        <v>Valid</v>
      </c>
      <c r="AE372" s="16" t="str">
        <f t="shared" si="6"/>
        <v>Valid</v>
      </c>
      <c r="AF372" s="16" t="str">
        <f t="shared" ref="AF372:AG372" si="755">IF(ISNUMBER(B372),"Valid","Invalid")</f>
        <v>Valid</v>
      </c>
      <c r="AG372" s="16" t="str">
        <f t="shared" si="755"/>
        <v>Valid</v>
      </c>
      <c r="AH372" s="16" t="str">
        <f t="shared" ref="AH372:AI372" si="756">IF(OR(B372="",ISBLANK(B372)),"Missing","Valid")</f>
        <v>Valid</v>
      </c>
      <c r="AI372" s="16" t="str">
        <f t="shared" si="756"/>
        <v>Valid</v>
      </c>
      <c r="AJ372" s="16" t="b">
        <v>0</v>
      </c>
      <c r="AK372" s="16" t="b">
        <v>0</v>
      </c>
      <c r="AL372" s="16" t="b">
        <v>0</v>
      </c>
      <c r="AM372" s="16" t="b">
        <v>0</v>
      </c>
      <c r="AN372" s="16" t="b">
        <v>0</v>
      </c>
      <c r="AO372" s="16" t="b">
        <v>0</v>
      </c>
      <c r="AP372" s="16" t="b">
        <v>0</v>
      </c>
      <c r="AQ372" s="17">
        <f t="shared" si="9"/>
        <v>0.2</v>
      </c>
      <c r="AR372" s="12">
        <f t="shared" si="10"/>
        <v>13069.336000000001</v>
      </c>
      <c r="AS372" s="18">
        <f t="shared" si="11"/>
        <v>3.9999999989959178E-3</v>
      </c>
      <c r="AT372" s="12">
        <f t="shared" si="12"/>
        <v>4300.746000000001</v>
      </c>
      <c r="AU372" s="18">
        <f t="shared" si="13"/>
        <v>3.9999999989959178E-3</v>
      </c>
      <c r="AV372" s="19">
        <f t="shared" si="14"/>
        <v>0.32907149988339124</v>
      </c>
      <c r="AW372" s="20" t="str">
        <f t="shared" si="15"/>
        <v>August</v>
      </c>
      <c r="AX372" s="21">
        <f t="shared" si="16"/>
        <v>2024</v>
      </c>
    </row>
    <row r="373" spans="1:50" ht="15.75" customHeight="1">
      <c r="A373" s="10" t="s">
        <v>1247</v>
      </c>
      <c r="B373" s="11">
        <v>45313</v>
      </c>
      <c r="C373" s="11">
        <v>45315</v>
      </c>
      <c r="D373" s="10" t="s">
        <v>1248</v>
      </c>
      <c r="E373" s="10" t="s">
        <v>191</v>
      </c>
      <c r="F373" s="10" t="s">
        <v>124</v>
      </c>
      <c r="G373" s="10" t="s">
        <v>92</v>
      </c>
      <c r="H373" s="10" t="s">
        <v>93</v>
      </c>
      <c r="I373" s="10" t="s">
        <v>94</v>
      </c>
      <c r="J373" s="10" t="s">
        <v>57</v>
      </c>
      <c r="K373" s="10" t="s">
        <v>77</v>
      </c>
      <c r="L373" s="10" t="s">
        <v>1249</v>
      </c>
      <c r="M373" s="10" t="s">
        <v>88</v>
      </c>
      <c r="N373" s="12">
        <v>6</v>
      </c>
      <c r="O373" s="12">
        <v>1026.06</v>
      </c>
      <c r="P373" s="12">
        <v>0</v>
      </c>
      <c r="Q373" s="12">
        <v>4617.2700000000004</v>
      </c>
      <c r="R373" s="12">
        <v>2981.94</v>
      </c>
      <c r="S373" s="12">
        <v>1635.33</v>
      </c>
      <c r="T373" s="10" t="s">
        <v>131</v>
      </c>
      <c r="U373" s="13" t="s">
        <v>97</v>
      </c>
      <c r="V373" s="14" t="e">
        <f t="shared" ca="1" si="0"/>
        <v>#NAME?</v>
      </c>
      <c r="W373" s="10" t="str">
        <f ca="1">IFERROR(__xludf.DUMMYFUNCTION("IF(COUNTIF($A:$A,A367)=1,
""Unique"",
IF(COUNTUNIQUE(FILTER($V$2:$V$934,$A$2:$A$934=A367))&gt;1,
""Conflicting Duplicate"",
""Exact Duplicate""))"),"Unique")</f>
        <v>Unique</v>
      </c>
      <c r="X373" s="10" t="b">
        <f t="shared" ca="1" si="1"/>
        <v>1</v>
      </c>
      <c r="Y373" s="10" t="str">
        <f t="shared" si="2"/>
        <v>Unique</v>
      </c>
      <c r="Z373" s="10"/>
      <c r="AA373" s="10" t="str">
        <f t="shared" si="3"/>
        <v>Clean</v>
      </c>
      <c r="AB373" s="15" t="str">
        <f t="shared" si="4"/>
        <v>Valid</v>
      </c>
      <c r="AC373" s="15">
        <v>2</v>
      </c>
      <c r="AD373" s="16" t="str">
        <f t="shared" si="5"/>
        <v>Valid</v>
      </c>
      <c r="AE373" s="16" t="str">
        <f t="shared" si="6"/>
        <v>Valid</v>
      </c>
      <c r="AF373" s="16" t="str">
        <f t="shared" ref="AF373:AG373" si="757">IF(ISNUMBER(B373),"Valid","Invalid")</f>
        <v>Valid</v>
      </c>
      <c r="AG373" s="16" t="str">
        <f t="shared" si="757"/>
        <v>Valid</v>
      </c>
      <c r="AH373" s="16" t="str">
        <f t="shared" ref="AH373:AI373" si="758">IF(OR(B373="",ISBLANK(B373)),"Missing","Valid")</f>
        <v>Valid</v>
      </c>
      <c r="AI373" s="16" t="str">
        <f t="shared" si="758"/>
        <v>Valid</v>
      </c>
      <c r="AJ373" s="16" t="b">
        <v>0</v>
      </c>
      <c r="AK373" s="16" t="b">
        <v>0</v>
      </c>
      <c r="AL373" s="16" t="b">
        <v>1</v>
      </c>
      <c r="AM373" s="16" t="b">
        <v>0</v>
      </c>
      <c r="AN373" s="16" t="b">
        <v>0</v>
      </c>
      <c r="AO373" s="16" t="b">
        <v>0</v>
      </c>
      <c r="AP373" s="16" t="b">
        <v>1</v>
      </c>
      <c r="AQ373" s="17">
        <f t="shared" si="9"/>
        <v>0</v>
      </c>
      <c r="AR373" s="12">
        <f t="shared" si="10"/>
        <v>6156.36</v>
      </c>
      <c r="AS373" s="18">
        <f t="shared" si="11"/>
        <v>-1539.0899999999992</v>
      </c>
      <c r="AT373" s="12">
        <f t="shared" si="12"/>
        <v>3174.4199999999996</v>
      </c>
      <c r="AU373" s="18">
        <f t="shared" si="13"/>
        <v>-1539.0899999999997</v>
      </c>
      <c r="AV373" s="19">
        <f t="shared" si="14"/>
        <v>0.51563261407714944</v>
      </c>
      <c r="AW373" s="20" t="str">
        <f t="shared" si="15"/>
        <v>January</v>
      </c>
      <c r="AX373" s="21">
        <f t="shared" si="16"/>
        <v>2024</v>
      </c>
    </row>
    <row r="374" spans="1:50" ht="15.75" customHeight="1">
      <c r="A374" s="10" t="s">
        <v>1250</v>
      </c>
      <c r="B374" s="11">
        <v>45885</v>
      </c>
      <c r="C374" s="11">
        <v>45887</v>
      </c>
      <c r="D374" s="10" t="s">
        <v>671</v>
      </c>
      <c r="E374" s="10" t="s">
        <v>294</v>
      </c>
      <c r="F374" s="10" t="s">
        <v>53</v>
      </c>
      <c r="G374" s="10" t="s">
        <v>67</v>
      </c>
      <c r="H374" s="10" t="s">
        <v>258</v>
      </c>
      <c r="I374" s="10" t="s">
        <v>259</v>
      </c>
      <c r="J374" s="10" t="s">
        <v>70</v>
      </c>
      <c r="K374" s="10" t="s">
        <v>95</v>
      </c>
      <c r="L374" s="10" t="s">
        <v>1251</v>
      </c>
      <c r="M374" s="10" t="s">
        <v>73</v>
      </c>
      <c r="N374" s="12">
        <v>5</v>
      </c>
      <c r="O374" s="12">
        <v>1530.36</v>
      </c>
      <c r="P374" s="12">
        <v>0</v>
      </c>
      <c r="Q374" s="12">
        <v>7651.8</v>
      </c>
      <c r="R374" s="12">
        <v>5171.78</v>
      </c>
      <c r="S374" s="12">
        <v>2480.02</v>
      </c>
      <c r="T374" s="10" t="s">
        <v>61</v>
      </c>
      <c r="U374" s="13" t="s">
        <v>62</v>
      </c>
      <c r="V374" s="14" t="e">
        <f t="shared" ca="1" si="0"/>
        <v>#NAME?</v>
      </c>
      <c r="W374" s="10" t="str">
        <f ca="1">IFERROR(__xludf.DUMMYFUNCTION("IF(COUNTIF($A:$A,A368)=1,
""Unique"",
IF(COUNTUNIQUE(FILTER($V$2:$V$934,$A$2:$A$934=A368))&gt;1,
""Conflicting Duplicate"",
""Exact Duplicate""))"),"Unique")</f>
        <v>Unique</v>
      </c>
      <c r="X374" s="10" t="b">
        <f t="shared" ca="1" si="1"/>
        <v>1</v>
      </c>
      <c r="Y374" s="10" t="str">
        <f t="shared" si="2"/>
        <v>Unique</v>
      </c>
      <c r="Z374" s="10"/>
      <c r="AA374" s="10" t="str">
        <f t="shared" si="3"/>
        <v>Clean</v>
      </c>
      <c r="AB374" s="15" t="str">
        <f t="shared" si="4"/>
        <v>Valid</v>
      </c>
      <c r="AC374" s="15">
        <v>2</v>
      </c>
      <c r="AD374" s="16" t="str">
        <f t="shared" si="5"/>
        <v>Valid</v>
      </c>
      <c r="AE374" s="16" t="str">
        <f t="shared" si="6"/>
        <v>Valid</v>
      </c>
      <c r="AF374" s="16" t="str">
        <f t="shared" ref="AF374:AG374" si="759">IF(ISNUMBER(B374),"Valid","Invalid")</f>
        <v>Valid</v>
      </c>
      <c r="AG374" s="16" t="str">
        <f t="shared" si="759"/>
        <v>Valid</v>
      </c>
      <c r="AH374" s="16" t="str">
        <f t="shared" ref="AH374:AI374" si="760">IF(OR(B374="",ISBLANK(B374)),"Missing","Valid")</f>
        <v>Valid</v>
      </c>
      <c r="AI374" s="16" t="str">
        <f t="shared" si="760"/>
        <v>Valid</v>
      </c>
      <c r="AJ374" s="16" t="b">
        <v>0</v>
      </c>
      <c r="AK374" s="16" t="b">
        <v>0</v>
      </c>
      <c r="AL374" s="16" t="b">
        <v>0</v>
      </c>
      <c r="AM374" s="16" t="b">
        <v>0</v>
      </c>
      <c r="AN374" s="16" t="b">
        <v>0</v>
      </c>
      <c r="AO374" s="16" t="b">
        <v>0</v>
      </c>
      <c r="AP374" s="16" t="b">
        <v>0</v>
      </c>
      <c r="AQ374" s="17">
        <f t="shared" si="9"/>
        <v>0</v>
      </c>
      <c r="AR374" s="12">
        <f t="shared" si="10"/>
        <v>7651.7999999999993</v>
      </c>
      <c r="AS374" s="18">
        <f t="shared" si="11"/>
        <v>0</v>
      </c>
      <c r="AT374" s="12">
        <f t="shared" si="12"/>
        <v>2480.0199999999995</v>
      </c>
      <c r="AU374" s="18">
        <f t="shared" si="13"/>
        <v>0</v>
      </c>
      <c r="AV374" s="19">
        <f t="shared" si="14"/>
        <v>0.32410935988917638</v>
      </c>
      <c r="AW374" s="20" t="str">
        <f t="shared" si="15"/>
        <v>August</v>
      </c>
      <c r="AX374" s="21">
        <f t="shared" si="16"/>
        <v>2025</v>
      </c>
    </row>
    <row r="375" spans="1:50" ht="15.75" customHeight="1">
      <c r="A375" s="10" t="s">
        <v>1252</v>
      </c>
      <c r="B375" s="11">
        <v>45760</v>
      </c>
      <c r="C375" s="11">
        <v>45760</v>
      </c>
      <c r="D375" s="10" t="s">
        <v>1253</v>
      </c>
      <c r="E375" s="10" t="s">
        <v>161</v>
      </c>
      <c r="F375" s="10" t="s">
        <v>66</v>
      </c>
      <c r="G375" s="10" t="s">
        <v>54</v>
      </c>
      <c r="H375" s="10" t="s">
        <v>165</v>
      </c>
      <c r="I375" s="10" t="s">
        <v>166</v>
      </c>
      <c r="J375" s="10" t="s">
        <v>57</v>
      </c>
      <c r="K375" s="10" t="s">
        <v>153</v>
      </c>
      <c r="L375" s="10" t="s">
        <v>1254</v>
      </c>
      <c r="M375" s="10" t="s">
        <v>60</v>
      </c>
      <c r="N375" s="12">
        <v>9</v>
      </c>
      <c r="O375" s="12">
        <v>1118.68</v>
      </c>
      <c r="P375" s="12">
        <v>0</v>
      </c>
      <c r="Q375" s="12">
        <v>10068.120000000001</v>
      </c>
      <c r="R375" s="12">
        <v>8595.3700000000008</v>
      </c>
      <c r="S375" s="12">
        <v>1472.75</v>
      </c>
      <c r="T375" s="10" t="s">
        <v>61</v>
      </c>
      <c r="U375" s="13" t="s">
        <v>62</v>
      </c>
      <c r="V375" s="14" t="e">
        <f t="shared" ca="1" si="0"/>
        <v>#NAME?</v>
      </c>
      <c r="W375" s="10" t="str">
        <f ca="1">IFERROR(__xludf.DUMMYFUNCTION("IF(COUNTIF($A:$A,A369)=1,
""Unique"",
IF(COUNTUNIQUE(FILTER($V$2:$V$934,$A$2:$A$934=A369))&gt;1,
""Conflicting Duplicate"",
""Exact Duplicate""))"),"Unique")</f>
        <v>Unique</v>
      </c>
      <c r="X375" s="10" t="b">
        <f t="shared" ca="1" si="1"/>
        <v>1</v>
      </c>
      <c r="Y375" s="10" t="str">
        <f t="shared" si="2"/>
        <v>Duplicate Order ID</v>
      </c>
      <c r="Z375" s="10"/>
      <c r="AA375" s="10" t="str">
        <f t="shared" si="3"/>
        <v>Clean</v>
      </c>
      <c r="AB375" s="15" t="str">
        <f t="shared" si="4"/>
        <v>Valid</v>
      </c>
      <c r="AC375" s="15">
        <v>0</v>
      </c>
      <c r="AD375" s="16" t="str">
        <f t="shared" si="5"/>
        <v>Valid</v>
      </c>
      <c r="AE375" s="16" t="str">
        <f t="shared" si="6"/>
        <v>Valid</v>
      </c>
      <c r="AF375" s="16" t="str">
        <f t="shared" ref="AF375:AG375" si="761">IF(ISNUMBER(B375),"Valid","Invalid")</f>
        <v>Valid</v>
      </c>
      <c r="AG375" s="16" t="str">
        <f t="shared" si="761"/>
        <v>Valid</v>
      </c>
      <c r="AH375" s="16" t="str">
        <f t="shared" ref="AH375:AI375" si="762">IF(OR(B375="",ISBLANK(B375)),"Missing","Valid")</f>
        <v>Valid</v>
      </c>
      <c r="AI375" s="16" t="str">
        <f t="shared" si="762"/>
        <v>Valid</v>
      </c>
      <c r="AJ375" s="16" t="b">
        <v>0</v>
      </c>
      <c r="AK375" s="16" t="b">
        <v>0</v>
      </c>
      <c r="AL375" s="16" t="b">
        <v>0</v>
      </c>
      <c r="AM375" s="16" t="b">
        <v>0</v>
      </c>
      <c r="AN375" s="16" t="b">
        <v>0</v>
      </c>
      <c r="AO375" s="16" t="b">
        <v>0</v>
      </c>
      <c r="AP375" s="16" t="b">
        <v>0</v>
      </c>
      <c r="AQ375" s="17">
        <f t="shared" si="9"/>
        <v>0</v>
      </c>
      <c r="AR375" s="12">
        <f t="shared" si="10"/>
        <v>10068.120000000001</v>
      </c>
      <c r="AS375" s="18">
        <f t="shared" si="11"/>
        <v>0</v>
      </c>
      <c r="AT375" s="12">
        <f t="shared" si="12"/>
        <v>1472.75</v>
      </c>
      <c r="AU375" s="18">
        <f t="shared" si="13"/>
        <v>0</v>
      </c>
      <c r="AV375" s="19">
        <f t="shared" si="14"/>
        <v>0.14627855051389932</v>
      </c>
      <c r="AW375" s="20" t="str">
        <f t="shared" si="15"/>
        <v>April</v>
      </c>
      <c r="AX375" s="21">
        <f t="shared" si="16"/>
        <v>2025</v>
      </c>
    </row>
    <row r="376" spans="1:50" ht="15.75" customHeight="1">
      <c r="A376" s="10" t="s">
        <v>1255</v>
      </c>
      <c r="B376" s="11">
        <v>45715</v>
      </c>
      <c r="C376" s="11">
        <v>45716</v>
      </c>
      <c r="D376" s="10" t="s">
        <v>1256</v>
      </c>
      <c r="E376" s="10" t="s">
        <v>118</v>
      </c>
      <c r="F376" s="10" t="s">
        <v>66</v>
      </c>
      <c r="G376" s="10" t="s">
        <v>54</v>
      </c>
      <c r="H376" s="10" t="s">
        <v>165</v>
      </c>
      <c r="I376" s="10" t="s">
        <v>166</v>
      </c>
      <c r="J376" s="10" t="s">
        <v>57</v>
      </c>
      <c r="K376" s="10" t="s">
        <v>120</v>
      </c>
      <c r="L376" s="10" t="s">
        <v>1257</v>
      </c>
      <c r="M376" s="10" t="s">
        <v>88</v>
      </c>
      <c r="N376" s="12">
        <v>6</v>
      </c>
      <c r="O376" s="12">
        <v>2393.25</v>
      </c>
      <c r="P376" s="12">
        <v>0</v>
      </c>
      <c r="Q376" s="12">
        <v>14359.5</v>
      </c>
      <c r="R376" s="12">
        <v>8117.71</v>
      </c>
      <c r="S376" s="12">
        <v>6241.79</v>
      </c>
      <c r="T376" s="10" t="s">
        <v>61</v>
      </c>
      <c r="U376" s="13" t="s">
        <v>62</v>
      </c>
      <c r="V376" s="14" t="e">
        <f t="shared" ca="1" si="0"/>
        <v>#NAME?</v>
      </c>
      <c r="W376" s="10" t="str">
        <f ca="1">IFERROR(__xludf.DUMMYFUNCTION("IF(COUNTIF($A:$A,A370)=1,
""Unique"",
IF(COUNTUNIQUE(FILTER($V$2:$V$934,$A$2:$A$934=A370))&gt;1,
""Conflicting Duplicate"",
""Exact Duplicate""))"),"Unique")</f>
        <v>Unique</v>
      </c>
      <c r="X376" s="10" t="b">
        <f t="shared" ca="1" si="1"/>
        <v>1</v>
      </c>
      <c r="Y376" s="10" t="str">
        <f t="shared" si="2"/>
        <v>Unique</v>
      </c>
      <c r="Z376" s="10"/>
      <c r="AA376" s="10" t="str">
        <f t="shared" si="3"/>
        <v>Clean</v>
      </c>
      <c r="AB376" s="15" t="str">
        <f t="shared" si="4"/>
        <v>Valid</v>
      </c>
      <c r="AC376" s="15">
        <v>1</v>
      </c>
      <c r="AD376" s="16" t="str">
        <f t="shared" si="5"/>
        <v>Valid</v>
      </c>
      <c r="AE376" s="16" t="str">
        <f t="shared" si="6"/>
        <v>Valid</v>
      </c>
      <c r="AF376" s="16" t="str">
        <f t="shared" ref="AF376:AG376" si="763">IF(ISNUMBER(B376),"Valid","Invalid")</f>
        <v>Valid</v>
      </c>
      <c r="AG376" s="16" t="str">
        <f t="shared" si="763"/>
        <v>Valid</v>
      </c>
      <c r="AH376" s="16" t="str">
        <f t="shared" ref="AH376:AI376" si="764">IF(OR(B376="",ISBLANK(B376)),"Missing","Valid")</f>
        <v>Valid</v>
      </c>
      <c r="AI376" s="16" t="str">
        <f t="shared" si="764"/>
        <v>Valid</v>
      </c>
      <c r="AJ376" s="16" t="b">
        <v>0</v>
      </c>
      <c r="AK376" s="16" t="b">
        <v>0</v>
      </c>
      <c r="AL376" s="16" t="b">
        <v>0</v>
      </c>
      <c r="AM376" s="16" t="b">
        <v>0</v>
      </c>
      <c r="AN376" s="16" t="b">
        <v>0</v>
      </c>
      <c r="AO376" s="16" t="b">
        <v>0</v>
      </c>
      <c r="AP376" s="16" t="b">
        <v>0</v>
      </c>
      <c r="AQ376" s="17">
        <f t="shared" si="9"/>
        <v>0</v>
      </c>
      <c r="AR376" s="12">
        <f t="shared" si="10"/>
        <v>14359.5</v>
      </c>
      <c r="AS376" s="18">
        <f t="shared" si="11"/>
        <v>0</v>
      </c>
      <c r="AT376" s="12">
        <f t="shared" si="12"/>
        <v>6241.79</v>
      </c>
      <c r="AU376" s="18">
        <f t="shared" si="13"/>
        <v>0</v>
      </c>
      <c r="AV376" s="19">
        <f t="shared" si="14"/>
        <v>0.43468017688638183</v>
      </c>
      <c r="AW376" s="20" t="str">
        <f t="shared" si="15"/>
        <v>February</v>
      </c>
      <c r="AX376" s="21">
        <f t="shared" si="16"/>
        <v>2025</v>
      </c>
    </row>
    <row r="377" spans="1:50" ht="15.75" customHeight="1">
      <c r="A377" s="10" t="s">
        <v>1258</v>
      </c>
      <c r="B377" s="11">
        <v>45657</v>
      </c>
      <c r="C377" s="11">
        <v>45661</v>
      </c>
      <c r="D377" s="10" t="s">
        <v>1259</v>
      </c>
      <c r="E377" s="10" t="s">
        <v>100</v>
      </c>
      <c r="F377" s="10" t="s">
        <v>53</v>
      </c>
      <c r="G377" s="10" t="s">
        <v>54</v>
      </c>
      <c r="H377" s="10" t="s">
        <v>380</v>
      </c>
      <c r="I377" s="10" t="s">
        <v>381</v>
      </c>
      <c r="J377" s="10" t="s">
        <v>70</v>
      </c>
      <c r="K377" s="10" t="s">
        <v>95</v>
      </c>
      <c r="L377" s="10" t="s">
        <v>1260</v>
      </c>
      <c r="M377" s="10" t="s">
        <v>73</v>
      </c>
      <c r="N377" s="12">
        <v>3</v>
      </c>
      <c r="O377" s="12">
        <v>1166.6099999999999</v>
      </c>
      <c r="P377" s="12">
        <v>0.25</v>
      </c>
      <c r="Q377" s="12">
        <v>2624.87</v>
      </c>
      <c r="R377" s="12">
        <v>2253.88</v>
      </c>
      <c r="S377" s="12">
        <v>370.99</v>
      </c>
      <c r="T377" s="10" t="s">
        <v>61</v>
      </c>
      <c r="U377" s="13" t="s">
        <v>62</v>
      </c>
      <c r="V377" s="14" t="e">
        <f t="shared" ca="1" si="0"/>
        <v>#NAME?</v>
      </c>
      <c r="W377" s="10" t="str">
        <f ca="1">IFERROR(__xludf.DUMMYFUNCTION("IF(COUNTIF($A:$A,A371)=1,
""Unique"",
IF(COUNTUNIQUE(FILTER($V$2:$V$934,$A$2:$A$934=A371))&gt;1,
""Conflicting Duplicate"",
""Exact Duplicate""))"),"Unique")</f>
        <v>Unique</v>
      </c>
      <c r="X377" s="10" t="b">
        <f t="shared" ca="1" si="1"/>
        <v>1</v>
      </c>
      <c r="Y377" s="10" t="str">
        <f t="shared" si="2"/>
        <v>Unique</v>
      </c>
      <c r="Z377" s="10"/>
      <c r="AA377" s="10" t="str">
        <f t="shared" si="3"/>
        <v>Clean</v>
      </c>
      <c r="AB377" s="15" t="str">
        <f t="shared" si="4"/>
        <v>Valid</v>
      </c>
      <c r="AC377" s="15">
        <v>4</v>
      </c>
      <c r="AD377" s="16" t="str">
        <f t="shared" si="5"/>
        <v>Valid</v>
      </c>
      <c r="AE377" s="16" t="str">
        <f t="shared" si="6"/>
        <v>Valid</v>
      </c>
      <c r="AF377" s="16" t="str">
        <f t="shared" ref="AF377:AG377" si="765">IF(ISNUMBER(B377),"Valid","Invalid")</f>
        <v>Valid</v>
      </c>
      <c r="AG377" s="16" t="str">
        <f t="shared" si="765"/>
        <v>Valid</v>
      </c>
      <c r="AH377" s="16" t="str">
        <f t="shared" ref="AH377:AI377" si="766">IF(OR(B377="",ISBLANK(B377)),"Missing","Valid")</f>
        <v>Valid</v>
      </c>
      <c r="AI377" s="16" t="str">
        <f t="shared" si="766"/>
        <v>Valid</v>
      </c>
      <c r="AJ377" s="16" t="b">
        <v>0</v>
      </c>
      <c r="AK377" s="16" t="b">
        <v>0</v>
      </c>
      <c r="AL377" s="16" t="b">
        <v>0</v>
      </c>
      <c r="AM377" s="16" t="b">
        <v>0</v>
      </c>
      <c r="AN377" s="16" t="b">
        <v>0</v>
      </c>
      <c r="AO377" s="16" t="b">
        <v>0</v>
      </c>
      <c r="AP377" s="16" t="b">
        <v>0</v>
      </c>
      <c r="AQ377" s="17">
        <f t="shared" si="9"/>
        <v>0.25</v>
      </c>
      <c r="AR377" s="12">
        <f t="shared" si="10"/>
        <v>2624.8724999999999</v>
      </c>
      <c r="AS377" s="18">
        <f t="shared" si="11"/>
        <v>-2.5000000000545697E-3</v>
      </c>
      <c r="AT377" s="12">
        <f t="shared" si="12"/>
        <v>370.99249999999984</v>
      </c>
      <c r="AU377" s="18">
        <f t="shared" si="13"/>
        <v>-2.499999999827196E-3</v>
      </c>
      <c r="AV377" s="19">
        <f t="shared" si="14"/>
        <v>0.14133734114704613</v>
      </c>
      <c r="AW377" s="20" t="str">
        <f t="shared" si="15"/>
        <v>December</v>
      </c>
      <c r="AX377" s="21">
        <f t="shared" si="16"/>
        <v>2024</v>
      </c>
    </row>
    <row r="378" spans="1:50" ht="15.75" customHeight="1">
      <c r="A378" s="10" t="s">
        <v>1261</v>
      </c>
      <c r="B378" s="11">
        <v>45655</v>
      </c>
      <c r="C378" s="11">
        <v>45657</v>
      </c>
      <c r="D378" s="10" t="s">
        <v>1262</v>
      </c>
      <c r="E378" s="10" t="s">
        <v>76</v>
      </c>
      <c r="F378" s="10" t="s">
        <v>66</v>
      </c>
      <c r="G378" s="10" t="s">
        <v>67</v>
      </c>
      <c r="H378" s="10" t="s">
        <v>174</v>
      </c>
      <c r="I378" s="10" t="s">
        <v>175</v>
      </c>
      <c r="J378" s="10" t="s">
        <v>70</v>
      </c>
      <c r="K378" s="10" t="s">
        <v>95</v>
      </c>
      <c r="L378" s="10" t="s">
        <v>1263</v>
      </c>
      <c r="M378" s="10" t="s">
        <v>79</v>
      </c>
      <c r="N378" s="12">
        <v>6</v>
      </c>
      <c r="O378" s="12">
        <v>1844.78</v>
      </c>
      <c r="P378" s="12">
        <v>0.2</v>
      </c>
      <c r="Q378" s="12">
        <v>8854.94</v>
      </c>
      <c r="R378" s="12">
        <v>7433.95</v>
      </c>
      <c r="S378" s="12">
        <v>1420.99</v>
      </c>
      <c r="T378" s="10" t="s">
        <v>61</v>
      </c>
      <c r="U378" s="13" t="s">
        <v>62</v>
      </c>
      <c r="V378" s="14" t="e">
        <f t="shared" ca="1" si="0"/>
        <v>#NAME?</v>
      </c>
      <c r="W378" s="10" t="str">
        <f ca="1">IFERROR(__xludf.DUMMYFUNCTION("IF(COUNTIF($A:$A,A372)=1,
""Unique"",
IF(COUNTUNIQUE(FILTER($V$2:$V$934,$A$2:$A$934=A372))&gt;1,
""Conflicting Duplicate"",
""Exact Duplicate""))"),"Unique")</f>
        <v>Unique</v>
      </c>
      <c r="X378" s="10" t="b">
        <f t="shared" ca="1" si="1"/>
        <v>1</v>
      </c>
      <c r="Y378" s="10" t="str">
        <f t="shared" si="2"/>
        <v>Unique</v>
      </c>
      <c r="Z378" s="10"/>
      <c r="AA378" s="10" t="str">
        <f t="shared" si="3"/>
        <v>Clean</v>
      </c>
      <c r="AB378" s="15" t="str">
        <f t="shared" si="4"/>
        <v>Valid</v>
      </c>
      <c r="AC378" s="15">
        <v>2</v>
      </c>
      <c r="AD378" s="16" t="str">
        <f t="shared" si="5"/>
        <v>Valid</v>
      </c>
      <c r="AE378" s="16" t="str">
        <f t="shared" si="6"/>
        <v>Valid</v>
      </c>
      <c r="AF378" s="16" t="str">
        <f t="shared" ref="AF378:AG378" si="767">IF(ISNUMBER(B378),"Valid","Invalid")</f>
        <v>Valid</v>
      </c>
      <c r="AG378" s="16" t="str">
        <f t="shared" si="767"/>
        <v>Valid</v>
      </c>
      <c r="AH378" s="16" t="str">
        <f t="shared" ref="AH378:AI378" si="768">IF(OR(B378="",ISBLANK(B378)),"Missing","Valid")</f>
        <v>Valid</v>
      </c>
      <c r="AI378" s="16" t="str">
        <f t="shared" si="768"/>
        <v>Valid</v>
      </c>
      <c r="AJ378" s="16" t="b">
        <v>0</v>
      </c>
      <c r="AK378" s="16" t="b">
        <v>0</v>
      </c>
      <c r="AL378" s="16" t="b">
        <v>0</v>
      </c>
      <c r="AM378" s="16" t="b">
        <v>0</v>
      </c>
      <c r="AN378" s="16" t="b">
        <v>0</v>
      </c>
      <c r="AO378" s="16" t="b">
        <v>0</v>
      </c>
      <c r="AP378" s="16" t="b">
        <v>0</v>
      </c>
      <c r="AQ378" s="17">
        <f t="shared" si="9"/>
        <v>0.2</v>
      </c>
      <c r="AR378" s="12">
        <f t="shared" si="10"/>
        <v>8854.9440000000013</v>
      </c>
      <c r="AS378" s="18">
        <f t="shared" si="11"/>
        <v>-4.0000000008149073E-3</v>
      </c>
      <c r="AT378" s="12">
        <f t="shared" si="12"/>
        <v>1420.9940000000015</v>
      </c>
      <c r="AU378" s="18">
        <f t="shared" si="13"/>
        <v>-4.0000000014970283E-3</v>
      </c>
      <c r="AV378" s="19">
        <f t="shared" si="14"/>
        <v>0.1604746455765278</v>
      </c>
      <c r="AW378" s="20" t="str">
        <f t="shared" si="15"/>
        <v>December</v>
      </c>
      <c r="AX378" s="21">
        <f t="shared" si="16"/>
        <v>2024</v>
      </c>
    </row>
    <row r="379" spans="1:50" ht="15.75" customHeight="1">
      <c r="A379" s="10" t="s">
        <v>1264</v>
      </c>
      <c r="B379" s="11">
        <v>45801</v>
      </c>
      <c r="C379" s="11">
        <v>45807</v>
      </c>
      <c r="D379" s="10" t="s">
        <v>1265</v>
      </c>
      <c r="E379" s="10" t="s">
        <v>294</v>
      </c>
      <c r="F379" s="10" t="s">
        <v>66</v>
      </c>
      <c r="G379" s="10" t="s">
        <v>67</v>
      </c>
      <c r="H379" s="10" t="s">
        <v>68</v>
      </c>
      <c r="I379" s="10" t="s">
        <v>69</v>
      </c>
      <c r="J379" s="10" t="s">
        <v>57</v>
      </c>
      <c r="K379" s="10" t="s">
        <v>153</v>
      </c>
      <c r="L379" s="10" t="s">
        <v>1266</v>
      </c>
      <c r="M379" s="10" t="s">
        <v>73</v>
      </c>
      <c r="N379" s="12">
        <v>1</v>
      </c>
      <c r="O379" s="12">
        <v>2564.7399999999998</v>
      </c>
      <c r="P379" s="12">
        <v>0</v>
      </c>
      <c r="Q379" s="12">
        <v>2564.7399999999998</v>
      </c>
      <c r="R379" s="12">
        <v>1754.58</v>
      </c>
      <c r="S379" s="12">
        <v>810.16</v>
      </c>
      <c r="T379" s="10" t="s">
        <v>61</v>
      </c>
      <c r="U379" s="13" t="s">
        <v>62</v>
      </c>
      <c r="V379" s="14" t="e">
        <f t="shared" ca="1" si="0"/>
        <v>#NAME?</v>
      </c>
      <c r="W379" s="10" t="str">
        <f ca="1">IFERROR(__xludf.DUMMYFUNCTION("IF(COUNTIF($A:$A,A373)=1,
""Unique"",
IF(COUNTUNIQUE(FILTER($V$2:$V$934,$A$2:$A$934=A373))&gt;1,
""Conflicting Duplicate"",
""Exact Duplicate""))"),"Unique")</f>
        <v>Unique</v>
      </c>
      <c r="X379" s="10" t="b">
        <f t="shared" ca="1" si="1"/>
        <v>1</v>
      </c>
      <c r="Y379" s="10" t="str">
        <f t="shared" si="2"/>
        <v>Duplicate Order ID</v>
      </c>
      <c r="Z379" s="10"/>
      <c r="AA379" s="10" t="str">
        <f t="shared" si="3"/>
        <v>Clean</v>
      </c>
      <c r="AB379" s="15" t="str">
        <f t="shared" si="4"/>
        <v>Valid</v>
      </c>
      <c r="AC379" s="15">
        <v>6</v>
      </c>
      <c r="AD379" s="16" t="str">
        <f t="shared" si="5"/>
        <v>Valid</v>
      </c>
      <c r="AE379" s="16" t="str">
        <f t="shared" si="6"/>
        <v>Valid</v>
      </c>
      <c r="AF379" s="16" t="str">
        <f t="shared" ref="AF379:AG379" si="769">IF(ISNUMBER(B379),"Valid","Invalid")</f>
        <v>Valid</v>
      </c>
      <c r="AG379" s="16" t="str">
        <f t="shared" si="769"/>
        <v>Valid</v>
      </c>
      <c r="AH379" s="16" t="str">
        <f t="shared" ref="AH379:AI379" si="770">IF(OR(B379="",ISBLANK(B379)),"Missing","Valid")</f>
        <v>Valid</v>
      </c>
      <c r="AI379" s="16" t="str">
        <f t="shared" si="770"/>
        <v>Valid</v>
      </c>
      <c r="AJ379" s="16" t="b">
        <v>0</v>
      </c>
      <c r="AK379" s="16" t="b">
        <v>0</v>
      </c>
      <c r="AL379" s="16" t="b">
        <v>0</v>
      </c>
      <c r="AM379" s="16" t="b">
        <v>0</v>
      </c>
      <c r="AN379" s="16" t="b">
        <v>0</v>
      </c>
      <c r="AO379" s="16" t="b">
        <v>0</v>
      </c>
      <c r="AP379" s="16" t="b">
        <v>0</v>
      </c>
      <c r="AQ379" s="17">
        <f t="shared" si="9"/>
        <v>0</v>
      </c>
      <c r="AR379" s="12">
        <f t="shared" si="10"/>
        <v>2564.7399999999998</v>
      </c>
      <c r="AS379" s="18">
        <f t="shared" si="11"/>
        <v>0</v>
      </c>
      <c r="AT379" s="12">
        <f t="shared" si="12"/>
        <v>810.15999999999985</v>
      </c>
      <c r="AU379" s="18">
        <f t="shared" si="13"/>
        <v>0</v>
      </c>
      <c r="AV379" s="19">
        <f t="shared" si="14"/>
        <v>0.31588387126960232</v>
      </c>
      <c r="AW379" s="20" t="str">
        <f t="shared" si="15"/>
        <v>May</v>
      </c>
      <c r="AX379" s="21">
        <f t="shared" si="16"/>
        <v>2025</v>
      </c>
    </row>
    <row r="380" spans="1:50" ht="15.75" customHeight="1">
      <c r="A380" s="10" t="s">
        <v>1267</v>
      </c>
      <c r="B380" s="11">
        <v>45799</v>
      </c>
      <c r="C380" s="11">
        <v>45799</v>
      </c>
      <c r="D380" s="10" t="s">
        <v>1268</v>
      </c>
      <c r="E380" s="10" t="s">
        <v>65</v>
      </c>
      <c r="F380" s="10" t="s">
        <v>53</v>
      </c>
      <c r="G380" s="10" t="s">
        <v>92</v>
      </c>
      <c r="H380" s="10" t="s">
        <v>219</v>
      </c>
      <c r="I380" s="10" t="s">
        <v>220</v>
      </c>
      <c r="J380" s="10" t="s">
        <v>103</v>
      </c>
      <c r="K380" s="10" t="s">
        <v>104</v>
      </c>
      <c r="L380" s="10" t="s">
        <v>1269</v>
      </c>
      <c r="M380" s="10" t="s">
        <v>88</v>
      </c>
      <c r="N380" s="12">
        <v>2</v>
      </c>
      <c r="O380" s="12">
        <v>3910.61</v>
      </c>
      <c r="P380" s="12">
        <v>0</v>
      </c>
      <c r="Q380" s="12">
        <v>7821.22</v>
      </c>
      <c r="R380" s="12">
        <v>4994.46</v>
      </c>
      <c r="S380" s="12">
        <v>2826.76</v>
      </c>
      <c r="T380" s="10" t="s">
        <v>61</v>
      </c>
      <c r="U380" s="13" t="s">
        <v>62</v>
      </c>
      <c r="V380" s="14" t="e">
        <f t="shared" ca="1" si="0"/>
        <v>#NAME?</v>
      </c>
      <c r="W380" s="10" t="str">
        <f ca="1">IFERROR(__xludf.DUMMYFUNCTION("IF(COUNTIF($A:$A,A374)=1,
""Unique"",
IF(COUNTUNIQUE(FILTER($V$2:$V$934,$A$2:$A$934=A374))&gt;1,
""Conflicting Duplicate"",
""Exact Duplicate""))"),"Unique")</f>
        <v>Unique</v>
      </c>
      <c r="X380" s="10" t="b">
        <f t="shared" ca="1" si="1"/>
        <v>1</v>
      </c>
      <c r="Y380" s="10" t="str">
        <f t="shared" si="2"/>
        <v>Unique</v>
      </c>
      <c r="Z380" s="10"/>
      <c r="AA380" s="10" t="str">
        <f t="shared" si="3"/>
        <v>Clean</v>
      </c>
      <c r="AB380" s="15" t="str">
        <f t="shared" si="4"/>
        <v>Valid</v>
      </c>
      <c r="AC380" s="15">
        <v>0</v>
      </c>
      <c r="AD380" s="16" t="str">
        <f t="shared" si="5"/>
        <v>Valid</v>
      </c>
      <c r="AE380" s="16" t="str">
        <f t="shared" si="6"/>
        <v>Valid</v>
      </c>
      <c r="AF380" s="16" t="str">
        <f t="shared" ref="AF380:AG380" si="771">IF(ISNUMBER(B380),"Valid","Invalid")</f>
        <v>Valid</v>
      </c>
      <c r="AG380" s="16" t="str">
        <f t="shared" si="771"/>
        <v>Valid</v>
      </c>
      <c r="AH380" s="16" t="str">
        <f t="shared" ref="AH380:AI380" si="772">IF(OR(B380="",ISBLANK(B380)),"Missing","Valid")</f>
        <v>Valid</v>
      </c>
      <c r="AI380" s="16" t="str">
        <f t="shared" si="772"/>
        <v>Valid</v>
      </c>
      <c r="AJ380" s="16" t="b">
        <v>0</v>
      </c>
      <c r="AK380" s="16" t="b">
        <v>0</v>
      </c>
      <c r="AL380" s="16" t="b">
        <v>0</v>
      </c>
      <c r="AM380" s="16" t="b">
        <v>0</v>
      </c>
      <c r="AN380" s="16" t="b">
        <v>0</v>
      </c>
      <c r="AO380" s="16" t="b">
        <v>0</v>
      </c>
      <c r="AP380" s="16" t="b">
        <v>0</v>
      </c>
      <c r="AQ380" s="17">
        <f t="shared" si="9"/>
        <v>0</v>
      </c>
      <c r="AR380" s="12">
        <f t="shared" si="10"/>
        <v>7821.22</v>
      </c>
      <c r="AS380" s="18">
        <f t="shared" si="11"/>
        <v>0</v>
      </c>
      <c r="AT380" s="12">
        <f t="shared" si="12"/>
        <v>2826.76</v>
      </c>
      <c r="AU380" s="18">
        <f t="shared" si="13"/>
        <v>0</v>
      </c>
      <c r="AV380" s="19">
        <f t="shared" si="14"/>
        <v>0.36142187535959863</v>
      </c>
      <c r="AW380" s="20" t="str">
        <f t="shared" si="15"/>
        <v>May</v>
      </c>
      <c r="AX380" s="21">
        <f t="shared" si="16"/>
        <v>2025</v>
      </c>
    </row>
    <row r="381" spans="1:50" ht="15.75" customHeight="1">
      <c r="A381" s="10" t="s">
        <v>1270</v>
      </c>
      <c r="B381" s="11">
        <v>45554</v>
      </c>
      <c r="C381" s="11">
        <v>45558</v>
      </c>
      <c r="D381" s="10" t="s">
        <v>1271</v>
      </c>
      <c r="E381" s="10" t="s">
        <v>65</v>
      </c>
      <c r="F381" s="10" t="s">
        <v>66</v>
      </c>
      <c r="G381" s="10" t="s">
        <v>83</v>
      </c>
      <c r="H381" s="10" t="s">
        <v>214</v>
      </c>
      <c r="I381" s="10" t="s">
        <v>215</v>
      </c>
      <c r="J381" s="10" t="s">
        <v>57</v>
      </c>
      <c r="K381" s="10" t="s">
        <v>58</v>
      </c>
      <c r="L381" s="10" t="s">
        <v>1272</v>
      </c>
      <c r="M381" s="10" t="s">
        <v>88</v>
      </c>
      <c r="N381" s="12">
        <v>7</v>
      </c>
      <c r="O381" s="12">
        <v>1136.68</v>
      </c>
      <c r="P381" s="12">
        <v>0</v>
      </c>
      <c r="Q381" s="12">
        <v>7956.76</v>
      </c>
      <c r="R381" s="12">
        <v>4799.54</v>
      </c>
      <c r="S381" s="12">
        <v>3157.22</v>
      </c>
      <c r="T381" s="10" t="s">
        <v>61</v>
      </c>
      <c r="U381" s="13" t="s">
        <v>62</v>
      </c>
      <c r="V381" s="14" t="e">
        <f t="shared" ca="1" si="0"/>
        <v>#NAME?</v>
      </c>
      <c r="W381" s="10" t="str">
        <f ca="1">IFERROR(__xludf.DUMMYFUNCTION("IF(COUNTIF($A:$A,A375)=1,
""Unique"",
IF(COUNTUNIQUE(FILTER($V$2:$V$934,$A$2:$A$934=A375))&gt;1,
""Conflicting Duplicate"",
""Exact Duplicate""))"),"Conflicting Duplicate")</f>
        <v>Conflicting Duplicate</v>
      </c>
      <c r="X381" s="10" t="b">
        <f t="shared" ca="1" si="1"/>
        <v>1</v>
      </c>
      <c r="Y381" s="10" t="str">
        <f t="shared" si="2"/>
        <v>Unique</v>
      </c>
      <c r="Z381" s="10"/>
      <c r="AA381" s="10" t="str">
        <f t="shared" si="3"/>
        <v>Clean</v>
      </c>
      <c r="AB381" s="15" t="str">
        <f t="shared" si="4"/>
        <v>Valid</v>
      </c>
      <c r="AC381" s="15">
        <v>4</v>
      </c>
      <c r="AD381" s="16" t="str">
        <f t="shared" si="5"/>
        <v>Valid</v>
      </c>
      <c r="AE381" s="16" t="str">
        <f t="shared" si="6"/>
        <v>Valid</v>
      </c>
      <c r="AF381" s="16" t="str">
        <f t="shared" ref="AF381:AG381" si="773">IF(ISNUMBER(B381),"Valid","Invalid")</f>
        <v>Valid</v>
      </c>
      <c r="AG381" s="16" t="str">
        <f t="shared" si="773"/>
        <v>Valid</v>
      </c>
      <c r="AH381" s="16" t="str">
        <f t="shared" ref="AH381:AI381" si="774">IF(OR(B381="",ISBLANK(B381)),"Missing","Valid")</f>
        <v>Valid</v>
      </c>
      <c r="AI381" s="16" t="str">
        <f t="shared" si="774"/>
        <v>Valid</v>
      </c>
      <c r="AJ381" s="16" t="b">
        <v>0</v>
      </c>
      <c r="AK381" s="16" t="b">
        <v>0</v>
      </c>
      <c r="AL381" s="16" t="b">
        <v>1</v>
      </c>
      <c r="AM381" s="16" t="b">
        <v>0</v>
      </c>
      <c r="AN381" s="16" t="b">
        <v>0</v>
      </c>
      <c r="AO381" s="16" t="b">
        <v>0</v>
      </c>
      <c r="AP381" s="16" t="b">
        <v>1</v>
      </c>
      <c r="AQ381" s="17">
        <f t="shared" si="9"/>
        <v>0</v>
      </c>
      <c r="AR381" s="12">
        <f t="shared" si="10"/>
        <v>7956.76</v>
      </c>
      <c r="AS381" s="18">
        <f t="shared" si="11"/>
        <v>0</v>
      </c>
      <c r="AT381" s="12">
        <f t="shared" si="12"/>
        <v>3157.2200000000003</v>
      </c>
      <c r="AU381" s="18">
        <f t="shared" si="13"/>
        <v>0</v>
      </c>
      <c r="AV381" s="19">
        <f t="shared" si="14"/>
        <v>0.39679718880549369</v>
      </c>
      <c r="AW381" s="20" t="str">
        <f t="shared" si="15"/>
        <v>September</v>
      </c>
      <c r="AX381" s="21">
        <f t="shared" si="16"/>
        <v>2024</v>
      </c>
    </row>
    <row r="382" spans="1:50" ht="15.75" customHeight="1">
      <c r="A382" s="10" t="s">
        <v>1273</v>
      </c>
      <c r="B382" s="11">
        <v>45389</v>
      </c>
      <c r="C382" s="11">
        <v>45396</v>
      </c>
      <c r="D382" s="10" t="s">
        <v>1274</v>
      </c>
      <c r="E382" s="10" t="s">
        <v>100</v>
      </c>
      <c r="F382" s="10" t="s">
        <v>53</v>
      </c>
      <c r="G382" s="10" t="s">
        <v>92</v>
      </c>
      <c r="H382" s="10" t="s">
        <v>93</v>
      </c>
      <c r="I382" s="10" t="s">
        <v>94</v>
      </c>
      <c r="J382" s="10" t="s">
        <v>70</v>
      </c>
      <c r="K382" s="10" t="s">
        <v>187</v>
      </c>
      <c r="L382" s="10" t="s">
        <v>1275</v>
      </c>
      <c r="M382" s="10" t="s">
        <v>73</v>
      </c>
      <c r="N382" s="12">
        <v>5</v>
      </c>
      <c r="O382" s="12">
        <v>2235.85</v>
      </c>
      <c r="P382" s="12">
        <v>0.25</v>
      </c>
      <c r="Q382" s="12">
        <v>8384.44</v>
      </c>
      <c r="R382" s="12">
        <v>4765.96</v>
      </c>
      <c r="S382" s="12">
        <v>3618.48</v>
      </c>
      <c r="T382" s="10" t="s">
        <v>61</v>
      </c>
      <c r="U382" s="13" t="s">
        <v>132</v>
      </c>
      <c r="V382" s="14" t="e">
        <f t="shared" ca="1" si="0"/>
        <v>#NAME?</v>
      </c>
      <c r="W382" s="10" t="str">
        <f ca="1">IFERROR(__xludf.DUMMYFUNCTION("IF(COUNTIF($A:$A,A376)=1,
""Unique"",
IF(COUNTUNIQUE(FILTER($V$2:$V$934,$A$2:$A$934=A376))&gt;1,
""Conflicting Duplicate"",
""Exact Duplicate""))"),"Unique")</f>
        <v>Unique</v>
      </c>
      <c r="X382" s="10" t="b">
        <f t="shared" ca="1" si="1"/>
        <v>1</v>
      </c>
      <c r="Y382" s="10" t="str">
        <f t="shared" si="2"/>
        <v>Unique</v>
      </c>
      <c r="Z382" s="10"/>
      <c r="AA382" s="10" t="str">
        <f t="shared" si="3"/>
        <v>Clean</v>
      </c>
      <c r="AB382" s="15" t="str">
        <f t="shared" si="4"/>
        <v>Valid</v>
      </c>
      <c r="AC382" s="15">
        <v>7</v>
      </c>
      <c r="AD382" s="16" t="str">
        <f t="shared" si="5"/>
        <v>Valid</v>
      </c>
      <c r="AE382" s="16" t="str">
        <f t="shared" si="6"/>
        <v>Valid</v>
      </c>
      <c r="AF382" s="16" t="str">
        <f t="shared" ref="AF382:AG382" si="775">IF(ISNUMBER(B382),"Valid","Invalid")</f>
        <v>Valid</v>
      </c>
      <c r="AG382" s="16" t="str">
        <f t="shared" si="775"/>
        <v>Valid</v>
      </c>
      <c r="AH382" s="16" t="str">
        <f t="shared" ref="AH382:AI382" si="776">IF(OR(B382="",ISBLANK(B382)),"Missing","Valid")</f>
        <v>Valid</v>
      </c>
      <c r="AI382" s="16" t="str">
        <f t="shared" si="776"/>
        <v>Valid</v>
      </c>
      <c r="AJ382" s="16" t="b">
        <v>0</v>
      </c>
      <c r="AK382" s="16" t="b">
        <v>0</v>
      </c>
      <c r="AL382" s="16" t="b">
        <v>0</v>
      </c>
      <c r="AM382" s="16" t="b">
        <v>0</v>
      </c>
      <c r="AN382" s="16" t="b">
        <v>0</v>
      </c>
      <c r="AO382" s="16" t="b">
        <v>0</v>
      </c>
      <c r="AP382" s="16" t="b">
        <v>0</v>
      </c>
      <c r="AQ382" s="17">
        <f t="shared" si="9"/>
        <v>0.25</v>
      </c>
      <c r="AR382" s="12">
        <f t="shared" si="10"/>
        <v>8384.4375</v>
      </c>
      <c r="AS382" s="18">
        <f t="shared" si="11"/>
        <v>2.500000000509317E-3</v>
      </c>
      <c r="AT382" s="12">
        <f t="shared" si="12"/>
        <v>3618.4775</v>
      </c>
      <c r="AU382" s="18">
        <f t="shared" si="13"/>
        <v>2.5000000000545697E-3</v>
      </c>
      <c r="AV382" s="19">
        <f t="shared" si="14"/>
        <v>0.43157069272685256</v>
      </c>
      <c r="AW382" s="20" t="str">
        <f t="shared" si="15"/>
        <v>April</v>
      </c>
      <c r="AX382" s="21">
        <f t="shared" si="16"/>
        <v>2024</v>
      </c>
    </row>
    <row r="383" spans="1:50" ht="15.75" customHeight="1">
      <c r="A383" s="10" t="s">
        <v>1276</v>
      </c>
      <c r="B383" s="11">
        <v>45919</v>
      </c>
      <c r="C383" s="11">
        <v>45923</v>
      </c>
      <c r="D383" s="10" t="s">
        <v>1277</v>
      </c>
      <c r="E383" s="10" t="s">
        <v>82</v>
      </c>
      <c r="F383" s="10" t="s">
        <v>124</v>
      </c>
      <c r="G383" s="10" t="s">
        <v>54</v>
      </c>
      <c r="H383" s="10" t="s">
        <v>380</v>
      </c>
      <c r="I383" s="10" t="s">
        <v>381</v>
      </c>
      <c r="J383" s="10" t="s">
        <v>57</v>
      </c>
      <c r="K383" s="10" t="s">
        <v>182</v>
      </c>
      <c r="L383" s="10" t="s">
        <v>1278</v>
      </c>
      <c r="M383" s="10" t="s">
        <v>88</v>
      </c>
      <c r="N383" s="12">
        <v>4</v>
      </c>
      <c r="O383" s="12">
        <v>4387.1499999999996</v>
      </c>
      <c r="P383" s="12">
        <v>0.05</v>
      </c>
      <c r="Q383" s="12">
        <v>16671.169999999998</v>
      </c>
      <c r="R383" s="12">
        <v>10833.19</v>
      </c>
      <c r="S383" s="12">
        <v>5837.98</v>
      </c>
      <c r="T383" s="10" t="s">
        <v>184</v>
      </c>
      <c r="U383" s="13" t="s">
        <v>97</v>
      </c>
      <c r="V383" s="14" t="e">
        <f t="shared" ca="1" si="0"/>
        <v>#NAME?</v>
      </c>
      <c r="W383" s="10" t="str">
        <f ca="1">IFERROR(__xludf.DUMMYFUNCTION("IF(COUNTIF($A:$A,A377)=1,
""Unique"",
IF(COUNTUNIQUE(FILTER($V$2:$V$934,$A$2:$A$934=A377))&gt;1,
""Conflicting Duplicate"",
""Exact Duplicate""))"),"Unique")</f>
        <v>Unique</v>
      </c>
      <c r="X383" s="10" t="b">
        <f t="shared" ca="1" si="1"/>
        <v>1</v>
      </c>
      <c r="Y383" s="10" t="str">
        <f t="shared" si="2"/>
        <v>Unique</v>
      </c>
      <c r="Z383" s="10"/>
      <c r="AA383" s="10" t="str">
        <f t="shared" si="3"/>
        <v>Clean</v>
      </c>
      <c r="AB383" s="15" t="str">
        <f t="shared" si="4"/>
        <v>Valid</v>
      </c>
      <c r="AC383" s="15">
        <v>4</v>
      </c>
      <c r="AD383" s="16" t="str">
        <f t="shared" si="5"/>
        <v>Valid</v>
      </c>
      <c r="AE383" s="16" t="str">
        <f t="shared" si="6"/>
        <v>Valid</v>
      </c>
      <c r="AF383" s="16" t="str">
        <f t="shared" ref="AF383:AG383" si="777">IF(ISNUMBER(B383),"Valid","Invalid")</f>
        <v>Valid</v>
      </c>
      <c r="AG383" s="16" t="str">
        <f t="shared" si="777"/>
        <v>Valid</v>
      </c>
      <c r="AH383" s="16" t="str">
        <f t="shared" ref="AH383:AI383" si="778">IF(OR(B383="",ISBLANK(B383)),"Missing","Valid")</f>
        <v>Valid</v>
      </c>
      <c r="AI383" s="16" t="str">
        <f t="shared" si="778"/>
        <v>Valid</v>
      </c>
      <c r="AJ383" s="16" t="b">
        <v>0</v>
      </c>
      <c r="AK383" s="16" t="b">
        <v>0</v>
      </c>
      <c r="AL383" s="16" t="b">
        <v>0</v>
      </c>
      <c r="AM383" s="16" t="b">
        <v>0</v>
      </c>
      <c r="AN383" s="16" t="b">
        <v>0</v>
      </c>
      <c r="AO383" s="16" t="b">
        <v>0</v>
      </c>
      <c r="AP383" s="16" t="b">
        <v>0</v>
      </c>
      <c r="AQ383" s="17">
        <f t="shared" si="9"/>
        <v>0.05</v>
      </c>
      <c r="AR383" s="12">
        <f t="shared" si="10"/>
        <v>16671.169999999998</v>
      </c>
      <c r="AS383" s="18">
        <f t="shared" si="11"/>
        <v>0</v>
      </c>
      <c r="AT383" s="12">
        <f t="shared" si="12"/>
        <v>5837.9799999999977</v>
      </c>
      <c r="AU383" s="18">
        <f t="shared" si="13"/>
        <v>0</v>
      </c>
      <c r="AV383" s="19">
        <f t="shared" si="14"/>
        <v>0.35018418023450054</v>
      </c>
      <c r="AW383" s="20" t="str">
        <f t="shared" si="15"/>
        <v>September</v>
      </c>
      <c r="AX383" s="21">
        <f t="shared" si="16"/>
        <v>2025</v>
      </c>
    </row>
    <row r="384" spans="1:50" ht="15.75" customHeight="1">
      <c r="A384" s="10" t="s">
        <v>1279</v>
      </c>
      <c r="B384" s="11">
        <v>45720</v>
      </c>
      <c r="C384" s="11">
        <v>45724</v>
      </c>
      <c r="D384" s="10" t="s">
        <v>186</v>
      </c>
      <c r="E384" s="10" t="s">
        <v>82</v>
      </c>
      <c r="F384" s="10" t="s">
        <v>66</v>
      </c>
      <c r="G384" s="10" t="s">
        <v>67</v>
      </c>
      <c r="H384" s="10" t="s">
        <v>174</v>
      </c>
      <c r="I384" s="10" t="s">
        <v>175</v>
      </c>
      <c r="J384" s="10" t="s">
        <v>103</v>
      </c>
      <c r="K384" s="10" t="s">
        <v>200</v>
      </c>
      <c r="L384" s="10" t="s">
        <v>1280</v>
      </c>
      <c r="M384" s="10" t="s">
        <v>79</v>
      </c>
      <c r="N384" s="12">
        <v>3</v>
      </c>
      <c r="O384" s="12">
        <v>4361.8500000000004</v>
      </c>
      <c r="P384" s="12">
        <v>0.2</v>
      </c>
      <c r="Q384" s="12">
        <v>10468.44</v>
      </c>
      <c r="R384" s="12">
        <v>8399.8700000000008</v>
      </c>
      <c r="S384" s="12">
        <v>2068.5700000000002</v>
      </c>
      <c r="T384" s="10" t="s">
        <v>61</v>
      </c>
      <c r="U384" s="13" t="s">
        <v>62</v>
      </c>
      <c r="V384" s="14" t="e">
        <f t="shared" ca="1" si="0"/>
        <v>#NAME?</v>
      </c>
      <c r="W384" s="10" t="str">
        <f ca="1">IFERROR(__xludf.DUMMYFUNCTION("IF(COUNTIF($A:$A,A378)=1,
""Unique"",
IF(COUNTUNIQUE(FILTER($V$2:$V$934,$A$2:$A$934=A378))&gt;1,
""Conflicting Duplicate"",
""Exact Duplicate""))"),"Unique")</f>
        <v>Unique</v>
      </c>
      <c r="X384" s="10" t="b">
        <f t="shared" ca="1" si="1"/>
        <v>1</v>
      </c>
      <c r="Y384" s="10" t="str">
        <f t="shared" si="2"/>
        <v>Unique</v>
      </c>
      <c r="Z384" s="10"/>
      <c r="AA384" s="10" t="str">
        <f t="shared" si="3"/>
        <v>Clean</v>
      </c>
      <c r="AB384" s="15" t="str">
        <f t="shared" si="4"/>
        <v>Valid</v>
      </c>
      <c r="AC384" s="15">
        <v>4</v>
      </c>
      <c r="AD384" s="16" t="str">
        <f t="shared" si="5"/>
        <v>Valid</v>
      </c>
      <c r="AE384" s="16" t="str">
        <f t="shared" si="6"/>
        <v>Valid</v>
      </c>
      <c r="AF384" s="16" t="str">
        <f t="shared" ref="AF384:AG384" si="779">IF(ISNUMBER(B384),"Valid","Invalid")</f>
        <v>Valid</v>
      </c>
      <c r="AG384" s="16" t="str">
        <f t="shared" si="779"/>
        <v>Valid</v>
      </c>
      <c r="AH384" s="16" t="str">
        <f t="shared" ref="AH384:AI384" si="780">IF(OR(B384="",ISBLANK(B384)),"Missing","Valid")</f>
        <v>Valid</v>
      </c>
      <c r="AI384" s="16" t="str">
        <f t="shared" si="780"/>
        <v>Valid</v>
      </c>
      <c r="AJ384" s="16" t="b">
        <v>0</v>
      </c>
      <c r="AK384" s="16" t="b">
        <v>0</v>
      </c>
      <c r="AL384" s="16" t="b">
        <v>0</v>
      </c>
      <c r="AM384" s="16" t="b">
        <v>0</v>
      </c>
      <c r="AN384" s="16" t="b">
        <v>0</v>
      </c>
      <c r="AO384" s="16" t="b">
        <v>0</v>
      </c>
      <c r="AP384" s="16" t="b">
        <v>0</v>
      </c>
      <c r="AQ384" s="17">
        <f t="shared" si="9"/>
        <v>0.2</v>
      </c>
      <c r="AR384" s="12">
        <f t="shared" si="10"/>
        <v>10468.440000000002</v>
      </c>
      <c r="AS384" s="18">
        <f t="shared" si="11"/>
        <v>0</v>
      </c>
      <c r="AT384" s="12">
        <f t="shared" si="12"/>
        <v>2068.5700000000015</v>
      </c>
      <c r="AU384" s="18">
        <f t="shared" si="13"/>
        <v>0</v>
      </c>
      <c r="AV384" s="19">
        <f t="shared" si="14"/>
        <v>0.19760059760575607</v>
      </c>
      <c r="AW384" s="20" t="str">
        <f t="shared" si="15"/>
        <v>March</v>
      </c>
      <c r="AX384" s="21">
        <f t="shared" si="16"/>
        <v>2025</v>
      </c>
    </row>
    <row r="385" spans="1:50" ht="15.75" customHeight="1">
      <c r="A385" s="10" t="s">
        <v>1281</v>
      </c>
      <c r="B385" s="11">
        <v>45836</v>
      </c>
      <c r="C385" s="11">
        <v>45843</v>
      </c>
      <c r="D385" s="10" t="s">
        <v>1282</v>
      </c>
      <c r="E385" s="10" t="s">
        <v>100</v>
      </c>
      <c r="F385" s="10" t="s">
        <v>119</v>
      </c>
      <c r="G385" s="10" t="s">
        <v>67</v>
      </c>
      <c r="H385" s="10" t="s">
        <v>128</v>
      </c>
      <c r="I385" s="10" t="s">
        <v>129</v>
      </c>
      <c r="J385" s="10" t="s">
        <v>57</v>
      </c>
      <c r="K385" s="10" t="s">
        <v>77</v>
      </c>
      <c r="L385" s="10" t="s">
        <v>1283</v>
      </c>
      <c r="M385" s="10" t="s">
        <v>79</v>
      </c>
      <c r="N385" s="12">
        <v>2</v>
      </c>
      <c r="O385" s="12">
        <v>2242.75</v>
      </c>
      <c r="P385" s="12">
        <v>0</v>
      </c>
      <c r="Q385" s="12">
        <v>4485.5</v>
      </c>
      <c r="R385" s="12">
        <v>3131.86</v>
      </c>
      <c r="S385" s="12">
        <v>1353.64</v>
      </c>
      <c r="T385" s="10" t="s">
        <v>61</v>
      </c>
      <c r="U385" s="13" t="s">
        <v>97</v>
      </c>
      <c r="V385" s="14" t="e">
        <f t="shared" ca="1" si="0"/>
        <v>#NAME?</v>
      </c>
      <c r="W385" s="10" t="str">
        <f ca="1">IFERROR(__xludf.DUMMYFUNCTION("IF(COUNTIF($A:$A,A379)=1,
""Unique"",
IF(COUNTUNIQUE(FILTER($V$2:$V$934,$A$2:$A$934=A379))&gt;1,
""Conflicting Duplicate"",
""Exact Duplicate""))"),"Exact Duplicate")</f>
        <v>Exact Duplicate</v>
      </c>
      <c r="X385" s="10" t="b">
        <f t="shared" ca="1" si="1"/>
        <v>1</v>
      </c>
      <c r="Y385" s="10" t="str">
        <f t="shared" si="2"/>
        <v>Unique</v>
      </c>
      <c r="Z385" s="10"/>
      <c r="AA385" s="10" t="str">
        <f t="shared" si="3"/>
        <v>Clean</v>
      </c>
      <c r="AB385" s="15" t="str">
        <f t="shared" si="4"/>
        <v>Valid</v>
      </c>
      <c r="AC385" s="15">
        <v>7</v>
      </c>
      <c r="AD385" s="16" t="str">
        <f t="shared" si="5"/>
        <v>Valid</v>
      </c>
      <c r="AE385" s="16" t="str">
        <f t="shared" si="6"/>
        <v>Valid</v>
      </c>
      <c r="AF385" s="16" t="str">
        <f t="shared" ref="AF385:AG385" si="781">IF(ISNUMBER(B385),"Valid","Invalid")</f>
        <v>Valid</v>
      </c>
      <c r="AG385" s="16" t="str">
        <f t="shared" si="781"/>
        <v>Valid</v>
      </c>
      <c r="AH385" s="16" t="str">
        <f t="shared" ref="AH385:AI385" si="782">IF(OR(B385="",ISBLANK(B385)),"Missing","Valid")</f>
        <v>Valid</v>
      </c>
      <c r="AI385" s="16" t="str">
        <f t="shared" si="782"/>
        <v>Valid</v>
      </c>
      <c r="AJ385" s="16" t="b">
        <v>0</v>
      </c>
      <c r="AK385" s="16" t="b">
        <v>0</v>
      </c>
      <c r="AL385" s="16" t="b">
        <v>0</v>
      </c>
      <c r="AM385" s="16" t="b">
        <v>0</v>
      </c>
      <c r="AN385" s="16" t="b">
        <v>0</v>
      </c>
      <c r="AO385" s="16" t="b">
        <v>0</v>
      </c>
      <c r="AP385" s="16" t="b">
        <v>0</v>
      </c>
      <c r="AQ385" s="17">
        <f t="shared" si="9"/>
        <v>0</v>
      </c>
      <c r="AR385" s="12">
        <f t="shared" si="10"/>
        <v>4485.5</v>
      </c>
      <c r="AS385" s="18">
        <f t="shared" si="11"/>
        <v>0</v>
      </c>
      <c r="AT385" s="12">
        <f t="shared" si="12"/>
        <v>1353.6399999999999</v>
      </c>
      <c r="AU385" s="18">
        <f t="shared" si="13"/>
        <v>0</v>
      </c>
      <c r="AV385" s="19">
        <f t="shared" si="14"/>
        <v>0.30178129528480657</v>
      </c>
      <c r="AW385" s="20" t="str">
        <f t="shared" si="15"/>
        <v>June</v>
      </c>
      <c r="AX385" s="21">
        <f t="shared" si="16"/>
        <v>2025</v>
      </c>
    </row>
    <row r="386" spans="1:50" ht="15.75" customHeight="1">
      <c r="A386" s="10" t="s">
        <v>1284</v>
      </c>
      <c r="B386" s="11">
        <v>45366</v>
      </c>
      <c r="C386" s="11">
        <v>45371</v>
      </c>
      <c r="D386" s="10" t="s">
        <v>1285</v>
      </c>
      <c r="E386" s="10" t="s">
        <v>170</v>
      </c>
      <c r="F386" s="10" t="s">
        <v>53</v>
      </c>
      <c r="G386" s="10" t="s">
        <v>67</v>
      </c>
      <c r="H386" s="10" t="s">
        <v>258</v>
      </c>
      <c r="I386" s="10" t="s">
        <v>259</v>
      </c>
      <c r="J386" s="10" t="s">
        <v>103</v>
      </c>
      <c r="K386" s="10" t="s">
        <v>109</v>
      </c>
      <c r="L386" s="10" t="s">
        <v>1286</v>
      </c>
      <c r="M386" s="10" t="s">
        <v>88</v>
      </c>
      <c r="N386" s="12">
        <v>2</v>
      </c>
      <c r="O386" s="12">
        <v>1881.4</v>
      </c>
      <c r="P386" s="12">
        <v>0.25</v>
      </c>
      <c r="Q386" s="12">
        <v>2822.1</v>
      </c>
      <c r="R386" s="12">
        <v>1624.57</v>
      </c>
      <c r="S386" s="12">
        <v>1197.53</v>
      </c>
      <c r="T386" s="10" t="s">
        <v>61</v>
      </c>
      <c r="U386" s="13" t="s">
        <v>132</v>
      </c>
      <c r="V386" s="14" t="e">
        <f t="shared" ca="1" si="0"/>
        <v>#NAME?</v>
      </c>
      <c r="W386" s="10" t="str">
        <f ca="1">IFERROR(__xludf.DUMMYFUNCTION("IF(COUNTIF($A:$A,A380)=1,
""Unique"",
IF(COUNTUNIQUE(FILTER($V$2:$V$934,$A$2:$A$934=A380))&gt;1,
""Conflicting Duplicate"",
""Exact Duplicate""))"),"Unique")</f>
        <v>Unique</v>
      </c>
      <c r="X386" s="10" t="b">
        <f t="shared" ca="1" si="1"/>
        <v>1</v>
      </c>
      <c r="Y386" s="10" t="str">
        <f t="shared" si="2"/>
        <v>Unique</v>
      </c>
      <c r="Z386" s="10"/>
      <c r="AA386" s="10" t="str">
        <f t="shared" si="3"/>
        <v>Clean</v>
      </c>
      <c r="AB386" s="15" t="str">
        <f t="shared" si="4"/>
        <v>Valid</v>
      </c>
      <c r="AC386" s="15">
        <v>5</v>
      </c>
      <c r="AD386" s="16" t="str">
        <f t="shared" si="5"/>
        <v>Valid</v>
      </c>
      <c r="AE386" s="16" t="str">
        <f t="shared" si="6"/>
        <v>Valid</v>
      </c>
      <c r="AF386" s="16" t="str">
        <f t="shared" ref="AF386:AG386" si="783">IF(ISNUMBER(B386),"Valid","Invalid")</f>
        <v>Valid</v>
      </c>
      <c r="AG386" s="16" t="str">
        <f t="shared" si="783"/>
        <v>Valid</v>
      </c>
      <c r="AH386" s="16" t="str">
        <f t="shared" ref="AH386:AI386" si="784">IF(OR(B386="",ISBLANK(B386)),"Missing","Valid")</f>
        <v>Valid</v>
      </c>
      <c r="AI386" s="16" t="str">
        <f t="shared" si="784"/>
        <v>Valid</v>
      </c>
      <c r="AJ386" s="16" t="b">
        <v>0</v>
      </c>
      <c r="AK386" s="16" t="b">
        <v>0</v>
      </c>
      <c r="AL386" s="16" t="b">
        <v>0</v>
      </c>
      <c r="AM386" s="16" t="b">
        <v>0</v>
      </c>
      <c r="AN386" s="16" t="b">
        <v>0</v>
      </c>
      <c r="AO386" s="16" t="b">
        <v>0</v>
      </c>
      <c r="AP386" s="16" t="b">
        <v>0</v>
      </c>
      <c r="AQ386" s="17">
        <f t="shared" si="9"/>
        <v>0.25</v>
      </c>
      <c r="AR386" s="12">
        <f t="shared" si="10"/>
        <v>2822.1000000000004</v>
      </c>
      <c r="AS386" s="18">
        <f t="shared" si="11"/>
        <v>0</v>
      </c>
      <c r="AT386" s="12">
        <f t="shared" si="12"/>
        <v>1197.5300000000004</v>
      </c>
      <c r="AU386" s="18">
        <f t="shared" si="13"/>
        <v>0</v>
      </c>
      <c r="AV386" s="19">
        <f t="shared" si="14"/>
        <v>0.42434003047376079</v>
      </c>
      <c r="AW386" s="20" t="str">
        <f t="shared" si="15"/>
        <v>March</v>
      </c>
      <c r="AX386" s="21">
        <f t="shared" si="16"/>
        <v>2024</v>
      </c>
    </row>
    <row r="387" spans="1:50" ht="15.75" customHeight="1">
      <c r="A387" s="10" t="s">
        <v>1287</v>
      </c>
      <c r="B387" s="11">
        <v>45832</v>
      </c>
      <c r="C387" s="11">
        <v>45838</v>
      </c>
      <c r="D387" s="10" t="s">
        <v>1288</v>
      </c>
      <c r="E387" s="10" t="s">
        <v>82</v>
      </c>
      <c r="F387" s="10" t="s">
        <v>53</v>
      </c>
      <c r="G387" s="10" t="s">
        <v>54</v>
      </c>
      <c r="H387" s="10" t="s">
        <v>266</v>
      </c>
      <c r="I387" s="10" t="s">
        <v>267</v>
      </c>
      <c r="J387" s="10" t="s">
        <v>57</v>
      </c>
      <c r="K387" s="10" t="s">
        <v>120</v>
      </c>
      <c r="L387" s="10" t="s">
        <v>1289</v>
      </c>
      <c r="M387" s="10" t="s">
        <v>88</v>
      </c>
      <c r="N387" s="12">
        <v>6</v>
      </c>
      <c r="O387" s="12">
        <v>365.76</v>
      </c>
      <c r="P387" s="12">
        <v>0.1</v>
      </c>
      <c r="Q387" s="12">
        <v>1975.1</v>
      </c>
      <c r="R387" s="12">
        <v>1115.3499999999999</v>
      </c>
      <c r="S387" s="12">
        <v>859.75</v>
      </c>
      <c r="T387" s="10" t="s">
        <v>61</v>
      </c>
      <c r="U387" s="13" t="s">
        <v>62</v>
      </c>
      <c r="V387" s="14" t="e">
        <f t="shared" ca="1" si="0"/>
        <v>#NAME?</v>
      </c>
      <c r="W387" s="10" t="str">
        <f ca="1">IFERROR(__xludf.DUMMYFUNCTION("IF(COUNTIF($A:$A,A381)=1,
""Unique"",
IF(COUNTUNIQUE(FILTER($V$2:$V$934,$A$2:$A$934=A381))&gt;1,
""Conflicting Duplicate"",
""Exact Duplicate""))"),"Unique")</f>
        <v>Unique</v>
      </c>
      <c r="X387" s="10" t="b">
        <f t="shared" ca="1" si="1"/>
        <v>1</v>
      </c>
      <c r="Y387" s="10" t="str">
        <f t="shared" si="2"/>
        <v>Unique</v>
      </c>
      <c r="Z387" s="10"/>
      <c r="AA387" s="10" t="str">
        <f t="shared" si="3"/>
        <v>Clean</v>
      </c>
      <c r="AB387" s="15" t="str">
        <f t="shared" si="4"/>
        <v>Valid</v>
      </c>
      <c r="AC387" s="15">
        <v>6</v>
      </c>
      <c r="AD387" s="16" t="str">
        <f t="shared" si="5"/>
        <v>Valid</v>
      </c>
      <c r="AE387" s="16" t="str">
        <f t="shared" si="6"/>
        <v>Valid</v>
      </c>
      <c r="AF387" s="16" t="str">
        <f t="shared" ref="AF387:AG387" si="785">IF(ISNUMBER(B387),"Valid","Invalid")</f>
        <v>Valid</v>
      </c>
      <c r="AG387" s="16" t="str">
        <f t="shared" si="785"/>
        <v>Valid</v>
      </c>
      <c r="AH387" s="16" t="str">
        <f t="shared" ref="AH387:AI387" si="786">IF(OR(B387="",ISBLANK(B387)),"Missing","Valid")</f>
        <v>Valid</v>
      </c>
      <c r="AI387" s="16" t="str">
        <f t="shared" si="786"/>
        <v>Valid</v>
      </c>
      <c r="AJ387" s="16" t="b">
        <v>0</v>
      </c>
      <c r="AK387" s="16" t="b">
        <v>0</v>
      </c>
      <c r="AL387" s="16" t="b">
        <v>0</v>
      </c>
      <c r="AM387" s="16" t="b">
        <v>0</v>
      </c>
      <c r="AN387" s="16" t="b">
        <v>0</v>
      </c>
      <c r="AO387" s="16" t="b">
        <v>0</v>
      </c>
      <c r="AP387" s="16" t="b">
        <v>0</v>
      </c>
      <c r="AQ387" s="17">
        <f t="shared" si="9"/>
        <v>0.1</v>
      </c>
      <c r="AR387" s="12">
        <f t="shared" si="10"/>
        <v>1975.104</v>
      </c>
      <c r="AS387" s="18">
        <f t="shared" si="11"/>
        <v>-4.0000000001327862E-3</v>
      </c>
      <c r="AT387" s="12">
        <f t="shared" si="12"/>
        <v>859.75400000000013</v>
      </c>
      <c r="AU387" s="18">
        <f t="shared" si="13"/>
        <v>-4.0000000001327862E-3</v>
      </c>
      <c r="AV387" s="19">
        <f t="shared" si="14"/>
        <v>0.4352955591199249</v>
      </c>
      <c r="AW387" s="20" t="str">
        <f t="shared" si="15"/>
        <v>June</v>
      </c>
      <c r="AX387" s="21">
        <f t="shared" si="16"/>
        <v>2025</v>
      </c>
    </row>
    <row r="388" spans="1:50" ht="15.75" customHeight="1">
      <c r="A388" s="10" t="s">
        <v>1290</v>
      </c>
      <c r="B388" s="11">
        <v>45700</v>
      </c>
      <c r="C388" s="11">
        <v>45702</v>
      </c>
      <c r="D388" s="10" t="s">
        <v>1291</v>
      </c>
      <c r="E388" s="10" t="s">
        <v>161</v>
      </c>
      <c r="F388" s="10" t="s">
        <v>53</v>
      </c>
      <c r="G388" s="10" t="s">
        <v>92</v>
      </c>
      <c r="H388" s="10" t="s">
        <v>93</v>
      </c>
      <c r="I388" s="10" t="s">
        <v>94</v>
      </c>
      <c r="J388" s="10" t="s">
        <v>70</v>
      </c>
      <c r="K388" s="10" t="s">
        <v>86</v>
      </c>
      <c r="L388" s="10" t="s">
        <v>1292</v>
      </c>
      <c r="M388" s="10" t="s">
        <v>60</v>
      </c>
      <c r="N388" s="12">
        <v>8</v>
      </c>
      <c r="O388" s="12">
        <v>2786.66</v>
      </c>
      <c r="P388" s="12">
        <v>0.1</v>
      </c>
      <c r="Q388" s="12">
        <v>20063.95</v>
      </c>
      <c r="R388" s="12">
        <v>14363.38</v>
      </c>
      <c r="S388" s="12">
        <v>5700.57</v>
      </c>
      <c r="T388" s="10" t="s">
        <v>61</v>
      </c>
      <c r="U388" s="13" t="s">
        <v>62</v>
      </c>
      <c r="V388" s="14" t="e">
        <f t="shared" ca="1" si="0"/>
        <v>#NAME?</v>
      </c>
      <c r="W388" s="10" t="str">
        <f ca="1">IFERROR(__xludf.DUMMYFUNCTION("IF(COUNTIF($A:$A,A382)=1,
""Unique"",
IF(COUNTUNIQUE(FILTER($V$2:$V$934,$A$2:$A$934=A382))&gt;1,
""Conflicting Duplicate"",
""Exact Duplicate""))"),"Unique")</f>
        <v>Unique</v>
      </c>
      <c r="X388" s="10" t="b">
        <f t="shared" ca="1" si="1"/>
        <v>1</v>
      </c>
      <c r="Y388" s="10" t="str">
        <f t="shared" si="2"/>
        <v>Unique</v>
      </c>
      <c r="Z388" s="10"/>
      <c r="AA388" s="10" t="str">
        <f t="shared" si="3"/>
        <v>Clean</v>
      </c>
      <c r="AB388" s="15" t="str">
        <f t="shared" si="4"/>
        <v>Valid</v>
      </c>
      <c r="AC388" s="15">
        <v>2</v>
      </c>
      <c r="AD388" s="16" t="str">
        <f t="shared" si="5"/>
        <v>Valid</v>
      </c>
      <c r="AE388" s="16" t="str">
        <f t="shared" si="6"/>
        <v>Valid</v>
      </c>
      <c r="AF388" s="16" t="str">
        <f t="shared" ref="AF388:AG388" si="787">IF(ISNUMBER(B388),"Valid","Invalid")</f>
        <v>Valid</v>
      </c>
      <c r="AG388" s="16" t="str">
        <f t="shared" si="787"/>
        <v>Valid</v>
      </c>
      <c r="AH388" s="16" t="str">
        <f t="shared" ref="AH388:AI388" si="788">IF(OR(B388="",ISBLANK(B388)),"Missing","Valid")</f>
        <v>Valid</v>
      </c>
      <c r="AI388" s="16" t="str">
        <f t="shared" si="788"/>
        <v>Valid</v>
      </c>
      <c r="AJ388" s="16" t="b">
        <v>0</v>
      </c>
      <c r="AK388" s="16" t="b">
        <v>0</v>
      </c>
      <c r="AL388" s="16" t="b">
        <v>0</v>
      </c>
      <c r="AM388" s="16" t="b">
        <v>0</v>
      </c>
      <c r="AN388" s="16" t="b">
        <v>0</v>
      </c>
      <c r="AO388" s="16" t="b">
        <v>0</v>
      </c>
      <c r="AP388" s="16" t="b">
        <v>0</v>
      </c>
      <c r="AQ388" s="17">
        <f t="shared" si="9"/>
        <v>0.1</v>
      </c>
      <c r="AR388" s="12">
        <f t="shared" si="10"/>
        <v>20063.952000000001</v>
      </c>
      <c r="AS388" s="18">
        <f t="shared" si="11"/>
        <v>-2.0000000004074536E-3</v>
      </c>
      <c r="AT388" s="12">
        <f t="shared" si="12"/>
        <v>5700.5720000000019</v>
      </c>
      <c r="AU388" s="18">
        <f t="shared" si="13"/>
        <v>-2.000000002226443E-3</v>
      </c>
      <c r="AV388" s="19">
        <f t="shared" si="14"/>
        <v>0.2841200975759911</v>
      </c>
      <c r="AW388" s="20" t="str">
        <f t="shared" si="15"/>
        <v>February</v>
      </c>
      <c r="AX388" s="21">
        <f t="shared" si="16"/>
        <v>2025</v>
      </c>
    </row>
    <row r="389" spans="1:50" ht="15.75" customHeight="1">
      <c r="A389" s="10" t="s">
        <v>1293</v>
      </c>
      <c r="B389" s="11">
        <v>45879</v>
      </c>
      <c r="C389" s="11">
        <v>45882</v>
      </c>
      <c r="D389" s="10" t="s">
        <v>1294</v>
      </c>
      <c r="E389" s="10" t="s">
        <v>143</v>
      </c>
      <c r="F389" s="10" t="s">
        <v>66</v>
      </c>
      <c r="G389" s="10" t="s">
        <v>92</v>
      </c>
      <c r="H389" s="10" t="s">
        <v>101</v>
      </c>
      <c r="I389" s="10" t="s">
        <v>102</v>
      </c>
      <c r="J389" s="10" t="s">
        <v>70</v>
      </c>
      <c r="K389" s="10" t="s">
        <v>95</v>
      </c>
      <c r="L389" s="10" t="s">
        <v>1295</v>
      </c>
      <c r="M389" s="10" t="s">
        <v>88</v>
      </c>
      <c r="N389" s="12">
        <v>5</v>
      </c>
      <c r="O389" s="12">
        <v>352.86</v>
      </c>
      <c r="P389" s="12">
        <v>0</v>
      </c>
      <c r="Q389" s="12">
        <v>1764.3</v>
      </c>
      <c r="R389" s="12">
        <v>1332.49</v>
      </c>
      <c r="S389" s="12">
        <v>431.81</v>
      </c>
      <c r="T389" s="10" t="s">
        <v>140</v>
      </c>
      <c r="U389" s="13" t="s">
        <v>97</v>
      </c>
      <c r="V389" s="14" t="e">
        <f t="shared" ca="1" si="0"/>
        <v>#NAME?</v>
      </c>
      <c r="W389" s="10" t="str">
        <f ca="1">IFERROR(__xludf.DUMMYFUNCTION("IF(COUNTIF($A:$A,A383)=1,
""Unique"",
IF(COUNTUNIQUE(FILTER($V$2:$V$934,$A$2:$A$934=A383))&gt;1,
""Conflicting Duplicate"",
""Exact Duplicate""))"),"Unique")</f>
        <v>Unique</v>
      </c>
      <c r="X389" s="10" t="b">
        <f t="shared" ca="1" si="1"/>
        <v>1</v>
      </c>
      <c r="Y389" s="10" t="str">
        <f t="shared" si="2"/>
        <v>Unique</v>
      </c>
      <c r="Z389" s="10"/>
      <c r="AA389" s="10" t="str">
        <f t="shared" si="3"/>
        <v>Clean</v>
      </c>
      <c r="AB389" s="15" t="str">
        <f t="shared" si="4"/>
        <v>Valid</v>
      </c>
      <c r="AC389" s="15">
        <v>3</v>
      </c>
      <c r="AD389" s="16" t="str">
        <f t="shared" si="5"/>
        <v>Valid</v>
      </c>
      <c r="AE389" s="16" t="str">
        <f t="shared" si="6"/>
        <v>Valid</v>
      </c>
      <c r="AF389" s="16" t="str">
        <f t="shared" ref="AF389:AG389" si="789">IF(ISNUMBER(B389),"Valid","Invalid")</f>
        <v>Valid</v>
      </c>
      <c r="AG389" s="16" t="str">
        <f t="shared" si="789"/>
        <v>Valid</v>
      </c>
      <c r="AH389" s="16" t="str">
        <f t="shared" ref="AH389:AI389" si="790">IF(OR(B389="",ISBLANK(B389)),"Missing","Valid")</f>
        <v>Valid</v>
      </c>
      <c r="AI389" s="16" t="str">
        <f t="shared" si="790"/>
        <v>Valid</v>
      </c>
      <c r="AJ389" s="16" t="b">
        <v>0</v>
      </c>
      <c r="AK389" s="16" t="b">
        <v>0</v>
      </c>
      <c r="AL389" s="16" t="b">
        <v>0</v>
      </c>
      <c r="AM389" s="16" t="b">
        <v>0</v>
      </c>
      <c r="AN389" s="16" t="b">
        <v>0</v>
      </c>
      <c r="AO389" s="16" t="b">
        <v>0</v>
      </c>
      <c r="AP389" s="16" t="b">
        <v>0</v>
      </c>
      <c r="AQ389" s="17">
        <f t="shared" si="9"/>
        <v>0</v>
      </c>
      <c r="AR389" s="12">
        <f t="shared" si="10"/>
        <v>1764.3000000000002</v>
      </c>
      <c r="AS389" s="18">
        <f t="shared" si="11"/>
        <v>0</v>
      </c>
      <c r="AT389" s="12">
        <f t="shared" si="12"/>
        <v>431.81000000000017</v>
      </c>
      <c r="AU389" s="18">
        <f t="shared" si="13"/>
        <v>0</v>
      </c>
      <c r="AV389" s="19">
        <f t="shared" si="14"/>
        <v>0.24474862551720236</v>
      </c>
      <c r="AW389" s="20" t="str">
        <f t="shared" si="15"/>
        <v>August</v>
      </c>
      <c r="AX389" s="21">
        <f t="shared" si="16"/>
        <v>2025</v>
      </c>
    </row>
    <row r="390" spans="1:50" ht="15.75" customHeight="1">
      <c r="A390" s="10" t="s">
        <v>1296</v>
      </c>
      <c r="B390" s="11">
        <v>45425</v>
      </c>
      <c r="C390" s="11">
        <v>45430</v>
      </c>
      <c r="D390" s="10" t="s">
        <v>1297</v>
      </c>
      <c r="E390" s="10" t="s">
        <v>76</v>
      </c>
      <c r="F390" s="10" t="s">
        <v>66</v>
      </c>
      <c r="G390" s="10" t="s">
        <v>92</v>
      </c>
      <c r="H390" s="10" t="s">
        <v>209</v>
      </c>
      <c r="I390" s="10" t="s">
        <v>210</v>
      </c>
      <c r="J390" s="10" t="s">
        <v>70</v>
      </c>
      <c r="K390" s="10" t="s">
        <v>95</v>
      </c>
      <c r="L390" s="10" t="s">
        <v>1298</v>
      </c>
      <c r="M390" s="10" t="s">
        <v>88</v>
      </c>
      <c r="N390" s="12">
        <v>3</v>
      </c>
      <c r="O390" s="12">
        <v>3128.59</v>
      </c>
      <c r="P390" s="12">
        <v>0</v>
      </c>
      <c r="Q390" s="12">
        <v>9385.77</v>
      </c>
      <c r="R390" s="12">
        <v>6872.44</v>
      </c>
      <c r="S390" s="12">
        <v>2783.66</v>
      </c>
      <c r="T390" s="10" t="s">
        <v>61</v>
      </c>
      <c r="U390" s="13" t="s">
        <v>62</v>
      </c>
      <c r="V390" s="14" t="e">
        <f t="shared" ca="1" si="0"/>
        <v>#NAME?</v>
      </c>
      <c r="W390" s="10" t="str">
        <f ca="1">IFERROR(__xludf.DUMMYFUNCTION("IF(COUNTIF($A:$A,A384)=1,
""Unique"",
IF(COUNTUNIQUE(FILTER($V$2:$V$934,$A$2:$A$934=A384))&gt;1,
""Conflicting Duplicate"",
""Exact Duplicate""))"),"Unique")</f>
        <v>Unique</v>
      </c>
      <c r="X390" s="10" t="b">
        <f t="shared" ca="1" si="1"/>
        <v>1</v>
      </c>
      <c r="Y390" s="10" t="str">
        <f t="shared" si="2"/>
        <v>Unique</v>
      </c>
      <c r="Z390" s="10"/>
      <c r="AA390" s="10" t="str">
        <f t="shared" si="3"/>
        <v>Clean</v>
      </c>
      <c r="AB390" s="15" t="str">
        <f t="shared" si="4"/>
        <v>Valid</v>
      </c>
      <c r="AC390" s="15">
        <v>5</v>
      </c>
      <c r="AD390" s="16" t="str">
        <f t="shared" si="5"/>
        <v>Valid</v>
      </c>
      <c r="AE390" s="16" t="str">
        <f t="shared" si="6"/>
        <v>Valid</v>
      </c>
      <c r="AF390" s="16" t="str">
        <f t="shared" ref="AF390:AG390" si="791">IF(ISNUMBER(B390),"Valid","Invalid")</f>
        <v>Valid</v>
      </c>
      <c r="AG390" s="16" t="str">
        <f t="shared" si="791"/>
        <v>Valid</v>
      </c>
      <c r="AH390" s="16" t="str">
        <f t="shared" ref="AH390:AI390" si="792">IF(OR(B390="",ISBLANK(B390)),"Missing","Valid")</f>
        <v>Valid</v>
      </c>
      <c r="AI390" s="16" t="str">
        <f t="shared" si="792"/>
        <v>Valid</v>
      </c>
      <c r="AJ390" s="16" t="b">
        <v>0</v>
      </c>
      <c r="AK390" s="16" t="b">
        <v>0</v>
      </c>
      <c r="AL390" s="16" t="b">
        <v>0</v>
      </c>
      <c r="AM390" s="16" t="b">
        <v>0</v>
      </c>
      <c r="AN390" s="16" t="b">
        <v>0</v>
      </c>
      <c r="AO390" s="16" t="b">
        <v>0</v>
      </c>
      <c r="AP390" s="16" t="b">
        <v>0</v>
      </c>
      <c r="AQ390" s="17">
        <f t="shared" si="9"/>
        <v>0</v>
      </c>
      <c r="AR390" s="12">
        <f t="shared" si="10"/>
        <v>9385.77</v>
      </c>
      <c r="AS390" s="18">
        <f t="shared" si="11"/>
        <v>0</v>
      </c>
      <c r="AT390" s="12">
        <f t="shared" si="12"/>
        <v>2513.3300000000008</v>
      </c>
      <c r="AU390" s="18">
        <f t="shared" si="13"/>
        <v>270.32999999999902</v>
      </c>
      <c r="AV390" s="19">
        <f t="shared" si="14"/>
        <v>0.26778090662779941</v>
      </c>
      <c r="AW390" s="20" t="str">
        <f t="shared" si="15"/>
        <v>May</v>
      </c>
      <c r="AX390" s="21">
        <f t="shared" si="16"/>
        <v>2024</v>
      </c>
    </row>
    <row r="391" spans="1:50" ht="15.75" customHeight="1">
      <c r="A391" s="10" t="s">
        <v>1299</v>
      </c>
      <c r="B391" s="11">
        <v>45387</v>
      </c>
      <c r="C391" s="11">
        <v>45395</v>
      </c>
      <c r="D391" s="10" t="s">
        <v>1300</v>
      </c>
      <c r="E391" s="10" t="s">
        <v>191</v>
      </c>
      <c r="F391" s="10" t="s">
        <v>119</v>
      </c>
      <c r="G391" s="10" t="s">
        <v>92</v>
      </c>
      <c r="H391" s="10" t="s">
        <v>209</v>
      </c>
      <c r="I391" s="10" t="s">
        <v>210</v>
      </c>
      <c r="J391" s="10" t="s">
        <v>103</v>
      </c>
      <c r="K391" s="10" t="s">
        <v>304</v>
      </c>
      <c r="L391" s="10" t="s">
        <v>1301</v>
      </c>
      <c r="M391" s="10" t="s">
        <v>60</v>
      </c>
      <c r="N391" s="12">
        <v>5</v>
      </c>
      <c r="O391" s="12">
        <v>1937.54</v>
      </c>
      <c r="P391" s="12">
        <v>0.2</v>
      </c>
      <c r="Q391" s="12">
        <v>7750.16</v>
      </c>
      <c r="R391" s="12">
        <v>5434.3</v>
      </c>
      <c r="S391" s="12">
        <v>2315.86</v>
      </c>
      <c r="T391" s="10" t="s">
        <v>140</v>
      </c>
      <c r="U391" s="13" t="s">
        <v>97</v>
      </c>
      <c r="V391" s="14" t="e">
        <f t="shared" ca="1" si="0"/>
        <v>#NAME?</v>
      </c>
      <c r="W391" s="10" t="str">
        <f ca="1">IFERROR(__xludf.DUMMYFUNCTION("IF(COUNTIF($A:$A,A385)=1,
""Unique"",
IF(COUNTUNIQUE(FILTER($V$2:$V$934,$A$2:$A$934=A385))&gt;1,
""Conflicting Duplicate"",
""Exact Duplicate""))"),"Unique")</f>
        <v>Unique</v>
      </c>
      <c r="X391" s="10" t="b">
        <f t="shared" ca="1" si="1"/>
        <v>1</v>
      </c>
      <c r="Y391" s="10" t="str">
        <f t="shared" si="2"/>
        <v>Unique</v>
      </c>
      <c r="Z391" s="10"/>
      <c r="AA391" s="10" t="str">
        <f t="shared" si="3"/>
        <v>Clean</v>
      </c>
      <c r="AB391" s="15" t="str">
        <f t="shared" si="4"/>
        <v>Valid</v>
      </c>
      <c r="AC391" s="15">
        <v>8</v>
      </c>
      <c r="AD391" s="16" t="str">
        <f t="shared" si="5"/>
        <v>Valid</v>
      </c>
      <c r="AE391" s="16" t="str">
        <f t="shared" si="6"/>
        <v>Valid</v>
      </c>
      <c r="AF391" s="16" t="str">
        <f t="shared" ref="AF391:AG391" si="793">IF(ISNUMBER(B391),"Valid","Invalid")</f>
        <v>Valid</v>
      </c>
      <c r="AG391" s="16" t="str">
        <f t="shared" si="793"/>
        <v>Valid</v>
      </c>
      <c r="AH391" s="16" t="str">
        <f t="shared" ref="AH391:AI391" si="794">IF(OR(B391="",ISBLANK(B391)),"Missing","Valid")</f>
        <v>Valid</v>
      </c>
      <c r="AI391" s="16" t="str">
        <f t="shared" si="794"/>
        <v>Valid</v>
      </c>
      <c r="AJ391" s="16" t="b">
        <v>0</v>
      </c>
      <c r="AK391" s="16" t="b">
        <v>0</v>
      </c>
      <c r="AL391" s="16" t="b">
        <v>0</v>
      </c>
      <c r="AM391" s="16" t="b">
        <v>0</v>
      </c>
      <c r="AN391" s="16" t="b">
        <v>0</v>
      </c>
      <c r="AO391" s="16" t="b">
        <v>0</v>
      </c>
      <c r="AP391" s="16" t="b">
        <v>0</v>
      </c>
      <c r="AQ391" s="17">
        <f t="shared" si="9"/>
        <v>0.2</v>
      </c>
      <c r="AR391" s="12">
        <f t="shared" si="10"/>
        <v>7750.1600000000008</v>
      </c>
      <c r="AS391" s="18">
        <f t="shared" si="11"/>
        <v>0</v>
      </c>
      <c r="AT391" s="12">
        <f t="shared" si="12"/>
        <v>2315.8600000000006</v>
      </c>
      <c r="AU391" s="18">
        <f t="shared" si="13"/>
        <v>0</v>
      </c>
      <c r="AV391" s="19">
        <f t="shared" si="14"/>
        <v>0.29881447608823564</v>
      </c>
      <c r="AW391" s="20" t="str">
        <f t="shared" si="15"/>
        <v>April</v>
      </c>
      <c r="AX391" s="21">
        <f t="shared" si="16"/>
        <v>2024</v>
      </c>
    </row>
    <row r="392" spans="1:50" ht="15.75" customHeight="1">
      <c r="A392" s="10" t="s">
        <v>1302</v>
      </c>
      <c r="B392" s="11">
        <v>45602</v>
      </c>
      <c r="C392" s="11">
        <v>45607</v>
      </c>
      <c r="D392" s="10" t="s">
        <v>1303</v>
      </c>
      <c r="E392" s="10" t="s">
        <v>76</v>
      </c>
      <c r="F392" s="10" t="s">
        <v>53</v>
      </c>
      <c r="G392" s="10" t="s">
        <v>92</v>
      </c>
      <c r="H392" s="10" t="s">
        <v>209</v>
      </c>
      <c r="I392" s="10" t="s">
        <v>210</v>
      </c>
      <c r="J392" s="10" t="s">
        <v>70</v>
      </c>
      <c r="K392" s="10" t="s">
        <v>86</v>
      </c>
      <c r="L392" s="10" t="s">
        <v>1304</v>
      </c>
      <c r="M392" s="10" t="s">
        <v>88</v>
      </c>
      <c r="N392" s="12">
        <v>4</v>
      </c>
      <c r="O392" s="12">
        <v>1917.26</v>
      </c>
      <c r="P392" s="12">
        <v>0.2</v>
      </c>
      <c r="Q392" s="12">
        <v>6135.23</v>
      </c>
      <c r="R392" s="12">
        <v>3439.79</v>
      </c>
      <c r="S392" s="12">
        <v>2695.44</v>
      </c>
      <c r="T392" s="10" t="s">
        <v>61</v>
      </c>
      <c r="U392" s="13" t="s">
        <v>62</v>
      </c>
      <c r="V392" s="14" t="e">
        <f t="shared" ca="1" si="0"/>
        <v>#NAME?</v>
      </c>
      <c r="W392" s="10" t="str">
        <f ca="1">IFERROR(__xludf.DUMMYFUNCTION("IF(COUNTIF($A:$A,A386)=1,
""Unique"",
IF(COUNTUNIQUE(FILTER($V$2:$V$934,$A$2:$A$934=A386))&gt;1,
""Conflicting Duplicate"",
""Exact Duplicate""))"),"Unique")</f>
        <v>Unique</v>
      </c>
      <c r="X392" s="10" t="b">
        <f t="shared" ca="1" si="1"/>
        <v>1</v>
      </c>
      <c r="Y392" s="10" t="str">
        <f t="shared" si="2"/>
        <v>Unique</v>
      </c>
      <c r="Z392" s="10"/>
      <c r="AA392" s="10" t="str">
        <f t="shared" si="3"/>
        <v>Clean</v>
      </c>
      <c r="AB392" s="15" t="str">
        <f t="shared" si="4"/>
        <v>Valid</v>
      </c>
      <c r="AC392" s="15">
        <v>5</v>
      </c>
      <c r="AD392" s="16" t="str">
        <f t="shared" si="5"/>
        <v>Valid</v>
      </c>
      <c r="AE392" s="16" t="str">
        <f t="shared" si="6"/>
        <v>Valid</v>
      </c>
      <c r="AF392" s="16" t="str">
        <f t="shared" ref="AF392:AG392" si="795">IF(ISNUMBER(B392),"Valid","Invalid")</f>
        <v>Valid</v>
      </c>
      <c r="AG392" s="16" t="str">
        <f t="shared" si="795"/>
        <v>Valid</v>
      </c>
      <c r="AH392" s="16" t="str">
        <f t="shared" ref="AH392:AI392" si="796">IF(OR(B392="",ISBLANK(B392)),"Missing","Valid")</f>
        <v>Valid</v>
      </c>
      <c r="AI392" s="16" t="str">
        <f t="shared" si="796"/>
        <v>Valid</v>
      </c>
      <c r="AJ392" s="16" t="b">
        <v>0</v>
      </c>
      <c r="AK392" s="16" t="b">
        <v>0</v>
      </c>
      <c r="AL392" s="16" t="b">
        <v>0</v>
      </c>
      <c r="AM392" s="16" t="b">
        <v>0</v>
      </c>
      <c r="AN392" s="16" t="b">
        <v>0</v>
      </c>
      <c r="AO392" s="16" t="b">
        <v>0</v>
      </c>
      <c r="AP392" s="16" t="b">
        <v>0</v>
      </c>
      <c r="AQ392" s="17">
        <f t="shared" si="9"/>
        <v>0.2</v>
      </c>
      <c r="AR392" s="12">
        <f t="shared" si="10"/>
        <v>6135.232</v>
      </c>
      <c r="AS392" s="18">
        <f t="shared" si="11"/>
        <v>-2.0000000004074536E-3</v>
      </c>
      <c r="AT392" s="12">
        <f t="shared" si="12"/>
        <v>2695.442</v>
      </c>
      <c r="AU392" s="18">
        <f t="shared" si="13"/>
        <v>-1.9999999999527063E-3</v>
      </c>
      <c r="AV392" s="19">
        <f t="shared" si="14"/>
        <v>0.43933823529411764</v>
      </c>
      <c r="AW392" s="20" t="str">
        <f t="shared" si="15"/>
        <v>November</v>
      </c>
      <c r="AX392" s="21">
        <f t="shared" si="16"/>
        <v>2024</v>
      </c>
    </row>
    <row r="393" spans="1:50" ht="15.75" customHeight="1">
      <c r="A393" s="10" t="s">
        <v>1305</v>
      </c>
      <c r="B393" s="11">
        <v>45702</v>
      </c>
      <c r="C393" s="11">
        <v>45702</v>
      </c>
      <c r="D393" s="10" t="s">
        <v>1306</v>
      </c>
      <c r="E393" s="10" t="s">
        <v>191</v>
      </c>
      <c r="F393" s="10" t="s">
        <v>53</v>
      </c>
      <c r="G393" s="10" t="s">
        <v>83</v>
      </c>
      <c r="H393" s="10" t="s">
        <v>204</v>
      </c>
      <c r="I393" s="10" t="s">
        <v>205</v>
      </c>
      <c r="J393" s="10" t="s">
        <v>57</v>
      </c>
      <c r="K393" s="10" t="s">
        <v>153</v>
      </c>
      <c r="L393" s="10" t="s">
        <v>1307</v>
      </c>
      <c r="M393" s="10" t="s">
        <v>79</v>
      </c>
      <c r="N393" s="12">
        <v>1</v>
      </c>
      <c r="O393" s="12">
        <v>714.43</v>
      </c>
      <c r="P393" s="12">
        <v>0</v>
      </c>
      <c r="Q393" s="12">
        <v>714.43</v>
      </c>
      <c r="R393" s="12">
        <v>565.44000000000005</v>
      </c>
      <c r="S393" s="12">
        <v>148.99</v>
      </c>
      <c r="T393" s="10" t="s">
        <v>61</v>
      </c>
      <c r="U393" s="13" t="s">
        <v>62</v>
      </c>
      <c r="V393" s="14" t="e">
        <f t="shared" ca="1" si="0"/>
        <v>#NAME?</v>
      </c>
      <c r="W393" s="10" t="str">
        <f ca="1">IFERROR(__xludf.DUMMYFUNCTION("IF(COUNTIF($A:$A,A387)=1,
""Unique"",
IF(COUNTUNIQUE(FILTER($V$2:$V$934,$A$2:$A$934=A387))&gt;1,
""Conflicting Duplicate"",
""Exact Duplicate""))"),"Unique")</f>
        <v>Unique</v>
      </c>
      <c r="X393" s="10" t="b">
        <f t="shared" ca="1" si="1"/>
        <v>1</v>
      </c>
      <c r="Y393" s="10" t="str">
        <f t="shared" si="2"/>
        <v>Unique</v>
      </c>
      <c r="Z393" s="10"/>
      <c r="AA393" s="10" t="str">
        <f t="shared" si="3"/>
        <v>Clean</v>
      </c>
      <c r="AB393" s="15" t="str">
        <f t="shared" si="4"/>
        <v>Valid</v>
      </c>
      <c r="AC393" s="15">
        <v>0</v>
      </c>
      <c r="AD393" s="16" t="str">
        <f t="shared" si="5"/>
        <v>Valid</v>
      </c>
      <c r="AE393" s="16" t="str">
        <f t="shared" si="6"/>
        <v>Valid</v>
      </c>
      <c r="AF393" s="16" t="str">
        <f t="shared" ref="AF393:AG393" si="797">IF(ISNUMBER(B393),"Valid","Invalid")</f>
        <v>Valid</v>
      </c>
      <c r="AG393" s="16" t="str">
        <f t="shared" si="797"/>
        <v>Valid</v>
      </c>
      <c r="AH393" s="16" t="str">
        <f t="shared" ref="AH393:AI393" si="798">IF(OR(B393="",ISBLANK(B393)),"Missing","Valid")</f>
        <v>Valid</v>
      </c>
      <c r="AI393" s="16" t="str">
        <f t="shared" si="798"/>
        <v>Valid</v>
      </c>
      <c r="AJ393" s="16" t="b">
        <v>0</v>
      </c>
      <c r="AK393" s="16" t="b">
        <v>0</v>
      </c>
      <c r="AL393" s="16" t="b">
        <v>0</v>
      </c>
      <c r="AM393" s="16" t="b">
        <v>0</v>
      </c>
      <c r="AN393" s="16" t="b">
        <v>0</v>
      </c>
      <c r="AO393" s="16" t="b">
        <v>0</v>
      </c>
      <c r="AP393" s="16" t="b">
        <v>0</v>
      </c>
      <c r="AQ393" s="17">
        <f t="shared" si="9"/>
        <v>0</v>
      </c>
      <c r="AR393" s="12">
        <f t="shared" si="10"/>
        <v>714.43</v>
      </c>
      <c r="AS393" s="18">
        <f t="shared" si="11"/>
        <v>0</v>
      </c>
      <c r="AT393" s="12">
        <f t="shared" si="12"/>
        <v>148.9899999999999</v>
      </c>
      <c r="AU393" s="18">
        <f t="shared" si="13"/>
        <v>0</v>
      </c>
      <c r="AV393" s="19">
        <f t="shared" si="14"/>
        <v>0.20854387413742412</v>
      </c>
      <c r="AW393" s="20" t="str">
        <f t="shared" si="15"/>
        <v>February</v>
      </c>
      <c r="AX393" s="21">
        <f t="shared" si="16"/>
        <v>2025</v>
      </c>
    </row>
    <row r="394" spans="1:50" ht="15.75" customHeight="1">
      <c r="A394" s="10" t="s">
        <v>1308</v>
      </c>
      <c r="B394" s="11">
        <v>45341</v>
      </c>
      <c r="C394" s="11">
        <v>45344</v>
      </c>
      <c r="D394" s="10" t="s">
        <v>1309</v>
      </c>
      <c r="E394" s="10" t="s">
        <v>118</v>
      </c>
      <c r="F394" s="10" t="s">
        <v>66</v>
      </c>
      <c r="G394" s="10" t="s">
        <v>83</v>
      </c>
      <c r="H394" s="10" t="s">
        <v>214</v>
      </c>
      <c r="I394" s="10" t="s">
        <v>215</v>
      </c>
      <c r="J394" s="10" t="s">
        <v>70</v>
      </c>
      <c r="K394" s="10" t="s">
        <v>86</v>
      </c>
      <c r="L394" s="10" t="s">
        <v>1310</v>
      </c>
      <c r="M394" s="10" t="s">
        <v>73</v>
      </c>
      <c r="N394" s="12">
        <v>9</v>
      </c>
      <c r="O394" s="12">
        <v>4053.01</v>
      </c>
      <c r="P394" s="12">
        <v>0</v>
      </c>
      <c r="Q394" s="12">
        <v>36477.089999999997</v>
      </c>
      <c r="R394" s="12">
        <v>24525.48</v>
      </c>
      <c r="S394" s="12">
        <v>11951.61</v>
      </c>
      <c r="T394" s="10" t="s">
        <v>61</v>
      </c>
      <c r="U394" s="13" t="s">
        <v>62</v>
      </c>
      <c r="V394" s="14" t="e">
        <f t="shared" ca="1" si="0"/>
        <v>#NAME?</v>
      </c>
      <c r="W394" s="10" t="str">
        <f ca="1">IFERROR(__xludf.DUMMYFUNCTION("IF(COUNTIF($A:$A,A388)=1,
""Unique"",
IF(COUNTUNIQUE(FILTER($V$2:$V$934,$A$2:$A$934=A388))&gt;1,
""Conflicting Duplicate"",
""Exact Duplicate""))"),"Unique")</f>
        <v>Unique</v>
      </c>
      <c r="X394" s="10" t="b">
        <f t="shared" ca="1" si="1"/>
        <v>1</v>
      </c>
      <c r="Y394" s="10" t="str">
        <f t="shared" si="2"/>
        <v>Unique</v>
      </c>
      <c r="Z394" s="10"/>
      <c r="AA394" s="10" t="str">
        <f t="shared" si="3"/>
        <v>Clean</v>
      </c>
      <c r="AB394" s="15" t="str">
        <f t="shared" si="4"/>
        <v>Valid</v>
      </c>
      <c r="AC394" s="15">
        <v>3</v>
      </c>
      <c r="AD394" s="16" t="str">
        <f t="shared" si="5"/>
        <v>Valid</v>
      </c>
      <c r="AE394" s="16" t="str">
        <f t="shared" si="6"/>
        <v>Valid</v>
      </c>
      <c r="AF394" s="16" t="str">
        <f t="shared" ref="AF394:AG394" si="799">IF(ISNUMBER(B394),"Valid","Invalid")</f>
        <v>Valid</v>
      </c>
      <c r="AG394" s="16" t="str">
        <f t="shared" si="799"/>
        <v>Valid</v>
      </c>
      <c r="AH394" s="16" t="str">
        <f t="shared" ref="AH394:AI394" si="800">IF(OR(B394="",ISBLANK(B394)),"Missing","Valid")</f>
        <v>Valid</v>
      </c>
      <c r="AI394" s="16" t="str">
        <f t="shared" si="800"/>
        <v>Valid</v>
      </c>
      <c r="AJ394" s="16" t="b">
        <v>0</v>
      </c>
      <c r="AK394" s="16" t="b">
        <v>0</v>
      </c>
      <c r="AL394" s="16" t="b">
        <v>0</v>
      </c>
      <c r="AM394" s="16" t="b">
        <v>0</v>
      </c>
      <c r="AN394" s="16" t="b">
        <v>0</v>
      </c>
      <c r="AO394" s="16" t="b">
        <v>0</v>
      </c>
      <c r="AP394" s="16" t="b">
        <v>0</v>
      </c>
      <c r="AQ394" s="17">
        <f t="shared" si="9"/>
        <v>0</v>
      </c>
      <c r="AR394" s="12">
        <f t="shared" si="10"/>
        <v>36477.090000000004</v>
      </c>
      <c r="AS394" s="18">
        <f t="shared" si="11"/>
        <v>0</v>
      </c>
      <c r="AT394" s="12">
        <f t="shared" si="12"/>
        <v>11951.610000000004</v>
      </c>
      <c r="AU394" s="18">
        <f t="shared" si="13"/>
        <v>0</v>
      </c>
      <c r="AV394" s="19">
        <f t="shared" si="14"/>
        <v>0.32764702447481425</v>
      </c>
      <c r="AW394" s="20" t="str">
        <f t="shared" si="15"/>
        <v>February</v>
      </c>
      <c r="AX394" s="21">
        <f t="shared" si="16"/>
        <v>2024</v>
      </c>
    </row>
    <row r="395" spans="1:50" ht="15.75" customHeight="1">
      <c r="A395" s="10" t="s">
        <v>1311</v>
      </c>
      <c r="B395" s="11">
        <v>45527</v>
      </c>
      <c r="C395" s="11">
        <v>45533</v>
      </c>
      <c r="D395" s="10" t="s">
        <v>1312</v>
      </c>
      <c r="E395" s="10" t="s">
        <v>65</v>
      </c>
      <c r="F395" s="10" t="s">
        <v>119</v>
      </c>
      <c r="G395" s="10" t="s">
        <v>54</v>
      </c>
      <c r="H395" s="10" t="s">
        <v>165</v>
      </c>
      <c r="I395" s="10" t="s">
        <v>166</v>
      </c>
      <c r="J395" s="10" t="s">
        <v>57</v>
      </c>
      <c r="K395" s="10" t="s">
        <v>120</v>
      </c>
      <c r="L395" s="10" t="s">
        <v>1313</v>
      </c>
      <c r="M395" s="10" t="s">
        <v>73</v>
      </c>
      <c r="N395" s="12">
        <v>2</v>
      </c>
      <c r="O395" s="12">
        <v>1936.91</v>
      </c>
      <c r="P395" s="12">
        <v>0.05</v>
      </c>
      <c r="Q395" s="12">
        <v>3680.13</v>
      </c>
      <c r="R395" s="12">
        <v>2967.46</v>
      </c>
      <c r="S395" s="12">
        <v>712.67</v>
      </c>
      <c r="T395" s="10" t="s">
        <v>61</v>
      </c>
      <c r="U395" s="13" t="s">
        <v>62</v>
      </c>
      <c r="V395" s="14" t="e">
        <f t="shared" ca="1" si="0"/>
        <v>#NAME?</v>
      </c>
      <c r="W395" s="10" t="str">
        <f ca="1">IFERROR(__xludf.DUMMYFUNCTION("IF(COUNTIF($A:$A,A389)=1,
""Unique"",
IF(COUNTUNIQUE(FILTER($V$2:$V$934,$A$2:$A$934=A389))&gt;1,
""Conflicting Duplicate"",
""Exact Duplicate""))"),"Unique")</f>
        <v>Unique</v>
      </c>
      <c r="X395" s="10" t="b">
        <f t="shared" ca="1" si="1"/>
        <v>1</v>
      </c>
      <c r="Y395" s="10" t="str">
        <f t="shared" si="2"/>
        <v>Unique</v>
      </c>
      <c r="Z395" s="10"/>
      <c r="AA395" s="10" t="str">
        <f t="shared" si="3"/>
        <v>Clean</v>
      </c>
      <c r="AB395" s="15" t="str">
        <f t="shared" si="4"/>
        <v>Valid</v>
      </c>
      <c r="AC395" s="15">
        <v>6</v>
      </c>
      <c r="AD395" s="16" t="str">
        <f t="shared" si="5"/>
        <v>Valid</v>
      </c>
      <c r="AE395" s="16" t="str">
        <f t="shared" si="6"/>
        <v>Valid</v>
      </c>
      <c r="AF395" s="16" t="str">
        <f t="shared" ref="AF395:AG395" si="801">IF(ISNUMBER(B395),"Valid","Invalid")</f>
        <v>Valid</v>
      </c>
      <c r="AG395" s="16" t="str">
        <f t="shared" si="801"/>
        <v>Valid</v>
      </c>
      <c r="AH395" s="16" t="str">
        <f t="shared" ref="AH395:AI395" si="802">IF(OR(B395="",ISBLANK(B395)),"Missing","Valid")</f>
        <v>Valid</v>
      </c>
      <c r="AI395" s="16" t="str">
        <f t="shared" si="802"/>
        <v>Valid</v>
      </c>
      <c r="AJ395" s="16" t="b">
        <v>0</v>
      </c>
      <c r="AK395" s="16" t="b">
        <v>0</v>
      </c>
      <c r="AL395" s="16" t="b">
        <v>0</v>
      </c>
      <c r="AM395" s="16" t="b">
        <v>0</v>
      </c>
      <c r="AN395" s="16" t="b">
        <v>0</v>
      </c>
      <c r="AO395" s="16" t="b">
        <v>0</v>
      </c>
      <c r="AP395" s="16" t="b">
        <v>0</v>
      </c>
      <c r="AQ395" s="17">
        <f t="shared" si="9"/>
        <v>0.05</v>
      </c>
      <c r="AR395" s="12">
        <f t="shared" si="10"/>
        <v>3680.1289999999999</v>
      </c>
      <c r="AS395" s="18">
        <f t="shared" si="11"/>
        <v>1.0000000002037268E-3</v>
      </c>
      <c r="AT395" s="12">
        <f t="shared" si="12"/>
        <v>712.66899999999987</v>
      </c>
      <c r="AU395" s="18">
        <f t="shared" si="13"/>
        <v>1.00000000009004E-3</v>
      </c>
      <c r="AV395" s="19">
        <f t="shared" si="14"/>
        <v>0.19365326595888346</v>
      </c>
      <c r="AW395" s="20" t="str">
        <f t="shared" si="15"/>
        <v>August</v>
      </c>
      <c r="AX395" s="21">
        <f t="shared" si="16"/>
        <v>2024</v>
      </c>
    </row>
    <row r="396" spans="1:50" ht="15.75" customHeight="1">
      <c r="A396" s="10" t="s">
        <v>1314</v>
      </c>
      <c r="B396" s="11">
        <v>45385</v>
      </c>
      <c r="C396" s="11">
        <v>45386</v>
      </c>
      <c r="D396" s="10" t="s">
        <v>1315</v>
      </c>
      <c r="E396" s="10" t="s">
        <v>294</v>
      </c>
      <c r="F396" s="10" t="s">
        <v>53</v>
      </c>
      <c r="G396" s="10" t="s">
        <v>92</v>
      </c>
      <c r="H396" s="10" t="s">
        <v>93</v>
      </c>
      <c r="I396" s="10" t="s">
        <v>94</v>
      </c>
      <c r="J396" s="10" t="s">
        <v>70</v>
      </c>
      <c r="K396" s="10" t="s">
        <v>86</v>
      </c>
      <c r="L396" s="10" t="s">
        <v>1316</v>
      </c>
      <c r="M396" s="10" t="s">
        <v>79</v>
      </c>
      <c r="N396" s="12">
        <v>7</v>
      </c>
      <c r="O396" s="12">
        <v>3945.21</v>
      </c>
      <c r="P396" s="12">
        <v>0</v>
      </c>
      <c r="Q396" s="12">
        <v>27616.47</v>
      </c>
      <c r="R396" s="12">
        <v>21225.26</v>
      </c>
      <c r="S396" s="12">
        <v>6391.21</v>
      </c>
      <c r="T396" s="10" t="s">
        <v>61</v>
      </c>
      <c r="U396" s="13" t="s">
        <v>62</v>
      </c>
      <c r="V396" s="14" t="e">
        <f t="shared" ca="1" si="0"/>
        <v>#NAME?</v>
      </c>
      <c r="W396" s="10" t="str">
        <f ca="1">IFERROR(__xludf.DUMMYFUNCTION("IF(COUNTIF($A:$A,A390)=1,
""Unique"",
IF(COUNTUNIQUE(FILTER($V$2:$V$934,$A$2:$A$934=A390))&gt;1,
""Conflicting Duplicate"",
""Exact Duplicate""))"),"Unique")</f>
        <v>Unique</v>
      </c>
      <c r="X396" s="10" t="b">
        <f t="shared" ca="1" si="1"/>
        <v>1</v>
      </c>
      <c r="Y396" s="10" t="str">
        <f t="shared" si="2"/>
        <v>Unique</v>
      </c>
      <c r="Z396" s="10"/>
      <c r="AA396" s="10" t="str">
        <f t="shared" si="3"/>
        <v>Clean</v>
      </c>
      <c r="AB396" s="15" t="str">
        <f t="shared" si="4"/>
        <v>Valid</v>
      </c>
      <c r="AC396" s="15">
        <v>1</v>
      </c>
      <c r="AD396" s="16" t="str">
        <f t="shared" si="5"/>
        <v>Valid</v>
      </c>
      <c r="AE396" s="16" t="str">
        <f t="shared" si="6"/>
        <v>Valid</v>
      </c>
      <c r="AF396" s="16" t="str">
        <f t="shared" ref="AF396:AG396" si="803">IF(ISNUMBER(B396),"Valid","Invalid")</f>
        <v>Valid</v>
      </c>
      <c r="AG396" s="16" t="str">
        <f t="shared" si="803"/>
        <v>Valid</v>
      </c>
      <c r="AH396" s="16" t="str">
        <f t="shared" ref="AH396:AI396" si="804">IF(OR(B396="",ISBLANK(B396)),"Missing","Valid")</f>
        <v>Valid</v>
      </c>
      <c r="AI396" s="16" t="str">
        <f t="shared" si="804"/>
        <v>Valid</v>
      </c>
      <c r="AJ396" s="16" t="b">
        <v>0</v>
      </c>
      <c r="AK396" s="16" t="b">
        <v>0</v>
      </c>
      <c r="AL396" s="16" t="b">
        <v>0</v>
      </c>
      <c r="AM396" s="16" t="b">
        <v>0</v>
      </c>
      <c r="AN396" s="16" t="b">
        <v>0</v>
      </c>
      <c r="AO396" s="16" t="b">
        <v>0</v>
      </c>
      <c r="AP396" s="16" t="b">
        <v>0</v>
      </c>
      <c r="AQ396" s="17">
        <f t="shared" si="9"/>
        <v>0</v>
      </c>
      <c r="AR396" s="12">
        <f t="shared" si="10"/>
        <v>27616.47</v>
      </c>
      <c r="AS396" s="18">
        <f t="shared" si="11"/>
        <v>0</v>
      </c>
      <c r="AT396" s="12">
        <f t="shared" si="12"/>
        <v>6391.2100000000028</v>
      </c>
      <c r="AU396" s="18">
        <f t="shared" si="13"/>
        <v>0</v>
      </c>
      <c r="AV396" s="19">
        <f t="shared" si="14"/>
        <v>0.23142747787823725</v>
      </c>
      <c r="AW396" s="20" t="str">
        <f t="shared" si="15"/>
        <v>April</v>
      </c>
      <c r="AX396" s="21">
        <f t="shared" si="16"/>
        <v>2024</v>
      </c>
    </row>
    <row r="397" spans="1:50" ht="15.75" customHeight="1">
      <c r="A397" s="10" t="s">
        <v>1317</v>
      </c>
      <c r="B397" s="11">
        <v>45449</v>
      </c>
      <c r="C397" s="11">
        <v>45450</v>
      </c>
      <c r="D397" s="10" t="s">
        <v>1318</v>
      </c>
      <c r="E397" s="10" t="s">
        <v>147</v>
      </c>
      <c r="F397" s="10" t="s">
        <v>124</v>
      </c>
      <c r="G397" s="10" t="s">
        <v>83</v>
      </c>
      <c r="H397" s="10" t="s">
        <v>277</v>
      </c>
      <c r="I397" s="10" t="s">
        <v>278</v>
      </c>
      <c r="J397" s="10" t="s">
        <v>70</v>
      </c>
      <c r="K397" s="10" t="s">
        <v>71</v>
      </c>
      <c r="L397" s="10" t="s">
        <v>1319</v>
      </c>
      <c r="M397" s="10" t="s">
        <v>73</v>
      </c>
      <c r="N397" s="12">
        <v>7</v>
      </c>
      <c r="O397" s="12">
        <v>861.91</v>
      </c>
      <c r="P397" s="12">
        <v>0.05</v>
      </c>
      <c r="Q397" s="12">
        <v>5731.7</v>
      </c>
      <c r="R397" s="12">
        <v>4115.5600000000004</v>
      </c>
      <c r="S397" s="12">
        <v>1616.14</v>
      </c>
      <c r="T397" s="10" t="s">
        <v>61</v>
      </c>
      <c r="U397" s="13" t="s">
        <v>62</v>
      </c>
      <c r="V397" s="14" t="e">
        <f t="shared" ca="1" si="0"/>
        <v>#NAME?</v>
      </c>
      <c r="W397" s="10" t="str">
        <f ca="1">IFERROR(__xludf.DUMMYFUNCTION("IF(COUNTIF($A:$A,A391)=1,
""Unique"",
IF(COUNTUNIQUE(FILTER($V$2:$V$934,$A$2:$A$934=A391))&gt;1,
""Conflicting Duplicate"",
""Exact Duplicate""))"),"Unique")</f>
        <v>Unique</v>
      </c>
      <c r="X397" s="10" t="b">
        <f t="shared" ca="1" si="1"/>
        <v>1</v>
      </c>
      <c r="Y397" s="10" t="str">
        <f t="shared" si="2"/>
        <v>Unique</v>
      </c>
      <c r="Z397" s="10"/>
      <c r="AA397" s="10" t="str">
        <f t="shared" si="3"/>
        <v>Clean</v>
      </c>
      <c r="AB397" s="15" t="str">
        <f t="shared" si="4"/>
        <v>Valid</v>
      </c>
      <c r="AC397" s="15">
        <v>1</v>
      </c>
      <c r="AD397" s="16" t="str">
        <f t="shared" si="5"/>
        <v>Valid</v>
      </c>
      <c r="AE397" s="16" t="str">
        <f t="shared" si="6"/>
        <v>Valid</v>
      </c>
      <c r="AF397" s="16" t="str">
        <f t="shared" ref="AF397:AG397" si="805">IF(ISNUMBER(B397),"Valid","Invalid")</f>
        <v>Valid</v>
      </c>
      <c r="AG397" s="16" t="str">
        <f t="shared" si="805"/>
        <v>Valid</v>
      </c>
      <c r="AH397" s="16" t="str">
        <f t="shared" ref="AH397:AI397" si="806">IF(OR(B397="",ISBLANK(B397)),"Missing","Valid")</f>
        <v>Valid</v>
      </c>
      <c r="AI397" s="16" t="str">
        <f t="shared" si="806"/>
        <v>Valid</v>
      </c>
      <c r="AJ397" s="16" t="b">
        <v>0</v>
      </c>
      <c r="AK397" s="16" t="b">
        <v>0</v>
      </c>
      <c r="AL397" s="16" t="b">
        <v>0</v>
      </c>
      <c r="AM397" s="16" t="b">
        <v>0</v>
      </c>
      <c r="AN397" s="16" t="b">
        <v>0</v>
      </c>
      <c r="AO397" s="16" t="b">
        <v>0</v>
      </c>
      <c r="AP397" s="16" t="b">
        <v>0</v>
      </c>
      <c r="AQ397" s="17">
        <f t="shared" si="9"/>
        <v>0.05</v>
      </c>
      <c r="AR397" s="12">
        <f t="shared" si="10"/>
        <v>5731.7014999999992</v>
      </c>
      <c r="AS397" s="18">
        <f t="shared" si="11"/>
        <v>-1.4999999993960955E-3</v>
      </c>
      <c r="AT397" s="12">
        <f t="shared" si="12"/>
        <v>1616.1414999999988</v>
      </c>
      <c r="AU397" s="18">
        <f t="shared" si="13"/>
        <v>-1.4999999987139745E-3</v>
      </c>
      <c r="AV397" s="19">
        <f t="shared" si="14"/>
        <v>0.28196539893084088</v>
      </c>
      <c r="AW397" s="20" t="str">
        <f t="shared" si="15"/>
        <v>June</v>
      </c>
      <c r="AX397" s="21">
        <f t="shared" si="16"/>
        <v>2024</v>
      </c>
    </row>
    <row r="398" spans="1:50" ht="15.75" customHeight="1">
      <c r="A398" s="10" t="s">
        <v>1320</v>
      </c>
      <c r="B398" s="11">
        <v>45761</v>
      </c>
      <c r="C398" s="11">
        <v>45769</v>
      </c>
      <c r="D398" s="10" t="s">
        <v>1321</v>
      </c>
      <c r="E398" s="10" t="s">
        <v>118</v>
      </c>
      <c r="F398" s="10" t="s">
        <v>66</v>
      </c>
      <c r="G398" s="10" t="s">
        <v>83</v>
      </c>
      <c r="H398" s="10" t="s">
        <v>204</v>
      </c>
      <c r="I398" s="10" t="s">
        <v>205</v>
      </c>
      <c r="J398" s="10" t="s">
        <v>103</v>
      </c>
      <c r="K398" s="10" t="s">
        <v>304</v>
      </c>
      <c r="L398" s="10" t="s">
        <v>1322</v>
      </c>
      <c r="M398" s="10" t="s">
        <v>88</v>
      </c>
      <c r="N398" s="12">
        <v>2</v>
      </c>
      <c r="O398" s="12">
        <v>638.73</v>
      </c>
      <c r="P398" s="12">
        <v>0.05</v>
      </c>
      <c r="Q398" s="12">
        <v>1213.5899999999999</v>
      </c>
      <c r="R398" s="12">
        <v>956.22</v>
      </c>
      <c r="S398" s="12">
        <v>257.37</v>
      </c>
      <c r="T398" s="10" t="s">
        <v>61</v>
      </c>
      <c r="U398" s="13" t="s">
        <v>62</v>
      </c>
      <c r="V398" s="14" t="e">
        <f t="shared" ca="1" si="0"/>
        <v>#NAME?</v>
      </c>
      <c r="W398" s="10" t="str">
        <f ca="1">IFERROR(__xludf.DUMMYFUNCTION("IF(COUNTIF($A:$A,A392)=1,
""Unique"",
IF(COUNTUNIQUE(FILTER($V$2:$V$934,$A$2:$A$934=A392))&gt;1,
""Conflicting Duplicate"",
""Exact Duplicate""))"),"Unique")</f>
        <v>Unique</v>
      </c>
      <c r="X398" s="10" t="b">
        <f t="shared" ca="1" si="1"/>
        <v>1</v>
      </c>
      <c r="Y398" s="10" t="str">
        <f t="shared" si="2"/>
        <v>Unique</v>
      </c>
      <c r="Z398" s="10"/>
      <c r="AA398" s="10" t="str">
        <f t="shared" si="3"/>
        <v>Clean</v>
      </c>
      <c r="AB398" s="15" t="str">
        <f t="shared" si="4"/>
        <v>Valid</v>
      </c>
      <c r="AC398" s="15">
        <v>8</v>
      </c>
      <c r="AD398" s="16" t="str">
        <f t="shared" si="5"/>
        <v>Valid</v>
      </c>
      <c r="AE398" s="16" t="str">
        <f t="shared" si="6"/>
        <v>Valid</v>
      </c>
      <c r="AF398" s="16" t="str">
        <f t="shared" ref="AF398:AG398" si="807">IF(ISNUMBER(B398),"Valid","Invalid")</f>
        <v>Valid</v>
      </c>
      <c r="AG398" s="16" t="str">
        <f t="shared" si="807"/>
        <v>Valid</v>
      </c>
      <c r="AH398" s="16" t="str">
        <f t="shared" ref="AH398:AI398" si="808">IF(OR(B398="",ISBLANK(B398)),"Missing","Valid")</f>
        <v>Valid</v>
      </c>
      <c r="AI398" s="16" t="str">
        <f t="shared" si="808"/>
        <v>Valid</v>
      </c>
      <c r="AJ398" s="16" t="b">
        <v>0</v>
      </c>
      <c r="AK398" s="16" t="b">
        <v>0</v>
      </c>
      <c r="AL398" s="16" t="b">
        <v>0</v>
      </c>
      <c r="AM398" s="16" t="b">
        <v>0</v>
      </c>
      <c r="AN398" s="16" t="b">
        <v>0</v>
      </c>
      <c r="AO398" s="16" t="b">
        <v>0</v>
      </c>
      <c r="AP398" s="16" t="b">
        <v>0</v>
      </c>
      <c r="AQ398" s="17">
        <f t="shared" si="9"/>
        <v>0.05</v>
      </c>
      <c r="AR398" s="12">
        <f t="shared" si="10"/>
        <v>1213.587</v>
      </c>
      <c r="AS398" s="18">
        <f t="shared" si="11"/>
        <v>2.9999999999290594E-3</v>
      </c>
      <c r="AT398" s="12">
        <f t="shared" si="12"/>
        <v>257.36699999999996</v>
      </c>
      <c r="AU398" s="18">
        <f t="shared" si="13"/>
        <v>3.0000000000427463E-3</v>
      </c>
      <c r="AV398" s="19">
        <f t="shared" si="14"/>
        <v>0.21207132245154239</v>
      </c>
      <c r="AW398" s="20" t="str">
        <f t="shared" si="15"/>
        <v>April</v>
      </c>
      <c r="AX398" s="21">
        <f t="shared" si="16"/>
        <v>2025</v>
      </c>
    </row>
    <row r="399" spans="1:50" ht="15.75" customHeight="1">
      <c r="A399" s="10" t="s">
        <v>1323</v>
      </c>
      <c r="B399" s="11">
        <v>45817</v>
      </c>
      <c r="C399" s="11">
        <v>45818</v>
      </c>
      <c r="D399" s="10" t="s">
        <v>1324</v>
      </c>
      <c r="E399" s="10" t="s">
        <v>161</v>
      </c>
      <c r="F399" s="10" t="s">
        <v>66</v>
      </c>
      <c r="G399" s="10" t="s">
        <v>54</v>
      </c>
      <c r="H399" s="10" t="s">
        <v>165</v>
      </c>
      <c r="I399" s="10" t="s">
        <v>166</v>
      </c>
      <c r="J399" s="10" t="s">
        <v>70</v>
      </c>
      <c r="K399" s="10" t="s">
        <v>71</v>
      </c>
      <c r="L399" s="10" t="s">
        <v>1325</v>
      </c>
      <c r="M399" s="10" t="s">
        <v>60</v>
      </c>
      <c r="N399" s="12">
        <v>2</v>
      </c>
      <c r="O399" s="12">
        <v>1731.88</v>
      </c>
      <c r="P399" s="12">
        <v>0</v>
      </c>
      <c r="Q399" s="12">
        <v>3463.76</v>
      </c>
      <c r="R399" s="12">
        <v>2143.7399999999998</v>
      </c>
      <c r="S399" s="12">
        <v>1320.02</v>
      </c>
      <c r="T399" s="10" t="s">
        <v>61</v>
      </c>
      <c r="U399" s="13" t="s">
        <v>62</v>
      </c>
      <c r="V399" s="14" t="e">
        <f t="shared" ca="1" si="0"/>
        <v>#NAME?</v>
      </c>
      <c r="W399" s="10" t="str">
        <f ca="1">IFERROR(__xludf.DUMMYFUNCTION("IF(COUNTIF($A:$A,A393)=1,
""Unique"",
IF(COUNTUNIQUE(FILTER($V$2:$V$934,$A$2:$A$934=A393))&gt;1,
""Conflicting Duplicate"",
""Exact Duplicate""))"),"Unique")</f>
        <v>Unique</v>
      </c>
      <c r="X399" s="10" t="b">
        <f t="shared" ca="1" si="1"/>
        <v>1</v>
      </c>
      <c r="Y399" s="10" t="str">
        <f t="shared" si="2"/>
        <v>Unique</v>
      </c>
      <c r="Z399" s="10"/>
      <c r="AA399" s="10" t="str">
        <f t="shared" si="3"/>
        <v>Clean</v>
      </c>
      <c r="AB399" s="15" t="str">
        <f t="shared" si="4"/>
        <v>Valid</v>
      </c>
      <c r="AC399" s="15">
        <v>1</v>
      </c>
      <c r="AD399" s="16" t="str">
        <f t="shared" si="5"/>
        <v>Valid</v>
      </c>
      <c r="AE399" s="16" t="str">
        <f t="shared" si="6"/>
        <v>Valid</v>
      </c>
      <c r="AF399" s="16" t="str">
        <f t="shared" ref="AF399:AG399" si="809">IF(ISNUMBER(B399),"Valid","Invalid")</f>
        <v>Valid</v>
      </c>
      <c r="AG399" s="16" t="str">
        <f t="shared" si="809"/>
        <v>Valid</v>
      </c>
      <c r="AH399" s="16" t="str">
        <f t="shared" ref="AH399:AI399" si="810">IF(OR(B399="",ISBLANK(B399)),"Missing","Valid")</f>
        <v>Valid</v>
      </c>
      <c r="AI399" s="16" t="str">
        <f t="shared" si="810"/>
        <v>Valid</v>
      </c>
      <c r="AJ399" s="16" t="b">
        <v>0</v>
      </c>
      <c r="AK399" s="16" t="b">
        <v>0</v>
      </c>
      <c r="AL399" s="16" t="b">
        <v>0</v>
      </c>
      <c r="AM399" s="16" t="b">
        <v>0</v>
      </c>
      <c r="AN399" s="16" t="b">
        <v>0</v>
      </c>
      <c r="AO399" s="16" t="b">
        <v>0</v>
      </c>
      <c r="AP399" s="16" t="b">
        <v>0</v>
      </c>
      <c r="AQ399" s="17">
        <f t="shared" si="9"/>
        <v>0</v>
      </c>
      <c r="AR399" s="12">
        <f t="shared" si="10"/>
        <v>3463.76</v>
      </c>
      <c r="AS399" s="18">
        <f t="shared" si="11"/>
        <v>0</v>
      </c>
      <c r="AT399" s="12">
        <f t="shared" si="12"/>
        <v>1320.0200000000004</v>
      </c>
      <c r="AU399" s="18">
        <f t="shared" si="13"/>
        <v>0</v>
      </c>
      <c r="AV399" s="19">
        <f t="shared" si="14"/>
        <v>0.38109453310852959</v>
      </c>
      <c r="AW399" s="20" t="str">
        <f t="shared" si="15"/>
        <v>June</v>
      </c>
      <c r="AX399" s="21">
        <f t="shared" si="16"/>
        <v>2025</v>
      </c>
    </row>
    <row r="400" spans="1:50" ht="15.75" customHeight="1">
      <c r="A400" s="10" t="s">
        <v>1326</v>
      </c>
      <c r="B400" s="11">
        <v>45492</v>
      </c>
      <c r="C400" s="11">
        <v>45499</v>
      </c>
      <c r="D400" s="10" t="s">
        <v>1327</v>
      </c>
      <c r="E400" s="10" t="s">
        <v>100</v>
      </c>
      <c r="F400" s="10" t="s">
        <v>119</v>
      </c>
      <c r="G400" s="10" t="s">
        <v>54</v>
      </c>
      <c r="H400" s="10" t="s">
        <v>151</v>
      </c>
      <c r="I400" s="10" t="s">
        <v>152</v>
      </c>
      <c r="J400" s="10" t="s">
        <v>103</v>
      </c>
      <c r="K400" s="10" t="s">
        <v>304</v>
      </c>
      <c r="L400" s="10" t="s">
        <v>1328</v>
      </c>
      <c r="M400" s="10" t="s">
        <v>73</v>
      </c>
      <c r="N400" s="12">
        <v>2</v>
      </c>
      <c r="O400" s="12">
        <v>1263.6500000000001</v>
      </c>
      <c r="P400" s="12">
        <v>0.2</v>
      </c>
      <c r="Q400" s="12">
        <v>2021.84</v>
      </c>
      <c r="R400" s="12">
        <v>1355.22</v>
      </c>
      <c r="S400" s="12">
        <v>666.62</v>
      </c>
      <c r="T400" s="10" t="s">
        <v>61</v>
      </c>
      <c r="U400" s="13" t="s">
        <v>62</v>
      </c>
      <c r="V400" s="14" t="e">
        <f t="shared" ca="1" si="0"/>
        <v>#NAME?</v>
      </c>
      <c r="W400" s="10" t="str">
        <f ca="1">IFERROR(__xludf.DUMMYFUNCTION("IF(COUNTIF($A:$A,A394)=1,
""Unique"",
IF(COUNTUNIQUE(FILTER($V$2:$V$934,$A$2:$A$934=A394))&gt;1,
""Conflicting Duplicate"",
""Exact Duplicate""))"),"Unique")</f>
        <v>Unique</v>
      </c>
      <c r="X400" s="10" t="b">
        <f t="shared" ca="1" si="1"/>
        <v>1</v>
      </c>
      <c r="Y400" s="10" t="str">
        <f t="shared" si="2"/>
        <v>Unique</v>
      </c>
      <c r="Z400" s="10"/>
      <c r="AA400" s="10" t="str">
        <f t="shared" si="3"/>
        <v>Clean</v>
      </c>
      <c r="AB400" s="15" t="str">
        <f t="shared" si="4"/>
        <v>Valid</v>
      </c>
      <c r="AC400" s="15">
        <v>7</v>
      </c>
      <c r="AD400" s="16" t="str">
        <f t="shared" si="5"/>
        <v>Valid</v>
      </c>
      <c r="AE400" s="16" t="str">
        <f t="shared" si="6"/>
        <v>Valid</v>
      </c>
      <c r="AF400" s="16" t="str">
        <f t="shared" ref="AF400:AG400" si="811">IF(ISNUMBER(B400),"Valid","Invalid")</f>
        <v>Valid</v>
      </c>
      <c r="AG400" s="16" t="str">
        <f t="shared" si="811"/>
        <v>Valid</v>
      </c>
      <c r="AH400" s="16" t="str">
        <f t="shared" ref="AH400:AI400" si="812">IF(OR(B400="",ISBLANK(B400)),"Missing","Valid")</f>
        <v>Valid</v>
      </c>
      <c r="AI400" s="16" t="str">
        <f t="shared" si="812"/>
        <v>Valid</v>
      </c>
      <c r="AJ400" s="16" t="b">
        <v>0</v>
      </c>
      <c r="AK400" s="16" t="b">
        <v>0</v>
      </c>
      <c r="AL400" s="16" t="b">
        <v>0</v>
      </c>
      <c r="AM400" s="16" t="b">
        <v>0</v>
      </c>
      <c r="AN400" s="16" t="b">
        <v>0</v>
      </c>
      <c r="AO400" s="16" t="b">
        <v>0</v>
      </c>
      <c r="AP400" s="16" t="b">
        <v>0</v>
      </c>
      <c r="AQ400" s="17">
        <f t="shared" si="9"/>
        <v>0.2</v>
      </c>
      <c r="AR400" s="12">
        <f t="shared" si="10"/>
        <v>2021.8400000000001</v>
      </c>
      <c r="AS400" s="18">
        <f t="shared" si="11"/>
        <v>0</v>
      </c>
      <c r="AT400" s="12">
        <f t="shared" si="12"/>
        <v>666.62000000000012</v>
      </c>
      <c r="AU400" s="18">
        <f t="shared" si="13"/>
        <v>0</v>
      </c>
      <c r="AV400" s="19">
        <f t="shared" si="14"/>
        <v>0.32970957147944452</v>
      </c>
      <c r="AW400" s="20" t="str">
        <f t="shared" si="15"/>
        <v>July</v>
      </c>
      <c r="AX400" s="21">
        <f t="shared" si="16"/>
        <v>2024</v>
      </c>
    </row>
    <row r="401" spans="1:50" ht="15.75" customHeight="1">
      <c r="A401" s="10" t="s">
        <v>1329</v>
      </c>
      <c r="B401" s="11">
        <v>45771</v>
      </c>
      <c r="C401" s="11">
        <v>45776</v>
      </c>
      <c r="D401" s="10" t="s">
        <v>1330</v>
      </c>
      <c r="E401" s="10" t="s">
        <v>191</v>
      </c>
      <c r="F401" s="10" t="s">
        <v>66</v>
      </c>
      <c r="G401" s="10" t="s">
        <v>83</v>
      </c>
      <c r="H401" s="10" t="s">
        <v>113</v>
      </c>
      <c r="I401" s="10" t="s">
        <v>114</v>
      </c>
      <c r="J401" s="10" t="s">
        <v>57</v>
      </c>
      <c r="K401" s="10" t="s">
        <v>58</v>
      </c>
      <c r="L401" s="10" t="s">
        <v>1331</v>
      </c>
      <c r="M401" s="10" t="s">
        <v>73</v>
      </c>
      <c r="N401" s="12">
        <v>1</v>
      </c>
      <c r="O401" s="12">
        <v>4358.5</v>
      </c>
      <c r="P401" s="12">
        <v>0.25</v>
      </c>
      <c r="Q401" s="12">
        <v>3268.88</v>
      </c>
      <c r="R401" s="12">
        <v>1993.74</v>
      </c>
      <c r="S401" s="12">
        <v>1275.1400000000001</v>
      </c>
      <c r="T401" s="10" t="s">
        <v>61</v>
      </c>
      <c r="U401" s="13" t="s">
        <v>62</v>
      </c>
      <c r="V401" s="14" t="e">
        <f t="shared" ca="1" si="0"/>
        <v>#NAME?</v>
      </c>
      <c r="W401" s="10" t="str">
        <f ca="1">IFERROR(__xludf.DUMMYFUNCTION("IF(COUNTIF($A:$A,A395)=1,
""Unique"",
IF(COUNTUNIQUE(FILTER($V$2:$V$934,$A$2:$A$934=A395))&gt;1,
""Conflicting Duplicate"",
""Exact Duplicate""))"),"Unique")</f>
        <v>Unique</v>
      </c>
      <c r="X401" s="10" t="b">
        <f t="shared" ca="1" si="1"/>
        <v>1</v>
      </c>
      <c r="Y401" s="10" t="str">
        <f t="shared" si="2"/>
        <v>Duplicate Order ID</v>
      </c>
      <c r="Z401" s="10"/>
      <c r="AA401" s="10" t="str">
        <f t="shared" si="3"/>
        <v>Clean</v>
      </c>
      <c r="AB401" s="15" t="str">
        <f t="shared" si="4"/>
        <v>Valid</v>
      </c>
      <c r="AC401" s="15">
        <v>5</v>
      </c>
      <c r="AD401" s="16" t="str">
        <f t="shared" si="5"/>
        <v>Valid</v>
      </c>
      <c r="AE401" s="16" t="str">
        <f t="shared" si="6"/>
        <v>Valid</v>
      </c>
      <c r="AF401" s="16" t="str">
        <f t="shared" ref="AF401:AG401" si="813">IF(ISNUMBER(B401),"Valid","Invalid")</f>
        <v>Valid</v>
      </c>
      <c r="AG401" s="16" t="str">
        <f t="shared" si="813"/>
        <v>Valid</v>
      </c>
      <c r="AH401" s="16" t="str">
        <f t="shared" ref="AH401:AI401" si="814">IF(OR(B401="",ISBLANK(B401)),"Missing","Valid")</f>
        <v>Valid</v>
      </c>
      <c r="AI401" s="16" t="str">
        <f t="shared" si="814"/>
        <v>Valid</v>
      </c>
      <c r="AJ401" s="16" t="b">
        <v>0</v>
      </c>
      <c r="AK401" s="16" t="b">
        <v>0</v>
      </c>
      <c r="AL401" s="16" t="b">
        <v>0</v>
      </c>
      <c r="AM401" s="16" t="b">
        <v>0</v>
      </c>
      <c r="AN401" s="16" t="b">
        <v>0</v>
      </c>
      <c r="AO401" s="16" t="b">
        <v>0</v>
      </c>
      <c r="AP401" s="16" t="b">
        <v>0</v>
      </c>
      <c r="AQ401" s="17">
        <f t="shared" si="9"/>
        <v>0.25</v>
      </c>
      <c r="AR401" s="12">
        <f t="shared" si="10"/>
        <v>3268.875</v>
      </c>
      <c r="AS401" s="18">
        <f t="shared" si="11"/>
        <v>5.0000000001091394E-3</v>
      </c>
      <c r="AT401" s="12">
        <f t="shared" si="12"/>
        <v>1275.135</v>
      </c>
      <c r="AU401" s="18">
        <f t="shared" si="13"/>
        <v>5.0000000001091394E-3</v>
      </c>
      <c r="AV401" s="19">
        <f t="shared" si="14"/>
        <v>0.39008374440747962</v>
      </c>
      <c r="AW401" s="20" t="str">
        <f t="shared" si="15"/>
        <v>April</v>
      </c>
      <c r="AX401" s="21">
        <f t="shared" si="16"/>
        <v>2025</v>
      </c>
    </row>
    <row r="402" spans="1:50" ht="15.75" customHeight="1">
      <c r="A402" s="10" t="s">
        <v>1332</v>
      </c>
      <c r="B402" s="11">
        <v>45814</v>
      </c>
      <c r="C402" s="11">
        <v>45819</v>
      </c>
      <c r="D402" s="10" t="s">
        <v>1333</v>
      </c>
      <c r="E402" s="10" t="s">
        <v>161</v>
      </c>
      <c r="F402" s="10" t="s">
        <v>66</v>
      </c>
      <c r="G402" s="10" t="s">
        <v>54</v>
      </c>
      <c r="H402" s="10" t="s">
        <v>165</v>
      </c>
      <c r="I402" s="10" t="s">
        <v>166</v>
      </c>
      <c r="J402" s="10" t="s">
        <v>57</v>
      </c>
      <c r="K402" s="10" t="s">
        <v>58</v>
      </c>
      <c r="L402" s="10" t="s">
        <v>1334</v>
      </c>
      <c r="M402" s="10" t="s">
        <v>73</v>
      </c>
      <c r="N402" s="12">
        <v>7</v>
      </c>
      <c r="O402" s="12">
        <v>878.09</v>
      </c>
      <c r="P402" s="12">
        <v>-0.1</v>
      </c>
      <c r="Q402" s="12">
        <v>5839.3</v>
      </c>
      <c r="R402" s="12">
        <v>4877.38</v>
      </c>
      <c r="S402" s="12">
        <v>961.92</v>
      </c>
      <c r="T402" s="10" t="s">
        <v>61</v>
      </c>
      <c r="U402" s="13" t="s">
        <v>62</v>
      </c>
      <c r="V402" s="14" t="e">
        <f t="shared" ca="1" si="0"/>
        <v>#NAME?</v>
      </c>
      <c r="W402" s="10" t="str">
        <f ca="1">IFERROR(__xludf.DUMMYFUNCTION("IF(COUNTIF($A:$A,A396)=1,
""Unique"",
IF(COUNTUNIQUE(FILTER($V$2:$V$934,$A$2:$A$934=A396))&gt;1,
""Conflicting Duplicate"",
""Exact Duplicate""))"),"Unique")</f>
        <v>Unique</v>
      </c>
      <c r="X402" s="10" t="b">
        <f t="shared" ca="1" si="1"/>
        <v>1</v>
      </c>
      <c r="Y402" s="10" t="str">
        <f t="shared" si="2"/>
        <v>Unique</v>
      </c>
      <c r="Z402" s="10"/>
      <c r="AA402" s="10" t="str">
        <f t="shared" si="3"/>
        <v>Invalid</v>
      </c>
      <c r="AB402" s="15" t="str">
        <f t="shared" si="4"/>
        <v>Valid</v>
      </c>
      <c r="AC402" s="15">
        <v>5</v>
      </c>
      <c r="AD402" s="16" t="str">
        <f t="shared" si="5"/>
        <v>Valid</v>
      </c>
      <c r="AE402" s="16" t="str">
        <f t="shared" si="6"/>
        <v>Valid</v>
      </c>
      <c r="AF402" s="16" t="str">
        <f t="shared" ref="AF402:AG402" si="815">IF(ISNUMBER(B402),"Valid","Invalid")</f>
        <v>Valid</v>
      </c>
      <c r="AG402" s="16" t="str">
        <f t="shared" si="815"/>
        <v>Valid</v>
      </c>
      <c r="AH402" s="16" t="str">
        <f t="shared" ref="AH402:AI402" si="816">IF(OR(B402="",ISBLANK(B402)),"Missing","Valid")</f>
        <v>Valid</v>
      </c>
      <c r="AI402" s="16" t="str">
        <f t="shared" si="816"/>
        <v>Valid</v>
      </c>
      <c r="AJ402" s="16" t="b">
        <v>0</v>
      </c>
      <c r="AK402" s="16" t="b">
        <v>0</v>
      </c>
      <c r="AL402" s="16" t="b">
        <v>0</v>
      </c>
      <c r="AM402" s="16" t="b">
        <v>1</v>
      </c>
      <c r="AN402" s="16" t="b">
        <v>0</v>
      </c>
      <c r="AO402" s="16" t="b">
        <v>0</v>
      </c>
      <c r="AP402" s="16" t="b">
        <v>1</v>
      </c>
      <c r="AQ402" s="17">
        <f t="shared" si="9"/>
        <v>-0.1</v>
      </c>
      <c r="AR402" s="12">
        <f t="shared" si="10"/>
        <v>6761.2930000000006</v>
      </c>
      <c r="AS402" s="18">
        <f t="shared" si="11"/>
        <v>-921.99300000000039</v>
      </c>
      <c r="AT402" s="12">
        <f t="shared" si="12"/>
        <v>1883.9130000000005</v>
      </c>
      <c r="AU402" s="18">
        <f t="shared" si="13"/>
        <v>-921.99300000000051</v>
      </c>
      <c r="AV402" s="19">
        <f t="shared" si="14"/>
        <v>0.27863206046535777</v>
      </c>
      <c r="AW402" s="20" t="str">
        <f t="shared" si="15"/>
        <v>June</v>
      </c>
      <c r="AX402" s="21">
        <f t="shared" si="16"/>
        <v>2025</v>
      </c>
    </row>
    <row r="403" spans="1:50" ht="15.75" customHeight="1">
      <c r="A403" s="10" t="s">
        <v>1335</v>
      </c>
      <c r="B403" s="11">
        <v>45725</v>
      </c>
      <c r="C403" s="11">
        <v>45732</v>
      </c>
      <c r="D403" s="10" t="s">
        <v>1336</v>
      </c>
      <c r="E403" s="10" t="s">
        <v>82</v>
      </c>
      <c r="F403" s="10" t="s">
        <v>66</v>
      </c>
      <c r="G403" s="10" t="s">
        <v>67</v>
      </c>
      <c r="H403" s="10" t="s">
        <v>258</v>
      </c>
      <c r="I403" s="10" t="s">
        <v>259</v>
      </c>
      <c r="J403" s="10" t="s">
        <v>70</v>
      </c>
      <c r="K403" s="10" t="s">
        <v>71</v>
      </c>
      <c r="L403" s="10" t="s">
        <v>1337</v>
      </c>
      <c r="M403" s="10" t="s">
        <v>73</v>
      </c>
      <c r="N403" s="12">
        <v>3</v>
      </c>
      <c r="O403" s="12">
        <v>2625.85</v>
      </c>
      <c r="P403" s="12">
        <v>0</v>
      </c>
      <c r="Q403" s="12">
        <v>7877.55</v>
      </c>
      <c r="R403" s="12">
        <v>5562.77</v>
      </c>
      <c r="S403" s="12">
        <v>2314.7800000000002</v>
      </c>
      <c r="T403" s="10" t="s">
        <v>61</v>
      </c>
      <c r="U403" s="13" t="s">
        <v>62</v>
      </c>
      <c r="V403" s="14" t="e">
        <f t="shared" ca="1" si="0"/>
        <v>#NAME?</v>
      </c>
      <c r="W403" s="10" t="str">
        <f ca="1">IFERROR(__xludf.DUMMYFUNCTION("IF(COUNTIF($A:$A,A397)=1,
""Unique"",
IF(COUNTUNIQUE(FILTER($V$2:$V$934,$A$2:$A$934=A397))&gt;1,
""Conflicting Duplicate"",
""Exact Duplicate""))"),"Unique")</f>
        <v>Unique</v>
      </c>
      <c r="X403" s="10" t="b">
        <f t="shared" ca="1" si="1"/>
        <v>1</v>
      </c>
      <c r="Y403" s="10" t="str">
        <f t="shared" si="2"/>
        <v>Unique</v>
      </c>
      <c r="Z403" s="10"/>
      <c r="AA403" s="10" t="str">
        <f t="shared" si="3"/>
        <v>Clean</v>
      </c>
      <c r="AB403" s="15" t="str">
        <f t="shared" si="4"/>
        <v>Valid</v>
      </c>
      <c r="AC403" s="15">
        <v>7</v>
      </c>
      <c r="AD403" s="16" t="str">
        <f t="shared" si="5"/>
        <v>Valid</v>
      </c>
      <c r="AE403" s="16" t="str">
        <f t="shared" si="6"/>
        <v>Valid</v>
      </c>
      <c r="AF403" s="16" t="str">
        <f t="shared" ref="AF403:AG403" si="817">IF(ISNUMBER(B403),"Valid","Invalid")</f>
        <v>Valid</v>
      </c>
      <c r="AG403" s="16" t="str">
        <f t="shared" si="817"/>
        <v>Valid</v>
      </c>
      <c r="AH403" s="16" t="str">
        <f t="shared" ref="AH403:AI403" si="818">IF(OR(B403="",ISBLANK(B403)),"Missing","Valid")</f>
        <v>Valid</v>
      </c>
      <c r="AI403" s="16" t="str">
        <f t="shared" si="818"/>
        <v>Valid</v>
      </c>
      <c r="AJ403" s="16" t="b">
        <v>0</v>
      </c>
      <c r="AK403" s="16" t="b">
        <v>0</v>
      </c>
      <c r="AL403" s="16" t="b">
        <v>0</v>
      </c>
      <c r="AM403" s="16" t="b">
        <v>0</v>
      </c>
      <c r="AN403" s="16" t="b">
        <v>0</v>
      </c>
      <c r="AO403" s="16" t="b">
        <v>0</v>
      </c>
      <c r="AP403" s="16" t="b">
        <v>0</v>
      </c>
      <c r="AQ403" s="17">
        <f t="shared" si="9"/>
        <v>0</v>
      </c>
      <c r="AR403" s="12">
        <f t="shared" si="10"/>
        <v>7877.5499999999993</v>
      </c>
      <c r="AS403" s="18">
        <f t="shared" si="11"/>
        <v>0</v>
      </c>
      <c r="AT403" s="12">
        <f t="shared" si="12"/>
        <v>2314.7799999999988</v>
      </c>
      <c r="AU403" s="18">
        <f t="shared" si="13"/>
        <v>0</v>
      </c>
      <c r="AV403" s="19">
        <f t="shared" si="14"/>
        <v>0.29384516759652418</v>
      </c>
      <c r="AW403" s="20" t="str">
        <f t="shared" si="15"/>
        <v>March</v>
      </c>
      <c r="AX403" s="21">
        <f t="shared" si="16"/>
        <v>2025</v>
      </c>
    </row>
    <row r="404" spans="1:50" ht="15.75" customHeight="1">
      <c r="A404" s="10" t="s">
        <v>1338</v>
      </c>
      <c r="B404" s="11">
        <v>45373</v>
      </c>
      <c r="C404" s="11">
        <v>45373</v>
      </c>
      <c r="D404" s="10" t="s">
        <v>1339</v>
      </c>
      <c r="E404" s="10" t="s">
        <v>143</v>
      </c>
      <c r="F404" s="10" t="s">
        <v>66</v>
      </c>
      <c r="G404" s="10" t="s">
        <v>83</v>
      </c>
      <c r="H404" s="10" t="s">
        <v>204</v>
      </c>
      <c r="I404" s="10" t="s">
        <v>205</v>
      </c>
      <c r="J404" s="10" t="s">
        <v>70</v>
      </c>
      <c r="K404" s="10" t="s">
        <v>71</v>
      </c>
      <c r="L404" s="10" t="s">
        <v>1340</v>
      </c>
      <c r="M404" s="10" t="s">
        <v>234</v>
      </c>
      <c r="N404" s="12">
        <v>3</v>
      </c>
      <c r="O404" s="12">
        <v>1365.26</v>
      </c>
      <c r="P404" s="12">
        <v>0</v>
      </c>
      <c r="Q404" s="12">
        <v>4095.78</v>
      </c>
      <c r="R404" s="12">
        <v>2807.77</v>
      </c>
      <c r="S404" s="12">
        <v>1288.01</v>
      </c>
      <c r="T404" s="10" t="s">
        <v>61</v>
      </c>
      <c r="U404" s="13" t="s">
        <v>62</v>
      </c>
      <c r="V404" s="14" t="e">
        <f t="shared" ca="1" si="0"/>
        <v>#NAME?</v>
      </c>
      <c r="W404" s="10" t="str">
        <f ca="1">IFERROR(__xludf.DUMMYFUNCTION("IF(COUNTIF($A:$A,A398)=1,
""Unique"",
IF(COUNTUNIQUE(FILTER($V$2:$V$934,$A$2:$A$934=A398))&gt;1,
""Conflicting Duplicate"",
""Exact Duplicate""))"),"Unique")</f>
        <v>Unique</v>
      </c>
      <c r="X404" s="10" t="b">
        <f t="shared" ca="1" si="1"/>
        <v>1</v>
      </c>
      <c r="Y404" s="10" t="str">
        <f t="shared" si="2"/>
        <v>Unique</v>
      </c>
      <c r="Z404" s="10"/>
      <c r="AA404" s="10" t="str">
        <f t="shared" si="3"/>
        <v>Warning</v>
      </c>
      <c r="AB404" s="15" t="str">
        <f t="shared" si="4"/>
        <v>Valid</v>
      </c>
      <c r="AC404" s="15">
        <v>0</v>
      </c>
      <c r="AD404" s="16" t="str">
        <f t="shared" si="5"/>
        <v>Valid</v>
      </c>
      <c r="AE404" s="16" t="str">
        <f t="shared" si="6"/>
        <v>Valid</v>
      </c>
      <c r="AF404" s="16" t="str">
        <f t="shared" ref="AF404:AG404" si="819">IF(ISNUMBER(B404),"Valid","Invalid")</f>
        <v>Valid</v>
      </c>
      <c r="AG404" s="16" t="str">
        <f t="shared" si="819"/>
        <v>Valid</v>
      </c>
      <c r="AH404" s="16" t="str">
        <f t="shared" ref="AH404:AI404" si="820">IF(OR(B404="",ISBLANK(B404)),"Missing","Valid")</f>
        <v>Valid</v>
      </c>
      <c r="AI404" s="16" t="str">
        <f t="shared" si="820"/>
        <v>Valid</v>
      </c>
      <c r="AJ404" s="16" t="b">
        <v>0</v>
      </c>
      <c r="AK404" s="16" t="b">
        <v>1</v>
      </c>
      <c r="AL404" s="16" t="b">
        <v>0</v>
      </c>
      <c r="AM404" s="16" t="b">
        <v>0</v>
      </c>
      <c r="AN404" s="16" t="b">
        <v>0</v>
      </c>
      <c r="AO404" s="16" t="b">
        <v>0</v>
      </c>
      <c r="AP404" s="16" t="b">
        <v>1</v>
      </c>
      <c r="AQ404" s="17">
        <f t="shared" si="9"/>
        <v>0</v>
      </c>
      <c r="AR404" s="12">
        <f t="shared" si="10"/>
        <v>4095.7799999999997</v>
      </c>
      <c r="AS404" s="18">
        <f t="shared" si="11"/>
        <v>0</v>
      </c>
      <c r="AT404" s="12">
        <f t="shared" si="12"/>
        <v>1288.0099999999998</v>
      </c>
      <c r="AU404" s="18">
        <f t="shared" si="13"/>
        <v>0</v>
      </c>
      <c r="AV404" s="19">
        <f t="shared" si="14"/>
        <v>0.31447245701673426</v>
      </c>
      <c r="AW404" s="20" t="str">
        <f t="shared" si="15"/>
        <v>March</v>
      </c>
      <c r="AX404" s="21">
        <f t="shared" si="16"/>
        <v>2024</v>
      </c>
    </row>
    <row r="405" spans="1:50" ht="15.75" customHeight="1">
      <c r="A405" s="10" t="s">
        <v>1341</v>
      </c>
      <c r="B405" s="11">
        <v>45565</v>
      </c>
      <c r="C405" s="11">
        <v>45569</v>
      </c>
      <c r="D405" s="10" t="s">
        <v>1342</v>
      </c>
      <c r="E405" s="10" t="s">
        <v>82</v>
      </c>
      <c r="F405" s="10" t="s">
        <v>66</v>
      </c>
      <c r="G405" s="10" t="s">
        <v>83</v>
      </c>
      <c r="H405" s="10" t="s">
        <v>214</v>
      </c>
      <c r="I405" s="10" t="s">
        <v>215</v>
      </c>
      <c r="J405" s="10" t="s">
        <v>57</v>
      </c>
      <c r="K405" s="10" t="s">
        <v>58</v>
      </c>
      <c r="L405" s="10" t="s">
        <v>1343</v>
      </c>
      <c r="M405" s="10" t="s">
        <v>73</v>
      </c>
      <c r="N405" s="12">
        <v>5</v>
      </c>
      <c r="O405" s="12">
        <v>3512.25</v>
      </c>
      <c r="P405" s="12">
        <v>0.05</v>
      </c>
      <c r="Q405" s="12">
        <v>16683.189999999999</v>
      </c>
      <c r="R405" s="12">
        <v>10301.16</v>
      </c>
      <c r="S405" s="12">
        <v>6382.03</v>
      </c>
      <c r="T405" s="10" t="s">
        <v>61</v>
      </c>
      <c r="U405" s="13" t="s">
        <v>132</v>
      </c>
      <c r="V405" s="14" t="e">
        <f t="shared" ca="1" si="0"/>
        <v>#NAME?</v>
      </c>
      <c r="W405" s="10" t="str">
        <f ca="1">IFERROR(__xludf.DUMMYFUNCTION("IF(COUNTIF($A:$A,A399)=1,
""Unique"",
IF(COUNTUNIQUE(FILTER($V$2:$V$934,$A$2:$A$934=A399))&gt;1,
""Conflicting Duplicate"",
""Exact Duplicate""))"),"Unique")</f>
        <v>Unique</v>
      </c>
      <c r="X405" s="10" t="b">
        <f t="shared" ca="1" si="1"/>
        <v>1</v>
      </c>
      <c r="Y405" s="10" t="str">
        <f t="shared" si="2"/>
        <v>Unique</v>
      </c>
      <c r="Z405" s="10"/>
      <c r="AA405" s="10" t="str">
        <f t="shared" si="3"/>
        <v>Clean</v>
      </c>
      <c r="AB405" s="15" t="str">
        <f t="shared" si="4"/>
        <v>Valid</v>
      </c>
      <c r="AC405" s="15">
        <v>4</v>
      </c>
      <c r="AD405" s="16" t="str">
        <f t="shared" si="5"/>
        <v>Valid</v>
      </c>
      <c r="AE405" s="16" t="str">
        <f t="shared" si="6"/>
        <v>Valid</v>
      </c>
      <c r="AF405" s="16" t="str">
        <f t="shared" ref="AF405:AG405" si="821">IF(ISNUMBER(B405),"Valid","Invalid")</f>
        <v>Valid</v>
      </c>
      <c r="AG405" s="16" t="str">
        <f t="shared" si="821"/>
        <v>Valid</v>
      </c>
      <c r="AH405" s="16" t="str">
        <f t="shared" ref="AH405:AI405" si="822">IF(OR(B405="",ISBLANK(B405)),"Missing","Valid")</f>
        <v>Valid</v>
      </c>
      <c r="AI405" s="16" t="str">
        <f t="shared" si="822"/>
        <v>Valid</v>
      </c>
      <c r="AJ405" s="16" t="b">
        <v>0</v>
      </c>
      <c r="AK405" s="16" t="b">
        <v>0</v>
      </c>
      <c r="AL405" s="16" t="b">
        <v>0</v>
      </c>
      <c r="AM405" s="16" t="b">
        <v>0</v>
      </c>
      <c r="AN405" s="16" t="b">
        <v>0</v>
      </c>
      <c r="AO405" s="16" t="b">
        <v>0</v>
      </c>
      <c r="AP405" s="16" t="b">
        <v>0</v>
      </c>
      <c r="AQ405" s="17">
        <f t="shared" si="9"/>
        <v>0.05</v>
      </c>
      <c r="AR405" s="12">
        <f t="shared" si="10"/>
        <v>16683.1875</v>
      </c>
      <c r="AS405" s="18">
        <f t="shared" si="11"/>
        <v>2.4999999986903276E-3</v>
      </c>
      <c r="AT405" s="12">
        <f t="shared" si="12"/>
        <v>6382.0275000000001</v>
      </c>
      <c r="AU405" s="18">
        <f t="shared" si="13"/>
        <v>2.4999999995998223E-3</v>
      </c>
      <c r="AV405" s="19">
        <f t="shared" si="14"/>
        <v>0.38254245479168775</v>
      </c>
      <c r="AW405" s="20" t="str">
        <f t="shared" si="15"/>
        <v>September</v>
      </c>
      <c r="AX405" s="21">
        <f t="shared" si="16"/>
        <v>2024</v>
      </c>
    </row>
    <row r="406" spans="1:50" ht="15.75" customHeight="1">
      <c r="A406" s="10" t="s">
        <v>1344</v>
      </c>
      <c r="B406" s="11">
        <v>45318</v>
      </c>
      <c r="C406" s="11">
        <v>45325</v>
      </c>
      <c r="D406" s="10" t="s">
        <v>1345</v>
      </c>
      <c r="E406" s="10" t="s">
        <v>118</v>
      </c>
      <c r="F406" s="10" t="s">
        <v>119</v>
      </c>
      <c r="G406" s="10" t="s">
        <v>92</v>
      </c>
      <c r="H406" s="10" t="s">
        <v>55</v>
      </c>
      <c r="I406" s="10" t="s">
        <v>138</v>
      </c>
      <c r="J406" s="10" t="s">
        <v>70</v>
      </c>
      <c r="K406" s="10" t="s">
        <v>95</v>
      </c>
      <c r="L406" s="10" t="s">
        <v>1346</v>
      </c>
      <c r="M406" s="10" t="s">
        <v>73</v>
      </c>
      <c r="N406" s="12">
        <v>3</v>
      </c>
      <c r="O406" s="12">
        <v>359.61</v>
      </c>
      <c r="P406" s="12">
        <v>0</v>
      </c>
      <c r="Q406" s="12">
        <v>1078.83</v>
      </c>
      <c r="R406" s="12">
        <v>926.35</v>
      </c>
      <c r="S406" s="12">
        <v>152.47999999999999</v>
      </c>
      <c r="T406" s="10" t="s">
        <v>61</v>
      </c>
      <c r="U406" s="13" t="s">
        <v>62</v>
      </c>
      <c r="V406" s="14" t="e">
        <f t="shared" ca="1" si="0"/>
        <v>#NAME?</v>
      </c>
      <c r="W406" s="10" t="str">
        <f ca="1">IFERROR(__xludf.DUMMYFUNCTION("IF(COUNTIF($A:$A,A400)=1,
""Unique"",
IF(COUNTUNIQUE(FILTER($V$2:$V$934,$A$2:$A$934=A400))&gt;1,
""Conflicting Duplicate"",
""Exact Duplicate""))"),"Unique")</f>
        <v>Unique</v>
      </c>
      <c r="X406" s="10" t="b">
        <f t="shared" ca="1" si="1"/>
        <v>1</v>
      </c>
      <c r="Y406" s="10" t="str">
        <f t="shared" si="2"/>
        <v>Unique</v>
      </c>
      <c r="Z406" s="10"/>
      <c r="AA406" s="10" t="str">
        <f t="shared" si="3"/>
        <v>Clean</v>
      </c>
      <c r="AB406" s="15" t="str">
        <f t="shared" si="4"/>
        <v>Valid</v>
      </c>
      <c r="AC406" s="15">
        <v>7</v>
      </c>
      <c r="AD406" s="16" t="str">
        <f t="shared" si="5"/>
        <v>Valid</v>
      </c>
      <c r="AE406" s="16" t="str">
        <f t="shared" si="6"/>
        <v>Valid</v>
      </c>
      <c r="AF406" s="16" t="str">
        <f t="shared" ref="AF406:AG406" si="823">IF(ISNUMBER(B406),"Valid","Invalid")</f>
        <v>Valid</v>
      </c>
      <c r="AG406" s="16" t="str">
        <f t="shared" si="823"/>
        <v>Valid</v>
      </c>
      <c r="AH406" s="16" t="str">
        <f t="shared" ref="AH406:AI406" si="824">IF(OR(B406="",ISBLANK(B406)),"Missing","Valid")</f>
        <v>Valid</v>
      </c>
      <c r="AI406" s="16" t="str">
        <f t="shared" si="824"/>
        <v>Valid</v>
      </c>
      <c r="AJ406" s="16" t="b">
        <v>0</v>
      </c>
      <c r="AK406" s="16" t="b">
        <v>0</v>
      </c>
      <c r="AL406" s="16" t="b">
        <v>0</v>
      </c>
      <c r="AM406" s="16" t="b">
        <v>0</v>
      </c>
      <c r="AN406" s="16" t="b">
        <v>0</v>
      </c>
      <c r="AO406" s="16" t="b">
        <v>0</v>
      </c>
      <c r="AP406" s="16" t="b">
        <v>0</v>
      </c>
      <c r="AQ406" s="17">
        <f t="shared" si="9"/>
        <v>0</v>
      </c>
      <c r="AR406" s="12">
        <f t="shared" si="10"/>
        <v>1078.83</v>
      </c>
      <c r="AS406" s="18">
        <f t="shared" si="11"/>
        <v>0</v>
      </c>
      <c r="AT406" s="12">
        <f t="shared" si="12"/>
        <v>152.4799999999999</v>
      </c>
      <c r="AU406" s="18">
        <f t="shared" si="13"/>
        <v>0</v>
      </c>
      <c r="AV406" s="19">
        <f t="shared" si="14"/>
        <v>0.14133830167867034</v>
      </c>
      <c r="AW406" s="20" t="str">
        <f t="shared" si="15"/>
        <v>January</v>
      </c>
      <c r="AX406" s="21">
        <f t="shared" si="16"/>
        <v>2024</v>
      </c>
    </row>
    <row r="407" spans="1:50" ht="15.75" customHeight="1">
      <c r="A407" s="10" t="s">
        <v>1347</v>
      </c>
      <c r="B407" s="11">
        <v>45558</v>
      </c>
      <c r="C407" s="11">
        <v>45559</v>
      </c>
      <c r="D407" s="10" t="s">
        <v>1348</v>
      </c>
      <c r="E407" s="10" t="s">
        <v>118</v>
      </c>
      <c r="F407" s="10" t="s">
        <v>124</v>
      </c>
      <c r="G407" s="10" t="s">
        <v>92</v>
      </c>
      <c r="H407" s="10" t="s">
        <v>209</v>
      </c>
      <c r="I407" s="10" t="s">
        <v>210</v>
      </c>
      <c r="J407" s="10" t="s">
        <v>70</v>
      </c>
      <c r="K407" s="10" t="s">
        <v>187</v>
      </c>
      <c r="L407" s="10" t="s">
        <v>1349</v>
      </c>
      <c r="M407" s="10" t="s">
        <v>234</v>
      </c>
      <c r="N407" s="12">
        <v>7</v>
      </c>
      <c r="O407" s="12">
        <v>3878.01</v>
      </c>
      <c r="P407" s="12">
        <v>0.1</v>
      </c>
      <c r="Q407" s="12">
        <v>24431.46</v>
      </c>
      <c r="R407" s="12">
        <v>18202.36</v>
      </c>
      <c r="S407" s="12">
        <v>6229.1</v>
      </c>
      <c r="T407" s="10" t="s">
        <v>61</v>
      </c>
      <c r="U407" s="13" t="s">
        <v>62</v>
      </c>
      <c r="V407" s="14" t="e">
        <f t="shared" ca="1" si="0"/>
        <v>#NAME?</v>
      </c>
      <c r="W407" s="10" t="str">
        <f ca="1">IFERROR(__xludf.DUMMYFUNCTION("IF(COUNTIF($A:$A,A401)=1,
""Unique"",
IF(COUNTUNIQUE(FILTER($V$2:$V$934,$A$2:$A$934=A401))&gt;1,
""Conflicting Duplicate"",
""Exact Duplicate""))"),"Exact Duplicate")</f>
        <v>Exact Duplicate</v>
      </c>
      <c r="X407" s="10" t="b">
        <f t="shared" ca="1" si="1"/>
        <v>1</v>
      </c>
      <c r="Y407" s="10" t="str">
        <f t="shared" si="2"/>
        <v>Unique</v>
      </c>
      <c r="Z407" s="10"/>
      <c r="AA407" s="10" t="str">
        <f t="shared" si="3"/>
        <v>Warning</v>
      </c>
      <c r="AB407" s="15" t="str">
        <f t="shared" si="4"/>
        <v>Valid</v>
      </c>
      <c r="AC407" s="15">
        <v>1</v>
      </c>
      <c r="AD407" s="16" t="str">
        <f t="shared" si="5"/>
        <v>Valid</v>
      </c>
      <c r="AE407" s="16" t="str">
        <f t="shared" si="6"/>
        <v>Valid</v>
      </c>
      <c r="AF407" s="16" t="str">
        <f t="shared" ref="AF407:AG407" si="825">IF(ISNUMBER(B407),"Valid","Invalid")</f>
        <v>Valid</v>
      </c>
      <c r="AG407" s="16" t="str">
        <f t="shared" si="825"/>
        <v>Valid</v>
      </c>
      <c r="AH407" s="16" t="str">
        <f t="shared" ref="AH407:AI407" si="826">IF(OR(B407="",ISBLANK(B407)),"Missing","Valid")</f>
        <v>Valid</v>
      </c>
      <c r="AI407" s="16" t="str">
        <f t="shared" si="826"/>
        <v>Valid</v>
      </c>
      <c r="AJ407" s="16" t="b">
        <v>0</v>
      </c>
      <c r="AK407" s="16" t="b">
        <v>1</v>
      </c>
      <c r="AL407" s="16" t="b">
        <v>0</v>
      </c>
      <c r="AM407" s="16" t="b">
        <v>0</v>
      </c>
      <c r="AN407" s="16" t="b">
        <v>0</v>
      </c>
      <c r="AO407" s="16" t="b">
        <v>0</v>
      </c>
      <c r="AP407" s="16" t="b">
        <v>1</v>
      </c>
      <c r="AQ407" s="17">
        <f t="shared" si="9"/>
        <v>0.1</v>
      </c>
      <c r="AR407" s="12">
        <f t="shared" si="10"/>
        <v>24431.463</v>
      </c>
      <c r="AS407" s="18">
        <f t="shared" si="11"/>
        <v>-3.0000000006111804E-3</v>
      </c>
      <c r="AT407" s="12">
        <f t="shared" si="12"/>
        <v>6229.1029999999992</v>
      </c>
      <c r="AU407" s="18">
        <f t="shared" si="13"/>
        <v>-2.999999998792191E-3</v>
      </c>
      <c r="AV407" s="19">
        <f t="shared" si="14"/>
        <v>0.25496234097810677</v>
      </c>
      <c r="AW407" s="20" t="str">
        <f t="shared" si="15"/>
        <v>September</v>
      </c>
      <c r="AX407" s="21">
        <f t="shared" si="16"/>
        <v>2024</v>
      </c>
    </row>
    <row r="408" spans="1:50" ht="15.75" customHeight="1">
      <c r="A408" s="10" t="s">
        <v>1350</v>
      </c>
      <c r="B408" s="11">
        <v>45713</v>
      </c>
      <c r="C408" s="11">
        <v>45713</v>
      </c>
      <c r="D408" s="10" t="s">
        <v>1351</v>
      </c>
      <c r="E408" s="10" t="s">
        <v>294</v>
      </c>
      <c r="F408" s="10" t="s">
        <v>66</v>
      </c>
      <c r="G408" s="10" t="s">
        <v>92</v>
      </c>
      <c r="H408" s="10" t="s">
        <v>219</v>
      </c>
      <c r="I408" s="10" t="s">
        <v>220</v>
      </c>
      <c r="J408" s="10" t="s">
        <v>70</v>
      </c>
      <c r="K408" s="10" t="s">
        <v>86</v>
      </c>
      <c r="L408" s="10" t="s">
        <v>1352</v>
      </c>
      <c r="M408" s="10" t="s">
        <v>88</v>
      </c>
      <c r="N408" s="12">
        <v>2</v>
      </c>
      <c r="O408" s="12">
        <v>3924.2</v>
      </c>
      <c r="P408" s="12">
        <v>0.25</v>
      </c>
      <c r="Q408" s="12">
        <v>5886.3</v>
      </c>
      <c r="R408" s="12">
        <v>3621.76</v>
      </c>
      <c r="S408" s="12">
        <v>2264.54</v>
      </c>
      <c r="T408" s="10" t="s">
        <v>140</v>
      </c>
      <c r="U408" s="13" t="s">
        <v>132</v>
      </c>
      <c r="V408" s="14" t="e">
        <f t="shared" ca="1" si="0"/>
        <v>#NAME?</v>
      </c>
      <c r="W408" s="10" t="str">
        <f ca="1">IFERROR(__xludf.DUMMYFUNCTION("IF(COUNTIF($A:$A,A402)=1,
""Unique"",
IF(COUNTUNIQUE(FILTER($V$2:$V$934,$A$2:$A$934=A402))&gt;1,
""Conflicting Duplicate"",
""Exact Duplicate""))"),"Unique")</f>
        <v>Unique</v>
      </c>
      <c r="X408" s="10" t="b">
        <f t="shared" ca="1" si="1"/>
        <v>1</v>
      </c>
      <c r="Y408" s="10" t="str">
        <f t="shared" si="2"/>
        <v>Unique</v>
      </c>
      <c r="Z408" s="10"/>
      <c r="AA408" s="10" t="str">
        <f t="shared" si="3"/>
        <v>Clean</v>
      </c>
      <c r="AB408" s="15" t="str">
        <f t="shared" si="4"/>
        <v>Valid</v>
      </c>
      <c r="AC408" s="15">
        <v>0</v>
      </c>
      <c r="AD408" s="16" t="str">
        <f t="shared" si="5"/>
        <v>Valid</v>
      </c>
      <c r="AE408" s="16" t="str">
        <f t="shared" si="6"/>
        <v>Valid</v>
      </c>
      <c r="AF408" s="16" t="str">
        <f t="shared" ref="AF408:AG408" si="827">IF(ISNUMBER(B408),"Valid","Invalid")</f>
        <v>Valid</v>
      </c>
      <c r="AG408" s="16" t="str">
        <f t="shared" si="827"/>
        <v>Valid</v>
      </c>
      <c r="AH408" s="16" t="str">
        <f t="shared" ref="AH408:AI408" si="828">IF(OR(B408="",ISBLANK(B408)),"Missing","Valid")</f>
        <v>Valid</v>
      </c>
      <c r="AI408" s="16" t="str">
        <f t="shared" si="828"/>
        <v>Valid</v>
      </c>
      <c r="AJ408" s="16" t="b">
        <v>0</v>
      </c>
      <c r="AK408" s="16" t="b">
        <v>0</v>
      </c>
      <c r="AL408" s="16" t="b">
        <v>0</v>
      </c>
      <c r="AM408" s="16" t="b">
        <v>0</v>
      </c>
      <c r="AN408" s="16" t="b">
        <v>0</v>
      </c>
      <c r="AO408" s="16" t="b">
        <v>0</v>
      </c>
      <c r="AP408" s="16" t="b">
        <v>0</v>
      </c>
      <c r="AQ408" s="17">
        <f t="shared" si="9"/>
        <v>0.25</v>
      </c>
      <c r="AR408" s="12">
        <f t="shared" si="10"/>
        <v>5886.2999999999993</v>
      </c>
      <c r="AS408" s="18">
        <f t="shared" si="11"/>
        <v>0</v>
      </c>
      <c r="AT408" s="12">
        <f t="shared" si="12"/>
        <v>2264.5399999999991</v>
      </c>
      <c r="AU408" s="18">
        <f t="shared" si="13"/>
        <v>0</v>
      </c>
      <c r="AV408" s="19">
        <f t="shared" si="14"/>
        <v>0.38471365713606159</v>
      </c>
      <c r="AW408" s="20" t="str">
        <f t="shared" si="15"/>
        <v>February</v>
      </c>
      <c r="AX408" s="21">
        <f t="shared" si="16"/>
        <v>2025</v>
      </c>
    </row>
    <row r="409" spans="1:50" ht="15.75" customHeight="1">
      <c r="A409" s="10" t="s">
        <v>1353</v>
      </c>
      <c r="B409" s="11">
        <v>45424</v>
      </c>
      <c r="C409" s="11">
        <v>45425</v>
      </c>
      <c r="D409" s="10" t="s">
        <v>1354</v>
      </c>
      <c r="E409" s="10" t="s">
        <v>147</v>
      </c>
      <c r="F409" s="10" t="s">
        <v>119</v>
      </c>
      <c r="G409" s="10" t="s">
        <v>92</v>
      </c>
      <c r="H409" s="10" t="s">
        <v>219</v>
      </c>
      <c r="I409" s="10" t="s">
        <v>220</v>
      </c>
      <c r="J409" s="10" t="s">
        <v>57</v>
      </c>
      <c r="K409" s="10" t="s">
        <v>120</v>
      </c>
      <c r="L409" s="10" t="s">
        <v>1355</v>
      </c>
      <c r="M409" s="10" t="s">
        <v>60</v>
      </c>
      <c r="N409" s="12">
        <v>3</v>
      </c>
      <c r="O409" s="12">
        <v>2644.55</v>
      </c>
      <c r="P409" s="12">
        <v>0</v>
      </c>
      <c r="Q409" s="12">
        <v>7933.65</v>
      </c>
      <c r="R409" s="12">
        <v>5698.42</v>
      </c>
      <c r="S409" s="12">
        <v>2235.23</v>
      </c>
      <c r="T409" s="10" t="s">
        <v>61</v>
      </c>
      <c r="U409" s="13" t="s">
        <v>62</v>
      </c>
      <c r="V409" s="14" t="e">
        <f t="shared" ca="1" si="0"/>
        <v>#NAME?</v>
      </c>
      <c r="W409" s="10" t="str">
        <f ca="1">IFERROR(__xludf.DUMMYFUNCTION("IF(COUNTIF($A:$A,A403)=1,
""Unique"",
IF(COUNTUNIQUE(FILTER($V$2:$V$934,$A$2:$A$934=A403))&gt;1,
""Conflicting Duplicate"",
""Exact Duplicate""))"),"Unique")</f>
        <v>Unique</v>
      </c>
      <c r="X409" s="10" t="b">
        <f t="shared" ca="1" si="1"/>
        <v>1</v>
      </c>
      <c r="Y409" s="10" t="str">
        <f t="shared" si="2"/>
        <v>Unique</v>
      </c>
      <c r="Z409" s="10"/>
      <c r="AA409" s="10" t="str">
        <f t="shared" si="3"/>
        <v>Clean</v>
      </c>
      <c r="AB409" s="15" t="str">
        <f t="shared" si="4"/>
        <v>Valid</v>
      </c>
      <c r="AC409" s="15">
        <v>1</v>
      </c>
      <c r="AD409" s="16" t="str">
        <f t="shared" si="5"/>
        <v>Valid</v>
      </c>
      <c r="AE409" s="16" t="str">
        <f t="shared" si="6"/>
        <v>Valid</v>
      </c>
      <c r="AF409" s="16" t="str">
        <f t="shared" ref="AF409:AG409" si="829">IF(ISNUMBER(B409),"Valid","Invalid")</f>
        <v>Valid</v>
      </c>
      <c r="AG409" s="16" t="str">
        <f t="shared" si="829"/>
        <v>Valid</v>
      </c>
      <c r="AH409" s="16" t="str">
        <f t="shared" ref="AH409:AI409" si="830">IF(OR(B409="",ISBLANK(B409)),"Missing","Valid")</f>
        <v>Valid</v>
      </c>
      <c r="AI409" s="16" t="str">
        <f t="shared" si="830"/>
        <v>Valid</v>
      </c>
      <c r="AJ409" s="16" t="b">
        <v>0</v>
      </c>
      <c r="AK409" s="16" t="b">
        <v>0</v>
      </c>
      <c r="AL409" s="16" t="b">
        <v>0</v>
      </c>
      <c r="AM409" s="16" t="b">
        <v>0</v>
      </c>
      <c r="AN409" s="16" t="b">
        <v>0</v>
      </c>
      <c r="AO409" s="16" t="b">
        <v>0</v>
      </c>
      <c r="AP409" s="16" t="b">
        <v>0</v>
      </c>
      <c r="AQ409" s="17">
        <f t="shared" si="9"/>
        <v>0</v>
      </c>
      <c r="AR409" s="12">
        <f t="shared" si="10"/>
        <v>7933.6500000000005</v>
      </c>
      <c r="AS409" s="18">
        <f t="shared" si="11"/>
        <v>0</v>
      </c>
      <c r="AT409" s="12">
        <f t="shared" si="12"/>
        <v>2235.2300000000005</v>
      </c>
      <c r="AU409" s="18">
        <f t="shared" si="13"/>
        <v>0</v>
      </c>
      <c r="AV409" s="19">
        <f t="shared" si="14"/>
        <v>0.2817404347305465</v>
      </c>
      <c r="AW409" s="20" t="str">
        <f t="shared" si="15"/>
        <v>May</v>
      </c>
      <c r="AX409" s="21">
        <f t="shared" si="16"/>
        <v>2024</v>
      </c>
    </row>
    <row r="410" spans="1:50" ht="15.75" customHeight="1">
      <c r="A410" s="10" t="s">
        <v>1356</v>
      </c>
      <c r="B410" s="11">
        <v>45870</v>
      </c>
      <c r="C410" s="11">
        <v>45872</v>
      </c>
      <c r="D410" s="10" t="s">
        <v>1357</v>
      </c>
      <c r="E410" s="10" t="s">
        <v>161</v>
      </c>
      <c r="F410" s="10" t="s">
        <v>53</v>
      </c>
      <c r="G410" s="10" t="s">
        <v>92</v>
      </c>
      <c r="H410" s="10" t="s">
        <v>93</v>
      </c>
      <c r="I410" s="10" t="s">
        <v>94</v>
      </c>
      <c r="J410" s="10" t="s">
        <v>70</v>
      </c>
      <c r="K410" s="10" t="s">
        <v>95</v>
      </c>
      <c r="L410" s="10" t="s">
        <v>1358</v>
      </c>
      <c r="M410" s="10" t="s">
        <v>79</v>
      </c>
      <c r="N410" s="12">
        <v>4</v>
      </c>
      <c r="O410" s="12">
        <v>1773.46</v>
      </c>
      <c r="P410" s="12">
        <v>0</v>
      </c>
      <c r="Q410" s="12">
        <v>7093.84</v>
      </c>
      <c r="R410" s="12">
        <v>4587.49</v>
      </c>
      <c r="S410" s="12">
        <v>2506.35</v>
      </c>
      <c r="T410" s="10" t="s">
        <v>184</v>
      </c>
      <c r="U410" s="13" t="s">
        <v>132</v>
      </c>
      <c r="V410" s="14" t="e">
        <f t="shared" ca="1" si="0"/>
        <v>#NAME?</v>
      </c>
      <c r="W410" s="10" t="str">
        <f ca="1">IFERROR(__xludf.DUMMYFUNCTION("IF(COUNTIF($A:$A,A404)=1,
""Unique"",
IF(COUNTUNIQUE(FILTER($V$2:$V$934,$A$2:$A$934=A404))&gt;1,
""Conflicting Duplicate"",
""Exact Duplicate""))"),"Unique")</f>
        <v>Unique</v>
      </c>
      <c r="X410" s="10" t="b">
        <f t="shared" ca="1" si="1"/>
        <v>1</v>
      </c>
      <c r="Y410" s="10" t="str">
        <f t="shared" si="2"/>
        <v>Unique</v>
      </c>
      <c r="Z410" s="10"/>
      <c r="AA410" s="10" t="str">
        <f t="shared" si="3"/>
        <v>Clean</v>
      </c>
      <c r="AB410" s="15" t="str">
        <f t="shared" si="4"/>
        <v>Valid</v>
      </c>
      <c r="AC410" s="15">
        <v>2</v>
      </c>
      <c r="AD410" s="16" t="str">
        <f t="shared" si="5"/>
        <v>Valid</v>
      </c>
      <c r="AE410" s="16" t="str">
        <f t="shared" si="6"/>
        <v>Valid</v>
      </c>
      <c r="AF410" s="16" t="str">
        <f t="shared" ref="AF410:AG410" si="831">IF(ISNUMBER(B410),"Valid","Invalid")</f>
        <v>Valid</v>
      </c>
      <c r="AG410" s="16" t="str">
        <f t="shared" si="831"/>
        <v>Valid</v>
      </c>
      <c r="AH410" s="16" t="str">
        <f t="shared" ref="AH410:AI410" si="832">IF(OR(B410="",ISBLANK(B410)),"Missing","Valid")</f>
        <v>Valid</v>
      </c>
      <c r="AI410" s="16" t="str">
        <f t="shared" si="832"/>
        <v>Valid</v>
      </c>
      <c r="AJ410" s="16" t="b">
        <v>0</v>
      </c>
      <c r="AK410" s="16" t="b">
        <v>0</v>
      </c>
      <c r="AL410" s="16" t="b">
        <v>0</v>
      </c>
      <c r="AM410" s="16" t="b">
        <v>0</v>
      </c>
      <c r="AN410" s="16" t="b">
        <v>0</v>
      </c>
      <c r="AO410" s="16" t="b">
        <v>0</v>
      </c>
      <c r="AP410" s="16" t="b">
        <v>0</v>
      </c>
      <c r="AQ410" s="17">
        <f t="shared" si="9"/>
        <v>0</v>
      </c>
      <c r="AR410" s="12">
        <f t="shared" si="10"/>
        <v>7093.84</v>
      </c>
      <c r="AS410" s="18">
        <f t="shared" si="11"/>
        <v>0</v>
      </c>
      <c r="AT410" s="12">
        <f t="shared" si="12"/>
        <v>2506.3500000000004</v>
      </c>
      <c r="AU410" s="18">
        <f t="shared" si="13"/>
        <v>0</v>
      </c>
      <c r="AV410" s="19">
        <f t="shared" si="14"/>
        <v>0.35331357910525191</v>
      </c>
      <c r="AW410" s="20" t="str">
        <f t="shared" si="15"/>
        <v>August</v>
      </c>
      <c r="AX410" s="21">
        <f t="shared" si="16"/>
        <v>2025</v>
      </c>
    </row>
    <row r="411" spans="1:50" ht="15.75" customHeight="1">
      <c r="A411" s="10" t="s">
        <v>1359</v>
      </c>
      <c r="B411" s="11">
        <v>45701</v>
      </c>
      <c r="C411" s="11">
        <v>45703</v>
      </c>
      <c r="D411" s="10" t="s">
        <v>1360</v>
      </c>
      <c r="E411" s="10" t="s">
        <v>52</v>
      </c>
      <c r="F411" s="10" t="s">
        <v>53</v>
      </c>
      <c r="G411" s="10" t="s">
        <v>67</v>
      </c>
      <c r="H411" s="10" t="s">
        <v>195</v>
      </c>
      <c r="I411" s="10" t="s">
        <v>196</v>
      </c>
      <c r="J411" s="10" t="s">
        <v>103</v>
      </c>
      <c r="K411" s="10" t="s">
        <v>104</v>
      </c>
      <c r="L411" s="10" t="s">
        <v>1361</v>
      </c>
      <c r="M411" s="10" t="s">
        <v>73</v>
      </c>
      <c r="N411" s="12">
        <v>1</v>
      </c>
      <c r="O411" s="12">
        <v>3025.46</v>
      </c>
      <c r="P411" s="12">
        <v>0.25</v>
      </c>
      <c r="Q411" s="12">
        <v>2269.1</v>
      </c>
      <c r="R411" s="12">
        <v>1593.59</v>
      </c>
      <c r="S411" s="12">
        <v>675.51</v>
      </c>
      <c r="T411" s="10" t="s">
        <v>131</v>
      </c>
      <c r="U411" s="13" t="s">
        <v>132</v>
      </c>
      <c r="V411" s="14" t="e">
        <f t="shared" ca="1" si="0"/>
        <v>#NAME?</v>
      </c>
      <c r="W411" s="10" t="str">
        <f ca="1">IFERROR(__xludf.DUMMYFUNCTION("IF(COUNTIF($A:$A,A405)=1,
""Unique"",
IF(COUNTUNIQUE(FILTER($V$2:$V$934,$A$2:$A$934=A405))&gt;1,
""Conflicting Duplicate"",
""Exact Duplicate""))"),"Unique")</f>
        <v>Unique</v>
      </c>
      <c r="X411" s="10" t="b">
        <f t="shared" ca="1" si="1"/>
        <v>1</v>
      </c>
      <c r="Y411" s="10" t="str">
        <f t="shared" si="2"/>
        <v>Unique</v>
      </c>
      <c r="Z411" s="10"/>
      <c r="AA411" s="10" t="str">
        <f t="shared" si="3"/>
        <v>Clean</v>
      </c>
      <c r="AB411" s="15" t="str">
        <f t="shared" si="4"/>
        <v>Valid</v>
      </c>
      <c r="AC411" s="15">
        <v>2</v>
      </c>
      <c r="AD411" s="16" t="str">
        <f t="shared" si="5"/>
        <v>Valid</v>
      </c>
      <c r="AE411" s="16" t="str">
        <f t="shared" si="6"/>
        <v>Valid</v>
      </c>
      <c r="AF411" s="16" t="str">
        <f t="shared" ref="AF411:AG411" si="833">IF(ISNUMBER(B411),"Valid","Invalid")</f>
        <v>Valid</v>
      </c>
      <c r="AG411" s="16" t="str">
        <f t="shared" si="833"/>
        <v>Valid</v>
      </c>
      <c r="AH411" s="16" t="str">
        <f t="shared" ref="AH411:AI411" si="834">IF(OR(B411="",ISBLANK(B411)),"Missing","Valid")</f>
        <v>Valid</v>
      </c>
      <c r="AI411" s="16" t="str">
        <f t="shared" si="834"/>
        <v>Valid</v>
      </c>
      <c r="AJ411" s="16" t="b">
        <v>0</v>
      </c>
      <c r="AK411" s="16" t="b">
        <v>0</v>
      </c>
      <c r="AL411" s="16" t="b">
        <v>0</v>
      </c>
      <c r="AM411" s="16" t="b">
        <v>0</v>
      </c>
      <c r="AN411" s="16" t="b">
        <v>0</v>
      </c>
      <c r="AO411" s="16" t="b">
        <v>0</v>
      </c>
      <c r="AP411" s="16" t="b">
        <v>0</v>
      </c>
      <c r="AQ411" s="17">
        <f t="shared" si="9"/>
        <v>0.25</v>
      </c>
      <c r="AR411" s="12">
        <f t="shared" si="10"/>
        <v>2269.0950000000003</v>
      </c>
      <c r="AS411" s="18">
        <f t="shared" si="11"/>
        <v>4.999999999654392E-3</v>
      </c>
      <c r="AT411" s="12">
        <f t="shared" si="12"/>
        <v>675.50500000000034</v>
      </c>
      <c r="AU411" s="18">
        <f t="shared" si="13"/>
        <v>4.999999999654392E-3</v>
      </c>
      <c r="AV411" s="19">
        <f t="shared" si="14"/>
        <v>0.29769798091309541</v>
      </c>
      <c r="AW411" s="20" t="str">
        <f t="shared" si="15"/>
        <v>February</v>
      </c>
      <c r="AX411" s="21">
        <f t="shared" si="16"/>
        <v>2025</v>
      </c>
    </row>
    <row r="412" spans="1:50" ht="15.75" customHeight="1">
      <c r="A412" s="10" t="s">
        <v>1362</v>
      </c>
      <c r="B412" s="11">
        <v>45394</v>
      </c>
      <c r="C412" s="11">
        <v>45402</v>
      </c>
      <c r="D412" s="10" t="s">
        <v>1363</v>
      </c>
      <c r="E412" s="10" t="s">
        <v>191</v>
      </c>
      <c r="F412" s="10" t="s">
        <v>53</v>
      </c>
      <c r="G412" s="10" t="s">
        <v>92</v>
      </c>
      <c r="H412" s="10" t="s">
        <v>219</v>
      </c>
      <c r="I412" s="10" t="s">
        <v>220</v>
      </c>
      <c r="J412" s="10" t="s">
        <v>70</v>
      </c>
      <c r="K412" s="10" t="s">
        <v>71</v>
      </c>
      <c r="L412" s="10" t="s">
        <v>1364</v>
      </c>
      <c r="M412" s="10" t="s">
        <v>79</v>
      </c>
      <c r="N412" s="12">
        <v>9</v>
      </c>
      <c r="O412" s="12">
        <v>1302.6099999999999</v>
      </c>
      <c r="P412" s="12">
        <v>0.2</v>
      </c>
      <c r="Q412" s="12">
        <v>9378.7900000000009</v>
      </c>
      <c r="R412" s="12">
        <v>6774.48</v>
      </c>
      <c r="S412" s="12">
        <v>2604.31</v>
      </c>
      <c r="T412" s="10" t="s">
        <v>61</v>
      </c>
      <c r="U412" s="13" t="s">
        <v>62</v>
      </c>
      <c r="V412" s="14" t="e">
        <f t="shared" ca="1" si="0"/>
        <v>#NAME?</v>
      </c>
      <c r="W412" s="10" t="str">
        <f ca="1">IFERROR(__xludf.DUMMYFUNCTION("IF(COUNTIF($A:$A,A406)=1,
""Unique"",
IF(COUNTUNIQUE(FILTER($V$2:$V$934,$A$2:$A$934=A406))&gt;1,
""Conflicting Duplicate"",
""Exact Duplicate""))"),"Unique")</f>
        <v>Unique</v>
      </c>
      <c r="X412" s="10" t="b">
        <f t="shared" ca="1" si="1"/>
        <v>1</v>
      </c>
      <c r="Y412" s="10" t="str">
        <f t="shared" si="2"/>
        <v>Unique</v>
      </c>
      <c r="Z412" s="10"/>
      <c r="AA412" s="10" t="str">
        <f t="shared" si="3"/>
        <v>Clean</v>
      </c>
      <c r="AB412" s="15" t="str">
        <f t="shared" si="4"/>
        <v>Valid</v>
      </c>
      <c r="AC412" s="15">
        <v>8</v>
      </c>
      <c r="AD412" s="16" t="str">
        <f t="shared" si="5"/>
        <v>Valid</v>
      </c>
      <c r="AE412" s="16" t="str">
        <f t="shared" si="6"/>
        <v>Valid</v>
      </c>
      <c r="AF412" s="16" t="str">
        <f t="shared" ref="AF412:AG412" si="835">IF(ISNUMBER(B412),"Valid","Invalid")</f>
        <v>Valid</v>
      </c>
      <c r="AG412" s="16" t="str">
        <f t="shared" si="835"/>
        <v>Valid</v>
      </c>
      <c r="AH412" s="16" t="str">
        <f t="shared" ref="AH412:AI412" si="836">IF(OR(B412="",ISBLANK(B412)),"Missing","Valid")</f>
        <v>Valid</v>
      </c>
      <c r="AI412" s="16" t="str">
        <f t="shared" si="836"/>
        <v>Valid</v>
      </c>
      <c r="AJ412" s="16" t="b">
        <v>0</v>
      </c>
      <c r="AK412" s="16" t="b">
        <v>0</v>
      </c>
      <c r="AL412" s="16" t="b">
        <v>0</v>
      </c>
      <c r="AM412" s="16" t="b">
        <v>0</v>
      </c>
      <c r="AN412" s="16" t="b">
        <v>0</v>
      </c>
      <c r="AO412" s="16" t="b">
        <v>0</v>
      </c>
      <c r="AP412" s="16" t="b">
        <v>0</v>
      </c>
      <c r="AQ412" s="17">
        <f t="shared" si="9"/>
        <v>0.2</v>
      </c>
      <c r="AR412" s="12">
        <f t="shared" si="10"/>
        <v>9378.7919999999995</v>
      </c>
      <c r="AS412" s="18">
        <f t="shared" si="11"/>
        <v>-1.9999999985884642E-3</v>
      </c>
      <c r="AT412" s="12">
        <f t="shared" si="12"/>
        <v>2604.3119999999999</v>
      </c>
      <c r="AU412" s="18">
        <f t="shared" si="13"/>
        <v>-1.9999999999527063E-3</v>
      </c>
      <c r="AV412" s="19">
        <f t="shared" si="14"/>
        <v>0.27768096360384154</v>
      </c>
      <c r="AW412" s="20" t="str">
        <f t="shared" si="15"/>
        <v>April</v>
      </c>
      <c r="AX412" s="21">
        <f t="shared" si="16"/>
        <v>2024</v>
      </c>
    </row>
    <row r="413" spans="1:50" ht="15.75" customHeight="1">
      <c r="A413" s="10" t="s">
        <v>1365</v>
      </c>
      <c r="B413" s="11">
        <v>45892</v>
      </c>
      <c r="C413" s="11">
        <v>45897</v>
      </c>
      <c r="D413" s="10" t="s">
        <v>1366</v>
      </c>
      <c r="E413" s="10" t="s">
        <v>82</v>
      </c>
      <c r="F413" s="10" t="s">
        <v>124</v>
      </c>
      <c r="G413" s="10" t="s">
        <v>92</v>
      </c>
      <c r="H413" s="10" t="s">
        <v>55</v>
      </c>
      <c r="I413" s="10" t="s">
        <v>138</v>
      </c>
      <c r="J413" s="10" t="s">
        <v>70</v>
      </c>
      <c r="K413" s="10" t="s">
        <v>71</v>
      </c>
      <c r="L413" s="10" t="s">
        <v>1367</v>
      </c>
      <c r="M413" s="10" t="s">
        <v>79</v>
      </c>
      <c r="N413" s="12">
        <v>1</v>
      </c>
      <c r="O413" s="12">
        <v>4167.8100000000004</v>
      </c>
      <c r="P413" s="12">
        <v>0.2</v>
      </c>
      <c r="Q413" s="12">
        <v>3334.25</v>
      </c>
      <c r="R413" s="12">
        <v>2768.77</v>
      </c>
      <c r="S413" s="12">
        <v>565.48</v>
      </c>
      <c r="T413" s="10" t="s">
        <v>184</v>
      </c>
      <c r="U413" s="13" t="s">
        <v>132</v>
      </c>
      <c r="V413" s="14" t="e">
        <f t="shared" ca="1" si="0"/>
        <v>#NAME?</v>
      </c>
      <c r="W413" s="10" t="str">
        <f ca="1">IFERROR(__xludf.DUMMYFUNCTION("IF(COUNTIF($A:$A,A407)=1,
""Unique"",
IF(COUNTUNIQUE(FILTER($V$2:$V$934,$A$2:$A$934=A407))&gt;1,
""Conflicting Duplicate"",
""Exact Duplicate""))"),"Unique")</f>
        <v>Unique</v>
      </c>
      <c r="X413" s="10" t="b">
        <f t="shared" ca="1" si="1"/>
        <v>1</v>
      </c>
      <c r="Y413" s="10" t="str">
        <f t="shared" si="2"/>
        <v>Unique</v>
      </c>
      <c r="Z413" s="10"/>
      <c r="AA413" s="10" t="str">
        <f t="shared" si="3"/>
        <v>Clean</v>
      </c>
      <c r="AB413" s="15" t="str">
        <f t="shared" si="4"/>
        <v>Valid</v>
      </c>
      <c r="AC413" s="15">
        <v>5</v>
      </c>
      <c r="AD413" s="16" t="str">
        <f t="shared" si="5"/>
        <v>Valid</v>
      </c>
      <c r="AE413" s="16" t="str">
        <f t="shared" si="6"/>
        <v>Valid</v>
      </c>
      <c r="AF413" s="16" t="str">
        <f t="shared" ref="AF413:AG413" si="837">IF(ISNUMBER(B413),"Valid","Invalid")</f>
        <v>Valid</v>
      </c>
      <c r="AG413" s="16" t="str">
        <f t="shared" si="837"/>
        <v>Valid</v>
      </c>
      <c r="AH413" s="16" t="str">
        <f t="shared" ref="AH413:AI413" si="838">IF(OR(B413="",ISBLANK(B413)),"Missing","Valid")</f>
        <v>Valid</v>
      </c>
      <c r="AI413" s="16" t="str">
        <f t="shared" si="838"/>
        <v>Valid</v>
      </c>
      <c r="AJ413" s="16" t="b">
        <v>0</v>
      </c>
      <c r="AK413" s="16" t="b">
        <v>0</v>
      </c>
      <c r="AL413" s="16" t="b">
        <v>0</v>
      </c>
      <c r="AM413" s="16" t="b">
        <v>0</v>
      </c>
      <c r="AN413" s="16" t="b">
        <v>0</v>
      </c>
      <c r="AO413" s="16" t="b">
        <v>0</v>
      </c>
      <c r="AP413" s="16" t="b">
        <v>0</v>
      </c>
      <c r="AQ413" s="17">
        <f t="shared" si="9"/>
        <v>0.2</v>
      </c>
      <c r="AR413" s="12">
        <f t="shared" si="10"/>
        <v>3334.2480000000005</v>
      </c>
      <c r="AS413" s="18">
        <f t="shared" si="11"/>
        <v>1.9999999994979589E-3</v>
      </c>
      <c r="AT413" s="12">
        <f t="shared" si="12"/>
        <v>565.47800000000052</v>
      </c>
      <c r="AU413" s="18">
        <f t="shared" si="13"/>
        <v>1.9999999994979589E-3</v>
      </c>
      <c r="AV413" s="19">
        <f t="shared" si="14"/>
        <v>0.16959686262089696</v>
      </c>
      <c r="AW413" s="20" t="str">
        <f t="shared" si="15"/>
        <v>August</v>
      </c>
      <c r="AX413" s="21">
        <f t="shared" si="16"/>
        <v>2025</v>
      </c>
    </row>
    <row r="414" spans="1:50" ht="15.75" customHeight="1">
      <c r="A414" s="10" t="s">
        <v>1368</v>
      </c>
      <c r="B414" s="11">
        <v>45313</v>
      </c>
      <c r="C414" s="11">
        <v>45321</v>
      </c>
      <c r="D414" s="10" t="s">
        <v>1369</v>
      </c>
      <c r="E414" s="10" t="s">
        <v>76</v>
      </c>
      <c r="F414" s="10" t="s">
        <v>119</v>
      </c>
      <c r="G414" s="10" t="s">
        <v>83</v>
      </c>
      <c r="H414" s="10" t="s">
        <v>204</v>
      </c>
      <c r="I414" s="10" t="s">
        <v>205</v>
      </c>
      <c r="J414" s="10" t="s">
        <v>70</v>
      </c>
      <c r="K414" s="10" t="s">
        <v>95</v>
      </c>
      <c r="L414" s="10" t="s">
        <v>1370</v>
      </c>
      <c r="M414" s="10" t="s">
        <v>73</v>
      </c>
      <c r="N414" s="12">
        <v>1</v>
      </c>
      <c r="O414" s="12">
        <v>2111.39</v>
      </c>
      <c r="P414" s="12">
        <v>0.25</v>
      </c>
      <c r="Q414" s="12">
        <v>1583.54</v>
      </c>
      <c r="R414" s="12">
        <v>1014.19</v>
      </c>
      <c r="S414" s="12">
        <v>569.35</v>
      </c>
      <c r="T414" s="10" t="s">
        <v>61</v>
      </c>
      <c r="U414" s="13" t="s">
        <v>62</v>
      </c>
      <c r="V414" s="14" t="e">
        <f t="shared" ca="1" si="0"/>
        <v>#NAME?</v>
      </c>
      <c r="W414" s="10" t="str">
        <f ca="1">IFERROR(__xludf.DUMMYFUNCTION("IF(COUNTIF($A:$A,A408)=1,
""Unique"",
IF(COUNTUNIQUE(FILTER($V$2:$V$934,$A$2:$A$934=A408))&gt;1,
""Conflicting Duplicate"",
""Exact Duplicate""))"),"Unique")</f>
        <v>Unique</v>
      </c>
      <c r="X414" s="10" t="b">
        <f t="shared" ca="1" si="1"/>
        <v>1</v>
      </c>
      <c r="Y414" s="10" t="str">
        <f t="shared" si="2"/>
        <v>Unique</v>
      </c>
      <c r="Z414" s="10"/>
      <c r="AA414" s="10" t="str">
        <f t="shared" si="3"/>
        <v>Clean</v>
      </c>
      <c r="AB414" s="15" t="str">
        <f t="shared" si="4"/>
        <v>Valid</v>
      </c>
      <c r="AC414" s="15">
        <v>8</v>
      </c>
      <c r="AD414" s="16" t="str">
        <f t="shared" si="5"/>
        <v>Valid</v>
      </c>
      <c r="AE414" s="16" t="str">
        <f t="shared" si="6"/>
        <v>Valid</v>
      </c>
      <c r="AF414" s="16" t="str">
        <f t="shared" ref="AF414:AG414" si="839">IF(ISNUMBER(B414),"Valid","Invalid")</f>
        <v>Valid</v>
      </c>
      <c r="AG414" s="16" t="str">
        <f t="shared" si="839"/>
        <v>Valid</v>
      </c>
      <c r="AH414" s="16" t="str">
        <f t="shared" ref="AH414:AI414" si="840">IF(OR(B414="",ISBLANK(B414)),"Missing","Valid")</f>
        <v>Valid</v>
      </c>
      <c r="AI414" s="16" t="str">
        <f t="shared" si="840"/>
        <v>Valid</v>
      </c>
      <c r="AJ414" s="16" t="b">
        <v>0</v>
      </c>
      <c r="AK414" s="16" t="b">
        <v>0</v>
      </c>
      <c r="AL414" s="16" t="b">
        <v>0</v>
      </c>
      <c r="AM414" s="16" t="b">
        <v>0</v>
      </c>
      <c r="AN414" s="16" t="b">
        <v>0</v>
      </c>
      <c r="AO414" s="16" t="b">
        <v>0</v>
      </c>
      <c r="AP414" s="16" t="b">
        <v>0</v>
      </c>
      <c r="AQ414" s="17">
        <f t="shared" si="9"/>
        <v>0.25</v>
      </c>
      <c r="AR414" s="12">
        <f t="shared" si="10"/>
        <v>1583.5425</v>
      </c>
      <c r="AS414" s="18">
        <f t="shared" si="11"/>
        <v>-2.5000000000545697E-3</v>
      </c>
      <c r="AT414" s="12">
        <f t="shared" si="12"/>
        <v>569.35249999999996</v>
      </c>
      <c r="AU414" s="18">
        <f t="shared" si="13"/>
        <v>-2.4999999999408828E-3</v>
      </c>
      <c r="AV414" s="19">
        <f t="shared" si="14"/>
        <v>0.35954355503562424</v>
      </c>
      <c r="AW414" s="20" t="str">
        <f t="shared" si="15"/>
        <v>January</v>
      </c>
      <c r="AX414" s="21">
        <f t="shared" si="16"/>
        <v>2024</v>
      </c>
    </row>
    <row r="415" spans="1:50" ht="15.75" customHeight="1">
      <c r="A415" s="10" t="s">
        <v>1371</v>
      </c>
      <c r="B415" s="11">
        <v>45882</v>
      </c>
      <c r="C415" s="11">
        <v>45886</v>
      </c>
      <c r="D415" s="10" t="s">
        <v>1372</v>
      </c>
      <c r="E415" s="10" t="s">
        <v>108</v>
      </c>
      <c r="F415" s="10" t="s">
        <v>124</v>
      </c>
      <c r="G415" s="10" t="s">
        <v>92</v>
      </c>
      <c r="H415" s="10" t="s">
        <v>101</v>
      </c>
      <c r="I415" s="10" t="s">
        <v>102</v>
      </c>
      <c r="J415" s="10" t="s">
        <v>103</v>
      </c>
      <c r="K415" s="10" t="s">
        <v>104</v>
      </c>
      <c r="L415" s="10" t="s">
        <v>1373</v>
      </c>
      <c r="M415" s="10" t="s">
        <v>60</v>
      </c>
      <c r="N415" s="12">
        <v>8</v>
      </c>
      <c r="O415" s="12">
        <v>1918.23</v>
      </c>
      <c r="P415" s="12">
        <v>0</v>
      </c>
      <c r="Q415" s="12">
        <v>15345.84</v>
      </c>
      <c r="R415" s="12">
        <v>10735.33</v>
      </c>
      <c r="S415" s="12">
        <v>4610.51</v>
      </c>
      <c r="T415" s="10" t="s">
        <v>140</v>
      </c>
      <c r="U415" s="13" t="s">
        <v>97</v>
      </c>
      <c r="V415" s="14" t="e">
        <f t="shared" ca="1" si="0"/>
        <v>#NAME?</v>
      </c>
      <c r="W415" s="10" t="str">
        <f ca="1">IFERROR(__xludf.DUMMYFUNCTION("IF(COUNTIF($A:$A,A409)=1,
""Unique"",
IF(COUNTUNIQUE(FILTER($V$2:$V$934,$A$2:$A$934=A409))&gt;1,
""Conflicting Duplicate"",
""Exact Duplicate""))"),"Unique")</f>
        <v>Unique</v>
      </c>
      <c r="X415" s="10" t="b">
        <f t="shared" ca="1" si="1"/>
        <v>1</v>
      </c>
      <c r="Y415" s="10" t="str">
        <f t="shared" si="2"/>
        <v>Unique</v>
      </c>
      <c r="Z415" s="10"/>
      <c r="AA415" s="10" t="str">
        <f t="shared" si="3"/>
        <v>Clean</v>
      </c>
      <c r="AB415" s="15" t="str">
        <f t="shared" si="4"/>
        <v>Valid</v>
      </c>
      <c r="AC415" s="15">
        <v>4</v>
      </c>
      <c r="AD415" s="16" t="str">
        <f t="shared" si="5"/>
        <v>Valid</v>
      </c>
      <c r="AE415" s="16" t="str">
        <f t="shared" si="6"/>
        <v>Valid</v>
      </c>
      <c r="AF415" s="16" t="str">
        <f t="shared" ref="AF415:AG415" si="841">IF(ISNUMBER(B415),"Valid","Invalid")</f>
        <v>Valid</v>
      </c>
      <c r="AG415" s="16" t="str">
        <f t="shared" si="841"/>
        <v>Valid</v>
      </c>
      <c r="AH415" s="16" t="str">
        <f t="shared" ref="AH415:AI415" si="842">IF(OR(B415="",ISBLANK(B415)),"Missing","Valid")</f>
        <v>Valid</v>
      </c>
      <c r="AI415" s="16" t="str">
        <f t="shared" si="842"/>
        <v>Valid</v>
      </c>
      <c r="AJ415" s="16" t="b">
        <v>0</v>
      </c>
      <c r="AK415" s="16" t="b">
        <v>0</v>
      </c>
      <c r="AL415" s="16" t="b">
        <v>0</v>
      </c>
      <c r="AM415" s="16" t="b">
        <v>0</v>
      </c>
      <c r="AN415" s="16" t="b">
        <v>0</v>
      </c>
      <c r="AO415" s="16" t="b">
        <v>0</v>
      </c>
      <c r="AP415" s="16" t="b">
        <v>0</v>
      </c>
      <c r="AQ415" s="17">
        <f t="shared" si="9"/>
        <v>0</v>
      </c>
      <c r="AR415" s="12">
        <f t="shared" si="10"/>
        <v>15345.84</v>
      </c>
      <c r="AS415" s="18">
        <f t="shared" si="11"/>
        <v>0</v>
      </c>
      <c r="AT415" s="12">
        <f t="shared" si="12"/>
        <v>4610.51</v>
      </c>
      <c r="AU415" s="18">
        <f t="shared" si="13"/>
        <v>0</v>
      </c>
      <c r="AV415" s="19">
        <f t="shared" si="14"/>
        <v>0.30044037993358463</v>
      </c>
      <c r="AW415" s="20" t="str">
        <f t="shared" si="15"/>
        <v>August</v>
      </c>
      <c r="AX415" s="21">
        <f t="shared" si="16"/>
        <v>2025</v>
      </c>
    </row>
    <row r="416" spans="1:50" ht="15.75" customHeight="1">
      <c r="A416" s="10" t="s">
        <v>1374</v>
      </c>
      <c r="B416" s="11">
        <v>45533</v>
      </c>
      <c r="C416" s="11">
        <v>45534</v>
      </c>
      <c r="D416" s="10" t="s">
        <v>1375</v>
      </c>
      <c r="E416" s="10" t="s">
        <v>82</v>
      </c>
      <c r="F416" s="10" t="s">
        <v>124</v>
      </c>
      <c r="G416" s="10" t="s">
        <v>67</v>
      </c>
      <c r="H416" s="10" t="s">
        <v>195</v>
      </c>
      <c r="I416" s="10" t="s">
        <v>196</v>
      </c>
      <c r="J416" s="10" t="s">
        <v>57</v>
      </c>
      <c r="K416" s="10" t="s">
        <v>153</v>
      </c>
      <c r="L416" s="10" t="s">
        <v>1376</v>
      </c>
      <c r="M416" s="10" t="s">
        <v>79</v>
      </c>
      <c r="N416" s="12">
        <v>4</v>
      </c>
      <c r="O416" s="12">
        <v>2484.08</v>
      </c>
      <c r="P416" s="12">
        <v>0.05</v>
      </c>
      <c r="Q416" s="12">
        <v>9439.5</v>
      </c>
      <c r="R416" s="12">
        <v>5519.39</v>
      </c>
      <c r="S416" s="12">
        <v>3920.11</v>
      </c>
      <c r="T416" s="10" t="s">
        <v>61</v>
      </c>
      <c r="U416" s="13" t="s">
        <v>62</v>
      </c>
      <c r="V416" s="14" t="e">
        <f t="shared" ca="1" si="0"/>
        <v>#NAME?</v>
      </c>
      <c r="W416" s="10" t="str">
        <f ca="1">IFERROR(__xludf.DUMMYFUNCTION("IF(COUNTIF($A:$A,A410)=1,
""Unique"",
IF(COUNTUNIQUE(FILTER($V$2:$V$934,$A$2:$A$934=A410))&gt;1,
""Conflicting Duplicate"",
""Exact Duplicate""))"),"Unique")</f>
        <v>Unique</v>
      </c>
      <c r="X416" s="10" t="b">
        <f t="shared" ca="1" si="1"/>
        <v>1</v>
      </c>
      <c r="Y416" s="10" t="str">
        <f t="shared" si="2"/>
        <v>Unique</v>
      </c>
      <c r="Z416" s="10"/>
      <c r="AA416" s="10" t="str">
        <f t="shared" si="3"/>
        <v>Clean</v>
      </c>
      <c r="AB416" s="15" t="str">
        <f t="shared" si="4"/>
        <v>Valid</v>
      </c>
      <c r="AC416" s="15">
        <v>1</v>
      </c>
      <c r="AD416" s="16" t="str">
        <f t="shared" si="5"/>
        <v>Valid</v>
      </c>
      <c r="AE416" s="16" t="str">
        <f t="shared" si="6"/>
        <v>Valid</v>
      </c>
      <c r="AF416" s="16" t="str">
        <f t="shared" ref="AF416:AG416" si="843">IF(ISNUMBER(B416),"Valid","Invalid")</f>
        <v>Valid</v>
      </c>
      <c r="AG416" s="16" t="str">
        <f t="shared" si="843"/>
        <v>Valid</v>
      </c>
      <c r="AH416" s="16" t="str">
        <f t="shared" ref="AH416:AI416" si="844">IF(OR(B416="",ISBLANK(B416)),"Missing","Valid")</f>
        <v>Valid</v>
      </c>
      <c r="AI416" s="16" t="str">
        <f t="shared" si="844"/>
        <v>Valid</v>
      </c>
      <c r="AJ416" s="16" t="b">
        <v>0</v>
      </c>
      <c r="AK416" s="16" t="b">
        <v>0</v>
      </c>
      <c r="AL416" s="16" t="b">
        <v>0</v>
      </c>
      <c r="AM416" s="16" t="b">
        <v>0</v>
      </c>
      <c r="AN416" s="16" t="b">
        <v>0</v>
      </c>
      <c r="AO416" s="16" t="b">
        <v>0</v>
      </c>
      <c r="AP416" s="16" t="b">
        <v>0</v>
      </c>
      <c r="AQ416" s="17">
        <f t="shared" si="9"/>
        <v>0.05</v>
      </c>
      <c r="AR416" s="12">
        <f t="shared" si="10"/>
        <v>9439.503999999999</v>
      </c>
      <c r="AS416" s="18">
        <f t="shared" si="11"/>
        <v>-3.9999999989959178E-3</v>
      </c>
      <c r="AT416" s="12">
        <f t="shared" si="12"/>
        <v>3920.1139999999987</v>
      </c>
      <c r="AU416" s="18">
        <f t="shared" si="13"/>
        <v>-3.9999999985411705E-3</v>
      </c>
      <c r="AV416" s="19">
        <f t="shared" si="14"/>
        <v>0.41528813378330037</v>
      </c>
      <c r="AW416" s="20" t="str">
        <f t="shared" si="15"/>
        <v>August</v>
      </c>
      <c r="AX416" s="21">
        <f t="shared" si="16"/>
        <v>2024</v>
      </c>
    </row>
    <row r="417" spans="1:50" ht="15.75" customHeight="1">
      <c r="A417" s="10" t="s">
        <v>1377</v>
      </c>
      <c r="B417" s="11">
        <v>45316</v>
      </c>
      <c r="C417" s="11">
        <v>45318</v>
      </c>
      <c r="D417" s="10" t="s">
        <v>1378</v>
      </c>
      <c r="E417" s="10" t="s">
        <v>157</v>
      </c>
      <c r="F417" s="10" t="s">
        <v>119</v>
      </c>
      <c r="G417" s="10" t="s">
        <v>83</v>
      </c>
      <c r="H417" s="10" t="s">
        <v>204</v>
      </c>
      <c r="I417" s="10" t="s">
        <v>205</v>
      </c>
      <c r="J417" s="10" t="s">
        <v>57</v>
      </c>
      <c r="K417" s="10" t="s">
        <v>153</v>
      </c>
      <c r="L417" s="10" t="s">
        <v>1379</v>
      </c>
      <c r="M417" s="10" t="s">
        <v>73</v>
      </c>
      <c r="N417" s="12">
        <v>7</v>
      </c>
      <c r="O417" s="12">
        <v>1727.26</v>
      </c>
      <c r="P417" s="12">
        <v>0.15</v>
      </c>
      <c r="Q417" s="12">
        <v>10277.200000000001</v>
      </c>
      <c r="R417" s="12">
        <v>7906.5</v>
      </c>
      <c r="S417" s="12">
        <v>2370.6999999999998</v>
      </c>
      <c r="T417" s="10" t="s">
        <v>61</v>
      </c>
      <c r="U417" s="13" t="s">
        <v>132</v>
      </c>
      <c r="V417" s="14" t="e">
        <f t="shared" ca="1" si="0"/>
        <v>#NAME?</v>
      </c>
      <c r="W417" s="10" t="str">
        <f ca="1">IFERROR(__xludf.DUMMYFUNCTION("IF(COUNTIF($A:$A,A411)=1,
""Unique"",
IF(COUNTUNIQUE(FILTER($V$2:$V$934,$A$2:$A$934=A411))&gt;1,
""Conflicting Duplicate"",
""Exact Duplicate""))"),"Unique")</f>
        <v>Unique</v>
      </c>
      <c r="X417" s="10" t="b">
        <f t="shared" ca="1" si="1"/>
        <v>1</v>
      </c>
      <c r="Y417" s="10" t="str">
        <f t="shared" si="2"/>
        <v>Unique</v>
      </c>
      <c r="Z417" s="10"/>
      <c r="AA417" s="10" t="str">
        <f t="shared" si="3"/>
        <v>Clean</v>
      </c>
      <c r="AB417" s="15" t="str">
        <f t="shared" si="4"/>
        <v>Valid</v>
      </c>
      <c r="AC417" s="15">
        <v>2</v>
      </c>
      <c r="AD417" s="16" t="str">
        <f t="shared" si="5"/>
        <v>Valid</v>
      </c>
      <c r="AE417" s="16" t="str">
        <f t="shared" si="6"/>
        <v>Valid</v>
      </c>
      <c r="AF417" s="16" t="str">
        <f t="shared" ref="AF417:AG417" si="845">IF(ISNUMBER(B417),"Valid","Invalid")</f>
        <v>Valid</v>
      </c>
      <c r="AG417" s="16" t="str">
        <f t="shared" si="845"/>
        <v>Valid</v>
      </c>
      <c r="AH417" s="16" t="str">
        <f t="shared" ref="AH417:AI417" si="846">IF(OR(B417="",ISBLANK(B417)),"Missing","Valid")</f>
        <v>Valid</v>
      </c>
      <c r="AI417" s="16" t="str">
        <f t="shared" si="846"/>
        <v>Valid</v>
      </c>
      <c r="AJ417" s="16" t="b">
        <v>0</v>
      </c>
      <c r="AK417" s="16" t="b">
        <v>0</v>
      </c>
      <c r="AL417" s="16" t="b">
        <v>0</v>
      </c>
      <c r="AM417" s="16" t="b">
        <v>0</v>
      </c>
      <c r="AN417" s="16" t="b">
        <v>0</v>
      </c>
      <c r="AO417" s="16" t="b">
        <v>0</v>
      </c>
      <c r="AP417" s="16" t="b">
        <v>0</v>
      </c>
      <c r="AQ417" s="17">
        <f t="shared" si="9"/>
        <v>0.15</v>
      </c>
      <c r="AR417" s="12">
        <f t="shared" si="10"/>
        <v>10277.197</v>
      </c>
      <c r="AS417" s="18">
        <f t="shared" si="11"/>
        <v>3.0000000006111804E-3</v>
      </c>
      <c r="AT417" s="12">
        <f t="shared" si="12"/>
        <v>2370.6970000000001</v>
      </c>
      <c r="AU417" s="18">
        <f t="shared" si="13"/>
        <v>2.9999999997016857E-3</v>
      </c>
      <c r="AV417" s="19">
        <f t="shared" si="14"/>
        <v>0.23067544584384245</v>
      </c>
      <c r="AW417" s="20" t="str">
        <f t="shared" si="15"/>
        <v>January</v>
      </c>
      <c r="AX417" s="21">
        <f t="shared" si="16"/>
        <v>2024</v>
      </c>
    </row>
    <row r="418" spans="1:50" ht="15.75" customHeight="1">
      <c r="A418" s="10" t="s">
        <v>1380</v>
      </c>
      <c r="B418" s="11">
        <v>45665</v>
      </c>
      <c r="C418" s="11">
        <v>45673</v>
      </c>
      <c r="D418" s="10" t="s">
        <v>1381</v>
      </c>
      <c r="E418" s="10" t="s">
        <v>108</v>
      </c>
      <c r="F418" s="10" t="s">
        <v>53</v>
      </c>
      <c r="G418" s="10" t="s">
        <v>83</v>
      </c>
      <c r="H418" s="10" t="s">
        <v>84</v>
      </c>
      <c r="I418" s="10" t="s">
        <v>85</v>
      </c>
      <c r="J418" s="10" t="s">
        <v>70</v>
      </c>
      <c r="K418" s="10" t="s">
        <v>86</v>
      </c>
      <c r="L418" s="10" t="s">
        <v>1382</v>
      </c>
      <c r="M418" s="10" t="s">
        <v>79</v>
      </c>
      <c r="N418" s="12">
        <v>8</v>
      </c>
      <c r="O418" s="12">
        <v>638.95000000000005</v>
      </c>
      <c r="P418" s="12">
        <v>0.25</v>
      </c>
      <c r="Q418" s="12">
        <v>3833.7</v>
      </c>
      <c r="R418" s="12">
        <v>2886.35</v>
      </c>
      <c r="S418" s="12">
        <v>947.35</v>
      </c>
      <c r="T418" s="10" t="s">
        <v>61</v>
      </c>
      <c r="U418" s="13" t="s">
        <v>62</v>
      </c>
      <c r="V418" s="14" t="e">
        <f t="shared" ca="1" si="0"/>
        <v>#NAME?</v>
      </c>
      <c r="W418" s="10" t="str">
        <f ca="1">IFERROR(__xludf.DUMMYFUNCTION("IF(COUNTIF($A:$A,A412)=1,
""Unique"",
IF(COUNTUNIQUE(FILTER($V$2:$V$934,$A$2:$A$934=A412))&gt;1,
""Conflicting Duplicate"",
""Exact Duplicate""))"),"Unique")</f>
        <v>Unique</v>
      </c>
      <c r="X418" s="10" t="b">
        <f t="shared" ca="1" si="1"/>
        <v>1</v>
      </c>
      <c r="Y418" s="10" t="str">
        <f t="shared" si="2"/>
        <v>Unique</v>
      </c>
      <c r="Z418" s="10"/>
      <c r="AA418" s="10" t="str">
        <f t="shared" si="3"/>
        <v>Clean</v>
      </c>
      <c r="AB418" s="15" t="str">
        <f t="shared" si="4"/>
        <v>Valid</v>
      </c>
      <c r="AC418" s="15">
        <v>8</v>
      </c>
      <c r="AD418" s="16" t="str">
        <f t="shared" si="5"/>
        <v>Valid</v>
      </c>
      <c r="AE418" s="16" t="str">
        <f t="shared" si="6"/>
        <v>Valid</v>
      </c>
      <c r="AF418" s="16" t="str">
        <f t="shared" ref="AF418:AG418" si="847">IF(ISNUMBER(B418),"Valid","Invalid")</f>
        <v>Valid</v>
      </c>
      <c r="AG418" s="16" t="str">
        <f t="shared" si="847"/>
        <v>Valid</v>
      </c>
      <c r="AH418" s="16" t="str">
        <f t="shared" ref="AH418:AI418" si="848">IF(OR(B418="",ISBLANK(B418)),"Missing","Valid")</f>
        <v>Valid</v>
      </c>
      <c r="AI418" s="16" t="str">
        <f t="shared" si="848"/>
        <v>Valid</v>
      </c>
      <c r="AJ418" s="16" t="b">
        <v>0</v>
      </c>
      <c r="AK418" s="16" t="b">
        <v>0</v>
      </c>
      <c r="AL418" s="16" t="b">
        <v>0</v>
      </c>
      <c r="AM418" s="16" t="b">
        <v>0</v>
      </c>
      <c r="AN418" s="16" t="b">
        <v>0</v>
      </c>
      <c r="AO418" s="16" t="b">
        <v>0</v>
      </c>
      <c r="AP418" s="16" t="b">
        <v>0</v>
      </c>
      <c r="AQ418" s="17">
        <f t="shared" si="9"/>
        <v>0.25</v>
      </c>
      <c r="AR418" s="12">
        <f t="shared" si="10"/>
        <v>3833.7000000000003</v>
      </c>
      <c r="AS418" s="18">
        <f t="shared" si="11"/>
        <v>0</v>
      </c>
      <c r="AT418" s="12">
        <f t="shared" si="12"/>
        <v>947.35000000000036</v>
      </c>
      <c r="AU418" s="18">
        <f t="shared" si="13"/>
        <v>0</v>
      </c>
      <c r="AV418" s="19">
        <f t="shared" si="14"/>
        <v>0.24711114589039318</v>
      </c>
      <c r="AW418" s="20" t="str">
        <f t="shared" si="15"/>
        <v>January</v>
      </c>
      <c r="AX418" s="21">
        <f t="shared" si="16"/>
        <v>2025</v>
      </c>
    </row>
    <row r="419" spans="1:50" ht="15.75" customHeight="1">
      <c r="A419" s="10" t="s">
        <v>1383</v>
      </c>
      <c r="B419" s="11">
        <v>45686</v>
      </c>
      <c r="C419" s="11">
        <v>45693</v>
      </c>
      <c r="D419" s="10" t="s">
        <v>1384</v>
      </c>
      <c r="E419" s="10" t="s">
        <v>65</v>
      </c>
      <c r="F419" s="10" t="s">
        <v>53</v>
      </c>
      <c r="G419" s="10" t="s">
        <v>92</v>
      </c>
      <c r="H419" s="10" t="s">
        <v>209</v>
      </c>
      <c r="I419" s="10" t="s">
        <v>210</v>
      </c>
      <c r="J419" s="10" t="s">
        <v>57</v>
      </c>
      <c r="K419" s="10" t="s">
        <v>77</v>
      </c>
      <c r="L419" s="10" t="s">
        <v>1385</v>
      </c>
      <c r="M419" s="10" t="s">
        <v>79</v>
      </c>
      <c r="N419" s="12">
        <v>6</v>
      </c>
      <c r="O419" s="12">
        <v>3863</v>
      </c>
      <c r="P419" s="12">
        <v>0.2</v>
      </c>
      <c r="Q419" s="12">
        <v>18542.400000000001</v>
      </c>
      <c r="R419" s="12">
        <v>11193.75</v>
      </c>
      <c r="S419" s="12">
        <v>7348.65</v>
      </c>
      <c r="T419" s="10" t="s">
        <v>61</v>
      </c>
      <c r="U419" s="13" t="s">
        <v>62</v>
      </c>
      <c r="V419" s="14" t="e">
        <f t="shared" ca="1" si="0"/>
        <v>#NAME?</v>
      </c>
      <c r="W419" s="10" t="str">
        <f ca="1">IFERROR(__xludf.DUMMYFUNCTION("IF(COUNTIF($A:$A,A413)=1,
""Unique"",
IF(COUNTUNIQUE(FILTER($V$2:$V$934,$A$2:$A$934=A413))&gt;1,
""Conflicting Duplicate"",
""Exact Duplicate""))"),"Unique")</f>
        <v>Unique</v>
      </c>
      <c r="X419" s="10" t="b">
        <f t="shared" ca="1" si="1"/>
        <v>1</v>
      </c>
      <c r="Y419" s="10" t="str">
        <f t="shared" si="2"/>
        <v>Unique</v>
      </c>
      <c r="Z419" s="10"/>
      <c r="AA419" s="10" t="str">
        <f t="shared" si="3"/>
        <v>Clean</v>
      </c>
      <c r="AB419" s="15" t="str">
        <f t="shared" si="4"/>
        <v>Valid</v>
      </c>
      <c r="AC419" s="15">
        <v>7</v>
      </c>
      <c r="AD419" s="16" t="str">
        <f t="shared" si="5"/>
        <v>Valid</v>
      </c>
      <c r="AE419" s="16" t="str">
        <f t="shared" si="6"/>
        <v>Valid</v>
      </c>
      <c r="AF419" s="16" t="str">
        <f t="shared" ref="AF419:AG419" si="849">IF(ISNUMBER(B419),"Valid","Invalid")</f>
        <v>Valid</v>
      </c>
      <c r="AG419" s="16" t="str">
        <f t="shared" si="849"/>
        <v>Valid</v>
      </c>
      <c r="AH419" s="16" t="str">
        <f t="shared" ref="AH419:AI419" si="850">IF(OR(B419="",ISBLANK(B419)),"Missing","Valid")</f>
        <v>Valid</v>
      </c>
      <c r="AI419" s="16" t="str">
        <f t="shared" si="850"/>
        <v>Valid</v>
      </c>
      <c r="AJ419" s="16" t="b">
        <v>0</v>
      </c>
      <c r="AK419" s="16" t="b">
        <v>0</v>
      </c>
      <c r="AL419" s="16" t="b">
        <v>0</v>
      </c>
      <c r="AM419" s="16" t="b">
        <v>0</v>
      </c>
      <c r="AN419" s="16" t="b">
        <v>0</v>
      </c>
      <c r="AO419" s="16" t="b">
        <v>0</v>
      </c>
      <c r="AP419" s="16" t="b">
        <v>0</v>
      </c>
      <c r="AQ419" s="17">
        <f t="shared" si="9"/>
        <v>0.2</v>
      </c>
      <c r="AR419" s="12">
        <f t="shared" si="10"/>
        <v>18542.400000000001</v>
      </c>
      <c r="AS419" s="18">
        <f t="shared" si="11"/>
        <v>0</v>
      </c>
      <c r="AT419" s="12">
        <f t="shared" si="12"/>
        <v>7348.6500000000015</v>
      </c>
      <c r="AU419" s="18">
        <f t="shared" si="13"/>
        <v>0</v>
      </c>
      <c r="AV419" s="19">
        <f t="shared" si="14"/>
        <v>0.39631601087237905</v>
      </c>
      <c r="AW419" s="20" t="str">
        <f t="shared" si="15"/>
        <v>January</v>
      </c>
      <c r="AX419" s="21">
        <f t="shared" si="16"/>
        <v>2025</v>
      </c>
    </row>
    <row r="420" spans="1:50" ht="15.75" customHeight="1">
      <c r="A420" s="10" t="s">
        <v>1386</v>
      </c>
      <c r="B420" s="11">
        <v>45605</v>
      </c>
      <c r="C420" s="11">
        <v>45613</v>
      </c>
      <c r="D420" s="10" t="s">
        <v>1387</v>
      </c>
      <c r="E420" s="10" t="s">
        <v>161</v>
      </c>
      <c r="F420" s="10" t="s">
        <v>119</v>
      </c>
      <c r="G420" s="10" t="s">
        <v>67</v>
      </c>
      <c r="H420" s="10" t="s">
        <v>68</v>
      </c>
      <c r="I420" s="10" t="s">
        <v>69</v>
      </c>
      <c r="J420" s="10" t="s">
        <v>103</v>
      </c>
      <c r="K420" s="10" t="s">
        <v>109</v>
      </c>
      <c r="L420" s="10" t="s">
        <v>1388</v>
      </c>
      <c r="M420" s="10" t="s">
        <v>88</v>
      </c>
      <c r="N420" s="12">
        <v>6</v>
      </c>
      <c r="O420" s="12">
        <v>3660.4</v>
      </c>
      <c r="P420" s="12">
        <v>0</v>
      </c>
      <c r="Q420" s="12">
        <v>21962.400000000001</v>
      </c>
      <c r="R420" s="12">
        <v>15331.99</v>
      </c>
      <c r="S420" s="12">
        <v>6630.41</v>
      </c>
      <c r="T420" s="10" t="s">
        <v>184</v>
      </c>
      <c r="U420" s="13" t="s">
        <v>97</v>
      </c>
      <c r="V420" s="14" t="e">
        <f t="shared" ca="1" si="0"/>
        <v>#NAME?</v>
      </c>
      <c r="W420" s="10" t="str">
        <f ca="1">IFERROR(__xludf.DUMMYFUNCTION("IF(COUNTIF($A:$A,A414)=1,
""Unique"",
IF(COUNTUNIQUE(FILTER($V$2:$V$934,$A$2:$A$934=A414))&gt;1,
""Conflicting Duplicate"",
""Exact Duplicate""))"),"Unique")</f>
        <v>Unique</v>
      </c>
      <c r="X420" s="10" t="b">
        <f t="shared" ca="1" si="1"/>
        <v>1</v>
      </c>
      <c r="Y420" s="10" t="str">
        <f t="shared" si="2"/>
        <v>Unique</v>
      </c>
      <c r="Z420" s="10"/>
      <c r="AA420" s="10" t="str">
        <f t="shared" si="3"/>
        <v>Clean</v>
      </c>
      <c r="AB420" s="15" t="str">
        <f t="shared" si="4"/>
        <v>Valid</v>
      </c>
      <c r="AC420" s="15">
        <v>8</v>
      </c>
      <c r="AD420" s="16" t="str">
        <f t="shared" si="5"/>
        <v>Valid</v>
      </c>
      <c r="AE420" s="16" t="str">
        <f t="shared" si="6"/>
        <v>Valid</v>
      </c>
      <c r="AF420" s="16" t="str">
        <f t="shared" ref="AF420:AG420" si="851">IF(ISNUMBER(B420),"Valid","Invalid")</f>
        <v>Valid</v>
      </c>
      <c r="AG420" s="16" t="str">
        <f t="shared" si="851"/>
        <v>Valid</v>
      </c>
      <c r="AH420" s="16" t="str">
        <f t="shared" ref="AH420:AI420" si="852">IF(OR(B420="",ISBLANK(B420)),"Missing","Valid")</f>
        <v>Valid</v>
      </c>
      <c r="AI420" s="16" t="str">
        <f t="shared" si="852"/>
        <v>Valid</v>
      </c>
      <c r="AJ420" s="16" t="b">
        <v>0</v>
      </c>
      <c r="AK420" s="16" t="b">
        <v>0</v>
      </c>
      <c r="AL420" s="16" t="b">
        <v>0</v>
      </c>
      <c r="AM420" s="16" t="b">
        <v>0</v>
      </c>
      <c r="AN420" s="16" t="b">
        <v>0</v>
      </c>
      <c r="AO420" s="16" t="b">
        <v>0</v>
      </c>
      <c r="AP420" s="16" t="b">
        <v>0</v>
      </c>
      <c r="AQ420" s="17">
        <f t="shared" si="9"/>
        <v>0</v>
      </c>
      <c r="AR420" s="12">
        <f t="shared" si="10"/>
        <v>21962.400000000001</v>
      </c>
      <c r="AS420" s="18">
        <f t="shared" si="11"/>
        <v>0</v>
      </c>
      <c r="AT420" s="12">
        <f t="shared" si="12"/>
        <v>6630.4100000000017</v>
      </c>
      <c r="AU420" s="18">
        <f t="shared" si="13"/>
        <v>0</v>
      </c>
      <c r="AV420" s="19">
        <f t="shared" si="14"/>
        <v>0.3018982442720286</v>
      </c>
      <c r="AW420" s="20" t="str">
        <f t="shared" si="15"/>
        <v>November</v>
      </c>
      <c r="AX420" s="21">
        <f t="shared" si="16"/>
        <v>2024</v>
      </c>
    </row>
    <row r="421" spans="1:50" ht="15.75" customHeight="1">
      <c r="A421" s="10" t="s">
        <v>1389</v>
      </c>
      <c r="B421" s="11">
        <v>45926</v>
      </c>
      <c r="C421" s="11">
        <v>45930</v>
      </c>
      <c r="D421" s="10" t="s">
        <v>1390</v>
      </c>
      <c r="E421" s="10" t="s">
        <v>161</v>
      </c>
      <c r="F421" s="10" t="s">
        <v>124</v>
      </c>
      <c r="G421" s="10" t="s">
        <v>54</v>
      </c>
      <c r="H421" s="10" t="s">
        <v>266</v>
      </c>
      <c r="I421" s="10" t="s">
        <v>267</v>
      </c>
      <c r="J421" s="10" t="s">
        <v>103</v>
      </c>
      <c r="K421" s="10" t="s">
        <v>200</v>
      </c>
      <c r="L421" s="10" t="s">
        <v>1391</v>
      </c>
      <c r="M421" s="10" t="s">
        <v>73</v>
      </c>
      <c r="N421" s="12">
        <v>2</v>
      </c>
      <c r="O421" s="12">
        <v>688.83</v>
      </c>
      <c r="P421" s="12">
        <v>0.05</v>
      </c>
      <c r="Q421" s="12">
        <v>1308.78</v>
      </c>
      <c r="R421" s="12">
        <v>843</v>
      </c>
      <c r="S421" s="12">
        <v>465.78</v>
      </c>
      <c r="T421" s="10" t="s">
        <v>61</v>
      </c>
      <c r="U421" s="13" t="s">
        <v>62</v>
      </c>
      <c r="V421" s="14" t="e">
        <f t="shared" ca="1" si="0"/>
        <v>#NAME?</v>
      </c>
      <c r="W421" s="10" t="str">
        <f ca="1">IFERROR(__xludf.DUMMYFUNCTION("IF(COUNTIF($A:$A,A415)=1,
""Unique"",
IF(COUNTUNIQUE(FILTER($V$2:$V$934,$A$2:$A$934=A415))&gt;1,
""Conflicting Duplicate"",
""Exact Duplicate""))"),"Unique")</f>
        <v>Unique</v>
      </c>
      <c r="X421" s="10" t="b">
        <f t="shared" ca="1" si="1"/>
        <v>1</v>
      </c>
      <c r="Y421" s="10" t="str">
        <f t="shared" si="2"/>
        <v>Unique</v>
      </c>
      <c r="Z421" s="10"/>
      <c r="AA421" s="10" t="str">
        <f t="shared" si="3"/>
        <v>Clean</v>
      </c>
      <c r="AB421" s="15" t="str">
        <f t="shared" si="4"/>
        <v>Valid</v>
      </c>
      <c r="AC421" s="15">
        <v>4</v>
      </c>
      <c r="AD421" s="16" t="str">
        <f t="shared" si="5"/>
        <v>Valid</v>
      </c>
      <c r="AE421" s="16" t="str">
        <f t="shared" si="6"/>
        <v>Valid</v>
      </c>
      <c r="AF421" s="16" t="str">
        <f t="shared" ref="AF421:AG421" si="853">IF(ISNUMBER(B421),"Valid","Invalid")</f>
        <v>Valid</v>
      </c>
      <c r="AG421" s="16" t="str">
        <f t="shared" si="853"/>
        <v>Valid</v>
      </c>
      <c r="AH421" s="16" t="str">
        <f t="shared" ref="AH421:AI421" si="854">IF(OR(B421="",ISBLANK(B421)),"Missing","Valid")</f>
        <v>Valid</v>
      </c>
      <c r="AI421" s="16" t="str">
        <f t="shared" si="854"/>
        <v>Valid</v>
      </c>
      <c r="AJ421" s="16" t="b">
        <v>0</v>
      </c>
      <c r="AK421" s="16" t="b">
        <v>0</v>
      </c>
      <c r="AL421" s="16" t="b">
        <v>0</v>
      </c>
      <c r="AM421" s="16" t="b">
        <v>0</v>
      </c>
      <c r="AN421" s="16" t="b">
        <v>0</v>
      </c>
      <c r="AO421" s="16" t="b">
        <v>0</v>
      </c>
      <c r="AP421" s="16" t="b">
        <v>0</v>
      </c>
      <c r="AQ421" s="17">
        <f t="shared" si="9"/>
        <v>0.05</v>
      </c>
      <c r="AR421" s="12">
        <f t="shared" si="10"/>
        <v>1308.777</v>
      </c>
      <c r="AS421" s="18">
        <f t="shared" si="11"/>
        <v>2.9999999999290594E-3</v>
      </c>
      <c r="AT421" s="12">
        <f t="shared" si="12"/>
        <v>465.77700000000004</v>
      </c>
      <c r="AU421" s="18">
        <f t="shared" si="13"/>
        <v>2.9999999999290594E-3</v>
      </c>
      <c r="AV421" s="19">
        <f t="shared" si="14"/>
        <v>0.35588721378813964</v>
      </c>
      <c r="AW421" s="20" t="str">
        <f t="shared" si="15"/>
        <v>September</v>
      </c>
      <c r="AX421" s="21">
        <f t="shared" si="16"/>
        <v>2025</v>
      </c>
    </row>
    <row r="422" spans="1:50" ht="15.75" customHeight="1">
      <c r="A422" s="10" t="s">
        <v>1392</v>
      </c>
      <c r="B422" s="11">
        <v>45734</v>
      </c>
      <c r="C422" s="11">
        <v>45735</v>
      </c>
      <c r="D422" s="10" t="s">
        <v>1393</v>
      </c>
      <c r="E422" s="10" t="s">
        <v>76</v>
      </c>
      <c r="F422" s="10" t="s">
        <v>119</v>
      </c>
      <c r="G422" s="10" t="s">
        <v>83</v>
      </c>
      <c r="H422" s="10" t="s">
        <v>277</v>
      </c>
      <c r="I422" s="10" t="s">
        <v>278</v>
      </c>
      <c r="J422" s="10" t="s">
        <v>103</v>
      </c>
      <c r="K422" s="10" t="s">
        <v>304</v>
      </c>
      <c r="L422" s="10" t="s">
        <v>1394</v>
      </c>
      <c r="M422" s="10" t="s">
        <v>88</v>
      </c>
      <c r="N422" s="12">
        <v>2</v>
      </c>
      <c r="O422" s="12">
        <v>1209.99</v>
      </c>
      <c r="P422" s="12">
        <v>0.25</v>
      </c>
      <c r="Q422" s="12">
        <v>1814.99</v>
      </c>
      <c r="R422" s="12">
        <v>1120.06</v>
      </c>
      <c r="S422" s="12">
        <v>694.93</v>
      </c>
      <c r="T422" s="10" t="s">
        <v>140</v>
      </c>
      <c r="U422" s="13" t="s">
        <v>97</v>
      </c>
      <c r="V422" s="14" t="e">
        <f t="shared" ca="1" si="0"/>
        <v>#NAME?</v>
      </c>
      <c r="W422" s="10" t="str">
        <f ca="1">IFERROR(__xludf.DUMMYFUNCTION("IF(COUNTIF($A:$A,A416)=1,
""Unique"",
IF(COUNTUNIQUE(FILTER($V$2:$V$934,$A$2:$A$934=A416))&gt;1,
""Conflicting Duplicate"",
""Exact Duplicate""))"),"Unique")</f>
        <v>Unique</v>
      </c>
      <c r="X422" s="10" t="b">
        <f t="shared" ca="1" si="1"/>
        <v>1</v>
      </c>
      <c r="Y422" s="10" t="str">
        <f t="shared" si="2"/>
        <v>Unique</v>
      </c>
      <c r="Z422" s="10"/>
      <c r="AA422" s="10" t="str">
        <f t="shared" si="3"/>
        <v>Clean</v>
      </c>
      <c r="AB422" s="15" t="str">
        <f t="shared" si="4"/>
        <v>Valid</v>
      </c>
      <c r="AC422" s="15">
        <v>1</v>
      </c>
      <c r="AD422" s="16" t="str">
        <f t="shared" si="5"/>
        <v>Valid</v>
      </c>
      <c r="AE422" s="16" t="str">
        <f t="shared" si="6"/>
        <v>Valid</v>
      </c>
      <c r="AF422" s="16" t="str">
        <f t="shared" ref="AF422:AG422" si="855">IF(ISNUMBER(B422),"Valid","Invalid")</f>
        <v>Valid</v>
      </c>
      <c r="AG422" s="16" t="str">
        <f t="shared" si="855"/>
        <v>Valid</v>
      </c>
      <c r="AH422" s="16" t="str">
        <f t="shared" ref="AH422:AI422" si="856">IF(OR(B422="",ISBLANK(B422)),"Missing","Valid")</f>
        <v>Valid</v>
      </c>
      <c r="AI422" s="16" t="str">
        <f t="shared" si="856"/>
        <v>Valid</v>
      </c>
      <c r="AJ422" s="16" t="b">
        <v>0</v>
      </c>
      <c r="AK422" s="16" t="b">
        <v>0</v>
      </c>
      <c r="AL422" s="16" t="b">
        <v>0</v>
      </c>
      <c r="AM422" s="16" t="b">
        <v>0</v>
      </c>
      <c r="AN422" s="16" t="b">
        <v>0</v>
      </c>
      <c r="AO422" s="16" t="b">
        <v>0</v>
      </c>
      <c r="AP422" s="16" t="b">
        <v>0</v>
      </c>
      <c r="AQ422" s="17">
        <f t="shared" si="9"/>
        <v>0.25</v>
      </c>
      <c r="AR422" s="12">
        <f t="shared" si="10"/>
        <v>1814.9850000000001</v>
      </c>
      <c r="AS422" s="18">
        <f t="shared" si="11"/>
        <v>4.9999999998817657E-3</v>
      </c>
      <c r="AT422" s="12">
        <f t="shared" si="12"/>
        <v>694.92500000000018</v>
      </c>
      <c r="AU422" s="18">
        <f t="shared" si="13"/>
        <v>4.9999999997680789E-3</v>
      </c>
      <c r="AV422" s="19">
        <f t="shared" si="14"/>
        <v>0.38288195219244242</v>
      </c>
      <c r="AW422" s="20" t="str">
        <f t="shared" si="15"/>
        <v>March</v>
      </c>
      <c r="AX422" s="21">
        <f t="shared" si="16"/>
        <v>2025</v>
      </c>
    </row>
    <row r="423" spans="1:50" ht="15.75" customHeight="1">
      <c r="A423" s="10" t="s">
        <v>1395</v>
      </c>
      <c r="B423" s="11">
        <v>45822</v>
      </c>
      <c r="C423" s="11">
        <v>45827</v>
      </c>
      <c r="D423" s="10" t="s">
        <v>1396</v>
      </c>
      <c r="E423" s="10" t="s">
        <v>170</v>
      </c>
      <c r="F423" s="10" t="s">
        <v>66</v>
      </c>
      <c r="G423" s="10" t="s">
        <v>54</v>
      </c>
      <c r="H423" s="10" t="s">
        <v>380</v>
      </c>
      <c r="I423" s="10" t="s">
        <v>381</v>
      </c>
      <c r="J423" s="10" t="s">
        <v>57</v>
      </c>
      <c r="K423" s="10" t="s">
        <v>182</v>
      </c>
      <c r="L423" s="10" t="s">
        <v>1397</v>
      </c>
      <c r="M423" s="10" t="s">
        <v>73</v>
      </c>
      <c r="N423" s="12">
        <v>3</v>
      </c>
      <c r="O423" s="12">
        <v>1037.45</v>
      </c>
      <c r="P423" s="12">
        <v>0.2</v>
      </c>
      <c r="Q423" s="12">
        <v>2489.88</v>
      </c>
      <c r="R423" s="12">
        <v>1707.52</v>
      </c>
      <c r="S423" s="12">
        <v>782.36</v>
      </c>
      <c r="T423" s="10" t="s">
        <v>140</v>
      </c>
      <c r="U423" s="13" t="s">
        <v>132</v>
      </c>
      <c r="V423" s="14" t="e">
        <f t="shared" ca="1" si="0"/>
        <v>#NAME?</v>
      </c>
      <c r="W423" s="10" t="str">
        <f ca="1">IFERROR(__xludf.DUMMYFUNCTION("IF(COUNTIF($A:$A,A417)=1,
""Unique"",
IF(COUNTUNIQUE(FILTER($V$2:$V$934,$A$2:$A$934=A417))&gt;1,
""Conflicting Duplicate"",
""Exact Duplicate""))"),"Unique")</f>
        <v>Unique</v>
      </c>
      <c r="X423" s="10" t="b">
        <f t="shared" ca="1" si="1"/>
        <v>1</v>
      </c>
      <c r="Y423" s="10" t="str">
        <f t="shared" si="2"/>
        <v>Unique</v>
      </c>
      <c r="Z423" s="10"/>
      <c r="AA423" s="10" t="str">
        <f t="shared" si="3"/>
        <v>Clean</v>
      </c>
      <c r="AB423" s="15" t="str">
        <f t="shared" si="4"/>
        <v>Valid</v>
      </c>
      <c r="AC423" s="15">
        <v>5</v>
      </c>
      <c r="AD423" s="16" t="str">
        <f t="shared" si="5"/>
        <v>Valid</v>
      </c>
      <c r="AE423" s="16" t="str">
        <f t="shared" si="6"/>
        <v>Valid</v>
      </c>
      <c r="AF423" s="16" t="str">
        <f t="shared" ref="AF423:AG423" si="857">IF(ISNUMBER(B423),"Valid","Invalid")</f>
        <v>Valid</v>
      </c>
      <c r="AG423" s="16" t="str">
        <f t="shared" si="857"/>
        <v>Valid</v>
      </c>
      <c r="AH423" s="16" t="str">
        <f t="shared" ref="AH423:AI423" si="858">IF(OR(B423="",ISBLANK(B423)),"Missing","Valid")</f>
        <v>Valid</v>
      </c>
      <c r="AI423" s="16" t="str">
        <f t="shared" si="858"/>
        <v>Valid</v>
      </c>
      <c r="AJ423" s="16" t="b">
        <v>0</v>
      </c>
      <c r="AK423" s="16" t="b">
        <v>0</v>
      </c>
      <c r="AL423" s="16" t="b">
        <v>0</v>
      </c>
      <c r="AM423" s="16" t="b">
        <v>0</v>
      </c>
      <c r="AN423" s="16" t="b">
        <v>0</v>
      </c>
      <c r="AO423" s="16" t="b">
        <v>0</v>
      </c>
      <c r="AP423" s="16" t="b">
        <v>0</v>
      </c>
      <c r="AQ423" s="17">
        <f t="shared" si="9"/>
        <v>0.2</v>
      </c>
      <c r="AR423" s="12">
        <f t="shared" si="10"/>
        <v>2489.8800000000006</v>
      </c>
      <c r="AS423" s="18">
        <f t="shared" si="11"/>
        <v>0</v>
      </c>
      <c r="AT423" s="12">
        <f t="shared" si="12"/>
        <v>782.36000000000058</v>
      </c>
      <c r="AU423" s="18">
        <f t="shared" si="13"/>
        <v>0</v>
      </c>
      <c r="AV423" s="19">
        <f t="shared" si="14"/>
        <v>0.31421594615001541</v>
      </c>
      <c r="AW423" s="20" t="str">
        <f t="shared" si="15"/>
        <v>June</v>
      </c>
      <c r="AX423" s="21">
        <f t="shared" si="16"/>
        <v>2025</v>
      </c>
    </row>
    <row r="424" spans="1:50" ht="15.75" customHeight="1">
      <c r="A424" s="10" t="s">
        <v>1398</v>
      </c>
      <c r="B424" s="11">
        <v>45903</v>
      </c>
      <c r="C424" s="11">
        <v>45906</v>
      </c>
      <c r="D424" s="10" t="s">
        <v>1399</v>
      </c>
      <c r="E424" s="10" t="s">
        <v>294</v>
      </c>
      <c r="F424" s="10" t="s">
        <v>53</v>
      </c>
      <c r="G424" s="10" t="s">
        <v>92</v>
      </c>
      <c r="H424" s="10" t="s">
        <v>101</v>
      </c>
      <c r="I424" s="10" t="s">
        <v>102</v>
      </c>
      <c r="J424" s="10" t="s">
        <v>103</v>
      </c>
      <c r="K424" s="10" t="s">
        <v>109</v>
      </c>
      <c r="L424" s="10" t="s">
        <v>1400</v>
      </c>
      <c r="M424" s="10" t="s">
        <v>73</v>
      </c>
      <c r="N424" s="12">
        <v>7</v>
      </c>
      <c r="O424" s="12">
        <v>688.85</v>
      </c>
      <c r="P424" s="12">
        <v>0.15</v>
      </c>
      <c r="Q424" s="12">
        <v>4098.66</v>
      </c>
      <c r="R424" s="12">
        <v>2678.06</v>
      </c>
      <c r="S424" s="12">
        <v>1420.6</v>
      </c>
      <c r="T424" s="10" t="s">
        <v>61</v>
      </c>
      <c r="U424" s="13" t="s">
        <v>62</v>
      </c>
      <c r="V424" s="14" t="e">
        <f t="shared" ca="1" si="0"/>
        <v>#NAME?</v>
      </c>
      <c r="W424" s="10" t="str">
        <f ca="1">IFERROR(__xludf.DUMMYFUNCTION("IF(COUNTIF($A:$A,A418)=1,
""Unique"",
IF(COUNTUNIQUE(FILTER($V$2:$V$934,$A$2:$A$934=A418))&gt;1,
""Conflicting Duplicate"",
""Exact Duplicate""))"),"Unique")</f>
        <v>Unique</v>
      </c>
      <c r="X424" s="10" t="b">
        <f t="shared" ca="1" si="1"/>
        <v>1</v>
      </c>
      <c r="Y424" s="10" t="str">
        <f t="shared" si="2"/>
        <v>Unique</v>
      </c>
      <c r="Z424" s="10"/>
      <c r="AA424" s="10" t="str">
        <f t="shared" si="3"/>
        <v>Clean</v>
      </c>
      <c r="AB424" s="15" t="str">
        <f t="shared" si="4"/>
        <v>Valid</v>
      </c>
      <c r="AC424" s="15">
        <v>3</v>
      </c>
      <c r="AD424" s="16" t="str">
        <f t="shared" si="5"/>
        <v>Valid</v>
      </c>
      <c r="AE424" s="16" t="str">
        <f t="shared" si="6"/>
        <v>Valid</v>
      </c>
      <c r="AF424" s="16" t="str">
        <f t="shared" ref="AF424:AG424" si="859">IF(ISNUMBER(B424),"Valid","Invalid")</f>
        <v>Valid</v>
      </c>
      <c r="AG424" s="16" t="str">
        <f t="shared" si="859"/>
        <v>Valid</v>
      </c>
      <c r="AH424" s="16" t="str">
        <f t="shared" ref="AH424:AI424" si="860">IF(OR(B424="",ISBLANK(B424)),"Missing","Valid")</f>
        <v>Valid</v>
      </c>
      <c r="AI424" s="16" t="str">
        <f t="shared" si="860"/>
        <v>Valid</v>
      </c>
      <c r="AJ424" s="16" t="b">
        <v>0</v>
      </c>
      <c r="AK424" s="16" t="b">
        <v>0</v>
      </c>
      <c r="AL424" s="16" t="b">
        <v>0</v>
      </c>
      <c r="AM424" s="16" t="b">
        <v>0</v>
      </c>
      <c r="AN424" s="16" t="b">
        <v>0</v>
      </c>
      <c r="AO424" s="16" t="b">
        <v>0</v>
      </c>
      <c r="AP424" s="16" t="b">
        <v>0</v>
      </c>
      <c r="AQ424" s="17">
        <f t="shared" si="9"/>
        <v>0.15</v>
      </c>
      <c r="AR424" s="12">
        <f t="shared" si="10"/>
        <v>4098.6574999999993</v>
      </c>
      <c r="AS424" s="18">
        <f t="shared" si="11"/>
        <v>2.500000000509317E-3</v>
      </c>
      <c r="AT424" s="12">
        <f t="shared" si="12"/>
        <v>1420.5974999999994</v>
      </c>
      <c r="AU424" s="18">
        <f t="shared" si="13"/>
        <v>2.500000000509317E-3</v>
      </c>
      <c r="AV424" s="19">
        <f t="shared" si="14"/>
        <v>0.34660068571233377</v>
      </c>
      <c r="AW424" s="20" t="str">
        <f t="shared" si="15"/>
        <v>September</v>
      </c>
      <c r="AX424" s="21">
        <f t="shared" si="16"/>
        <v>2025</v>
      </c>
    </row>
    <row r="425" spans="1:50" ht="15.75" customHeight="1">
      <c r="A425" s="10" t="s">
        <v>1401</v>
      </c>
      <c r="B425" s="11">
        <v>45342</v>
      </c>
      <c r="C425" s="11">
        <v>45349</v>
      </c>
      <c r="D425" s="10" t="s">
        <v>1402</v>
      </c>
      <c r="E425" s="10" t="s">
        <v>191</v>
      </c>
      <c r="F425" s="10" t="s">
        <v>53</v>
      </c>
      <c r="G425" s="10" t="s">
        <v>83</v>
      </c>
      <c r="H425" s="10" t="s">
        <v>214</v>
      </c>
      <c r="I425" s="10" t="s">
        <v>215</v>
      </c>
      <c r="J425" s="10" t="s">
        <v>103</v>
      </c>
      <c r="K425" s="10" t="s">
        <v>104</v>
      </c>
      <c r="L425" s="10" t="s">
        <v>1403</v>
      </c>
      <c r="M425" s="10" t="s">
        <v>79</v>
      </c>
      <c r="N425" s="12">
        <v>9</v>
      </c>
      <c r="O425" s="12">
        <v>3779.31</v>
      </c>
      <c r="P425" s="12">
        <v>0.2</v>
      </c>
      <c r="Q425" s="12">
        <v>27211.03</v>
      </c>
      <c r="R425" s="12">
        <v>17940.43</v>
      </c>
      <c r="S425" s="12">
        <v>9270.6</v>
      </c>
      <c r="T425" s="10" t="s">
        <v>61</v>
      </c>
      <c r="U425" s="13" t="s">
        <v>62</v>
      </c>
      <c r="V425" s="14" t="e">
        <f t="shared" ca="1" si="0"/>
        <v>#NAME?</v>
      </c>
      <c r="W425" s="10" t="str">
        <f ca="1">IFERROR(__xludf.DUMMYFUNCTION("IF(COUNTIF($A:$A,A419)=1,
""Unique"",
IF(COUNTUNIQUE(FILTER($V$2:$V$934,$A$2:$A$934=A419))&gt;1,
""Conflicting Duplicate"",
""Exact Duplicate""))"),"Unique")</f>
        <v>Unique</v>
      </c>
      <c r="X425" s="10" t="b">
        <f t="shared" ca="1" si="1"/>
        <v>1</v>
      </c>
      <c r="Y425" s="10" t="str">
        <f t="shared" si="2"/>
        <v>Duplicate Order ID</v>
      </c>
      <c r="Z425" s="10"/>
      <c r="AA425" s="10" t="str">
        <f t="shared" si="3"/>
        <v>Clean</v>
      </c>
      <c r="AB425" s="15" t="str">
        <f t="shared" si="4"/>
        <v>Valid</v>
      </c>
      <c r="AC425" s="15">
        <v>7</v>
      </c>
      <c r="AD425" s="16" t="str">
        <f t="shared" si="5"/>
        <v>Valid</v>
      </c>
      <c r="AE425" s="16" t="str">
        <f t="shared" si="6"/>
        <v>Valid</v>
      </c>
      <c r="AF425" s="16" t="str">
        <f t="shared" ref="AF425:AG425" si="861">IF(ISNUMBER(B425),"Valid","Invalid")</f>
        <v>Valid</v>
      </c>
      <c r="AG425" s="16" t="str">
        <f t="shared" si="861"/>
        <v>Valid</v>
      </c>
      <c r="AH425" s="16" t="str">
        <f t="shared" ref="AH425:AI425" si="862">IF(OR(B425="",ISBLANK(B425)),"Missing","Valid")</f>
        <v>Valid</v>
      </c>
      <c r="AI425" s="16" t="str">
        <f t="shared" si="862"/>
        <v>Valid</v>
      </c>
      <c r="AJ425" s="16" t="b">
        <v>0</v>
      </c>
      <c r="AK425" s="16" t="b">
        <v>0</v>
      </c>
      <c r="AL425" s="16" t="b">
        <v>0</v>
      </c>
      <c r="AM425" s="16" t="b">
        <v>0</v>
      </c>
      <c r="AN425" s="16" t="b">
        <v>0</v>
      </c>
      <c r="AO425" s="16" t="b">
        <v>0</v>
      </c>
      <c r="AP425" s="16" t="b">
        <v>0</v>
      </c>
      <c r="AQ425" s="17">
        <f t="shared" si="9"/>
        <v>0.2</v>
      </c>
      <c r="AR425" s="12">
        <f t="shared" si="10"/>
        <v>27211.032000000003</v>
      </c>
      <c r="AS425" s="18">
        <f t="shared" si="11"/>
        <v>-2.0000000040454324E-3</v>
      </c>
      <c r="AT425" s="12">
        <f t="shared" si="12"/>
        <v>9270.6020000000026</v>
      </c>
      <c r="AU425" s="18">
        <f t="shared" si="13"/>
        <v>-2.000000002226443E-3</v>
      </c>
      <c r="AV425" s="19">
        <f t="shared" si="14"/>
        <v>0.34069277490100347</v>
      </c>
      <c r="AW425" s="20" t="str">
        <f t="shared" si="15"/>
        <v>February</v>
      </c>
      <c r="AX425" s="21">
        <f t="shared" si="16"/>
        <v>2024</v>
      </c>
    </row>
    <row r="426" spans="1:50" ht="15.75" customHeight="1">
      <c r="A426" s="10" t="s">
        <v>1404</v>
      </c>
      <c r="B426" s="11">
        <v>45469</v>
      </c>
      <c r="C426" s="11">
        <v>45472</v>
      </c>
      <c r="D426" s="10" t="s">
        <v>1405</v>
      </c>
      <c r="E426" s="10" t="s">
        <v>108</v>
      </c>
      <c r="F426" s="10" t="s">
        <v>119</v>
      </c>
      <c r="G426" s="10" t="s">
        <v>54</v>
      </c>
      <c r="H426" s="10" t="s">
        <v>151</v>
      </c>
      <c r="I426" s="10" t="s">
        <v>152</v>
      </c>
      <c r="J426" s="10" t="s">
        <v>103</v>
      </c>
      <c r="K426" s="10" t="s">
        <v>200</v>
      </c>
      <c r="L426" s="10" t="s">
        <v>1406</v>
      </c>
      <c r="M426" s="10" t="s">
        <v>88</v>
      </c>
      <c r="N426" s="12">
        <v>8</v>
      </c>
      <c r="O426" s="12">
        <v>804.52</v>
      </c>
      <c r="P426" s="12">
        <v>0</v>
      </c>
      <c r="Q426" s="12">
        <v>6436.16</v>
      </c>
      <c r="R426" s="12">
        <v>4263.83</v>
      </c>
      <c r="S426" s="12">
        <v>2172.33</v>
      </c>
      <c r="T426" s="10" t="s">
        <v>61</v>
      </c>
      <c r="U426" s="13" t="s">
        <v>62</v>
      </c>
      <c r="V426" s="14" t="e">
        <f t="shared" ca="1" si="0"/>
        <v>#NAME?</v>
      </c>
      <c r="W426" s="10" t="str">
        <f ca="1">IFERROR(__xludf.DUMMYFUNCTION("IF(COUNTIF($A:$A,A420)=1,
""Unique"",
IF(COUNTUNIQUE(FILTER($V$2:$V$934,$A$2:$A$934=A420))&gt;1,
""Conflicting Duplicate"",
""Exact Duplicate""))"),"Unique")</f>
        <v>Unique</v>
      </c>
      <c r="X426" s="10" t="b">
        <f t="shared" ca="1" si="1"/>
        <v>1</v>
      </c>
      <c r="Y426" s="10" t="str">
        <f t="shared" si="2"/>
        <v>Unique</v>
      </c>
      <c r="Z426" s="10"/>
      <c r="AA426" s="10" t="str">
        <f t="shared" si="3"/>
        <v>Clean</v>
      </c>
      <c r="AB426" s="15" t="str">
        <f t="shared" si="4"/>
        <v>Valid</v>
      </c>
      <c r="AC426" s="15">
        <v>3</v>
      </c>
      <c r="AD426" s="16" t="str">
        <f t="shared" si="5"/>
        <v>Valid</v>
      </c>
      <c r="AE426" s="16" t="str">
        <f t="shared" si="6"/>
        <v>Valid</v>
      </c>
      <c r="AF426" s="16" t="str">
        <f t="shared" ref="AF426:AG426" si="863">IF(ISNUMBER(B426),"Valid","Invalid")</f>
        <v>Valid</v>
      </c>
      <c r="AG426" s="16" t="str">
        <f t="shared" si="863"/>
        <v>Valid</v>
      </c>
      <c r="AH426" s="16" t="str">
        <f t="shared" ref="AH426:AI426" si="864">IF(OR(B426="",ISBLANK(B426)),"Missing","Valid")</f>
        <v>Valid</v>
      </c>
      <c r="AI426" s="16" t="str">
        <f t="shared" si="864"/>
        <v>Valid</v>
      </c>
      <c r="AJ426" s="16" t="b">
        <v>0</v>
      </c>
      <c r="AK426" s="16" t="b">
        <v>0</v>
      </c>
      <c r="AL426" s="16" t="b">
        <v>0</v>
      </c>
      <c r="AM426" s="16" t="b">
        <v>0</v>
      </c>
      <c r="AN426" s="16" t="b">
        <v>0</v>
      </c>
      <c r="AO426" s="16" t="b">
        <v>0</v>
      </c>
      <c r="AP426" s="16" t="b">
        <v>0</v>
      </c>
      <c r="AQ426" s="17">
        <f t="shared" si="9"/>
        <v>0</v>
      </c>
      <c r="AR426" s="12">
        <f t="shared" si="10"/>
        <v>6436.16</v>
      </c>
      <c r="AS426" s="18">
        <f t="shared" si="11"/>
        <v>0</v>
      </c>
      <c r="AT426" s="12">
        <f t="shared" si="12"/>
        <v>2172.33</v>
      </c>
      <c r="AU426" s="18">
        <f t="shared" si="13"/>
        <v>0</v>
      </c>
      <c r="AV426" s="19">
        <f t="shared" si="14"/>
        <v>0.33751957689056827</v>
      </c>
      <c r="AW426" s="20" t="str">
        <f t="shared" si="15"/>
        <v>June</v>
      </c>
      <c r="AX426" s="21">
        <f t="shared" si="16"/>
        <v>2024</v>
      </c>
    </row>
    <row r="427" spans="1:50" ht="15.75" customHeight="1">
      <c r="A427" s="10" t="s">
        <v>1407</v>
      </c>
      <c r="B427" s="11">
        <v>45561</v>
      </c>
      <c r="C427" s="11">
        <v>45562</v>
      </c>
      <c r="D427" s="10" t="s">
        <v>1408</v>
      </c>
      <c r="E427" s="10" t="s">
        <v>76</v>
      </c>
      <c r="F427" s="10" t="s">
        <v>124</v>
      </c>
      <c r="G427" s="10" t="s">
        <v>54</v>
      </c>
      <c r="H427" s="10" t="s">
        <v>380</v>
      </c>
      <c r="I427" s="10" t="s">
        <v>381</v>
      </c>
      <c r="J427" s="10" t="s">
        <v>57</v>
      </c>
      <c r="K427" s="10" t="s">
        <v>120</v>
      </c>
      <c r="L427" s="10" t="s">
        <v>1409</v>
      </c>
      <c r="M427" s="10" t="s">
        <v>79</v>
      </c>
      <c r="N427" s="12">
        <v>2</v>
      </c>
      <c r="O427" s="12">
        <v>1065.69</v>
      </c>
      <c r="P427" s="12">
        <v>0.1</v>
      </c>
      <c r="Q427" s="12">
        <v>1918.24</v>
      </c>
      <c r="R427" s="12">
        <v>1373.52</v>
      </c>
      <c r="S427" s="12">
        <v>544.72</v>
      </c>
      <c r="T427" s="10" t="s">
        <v>131</v>
      </c>
      <c r="U427" s="13" t="s">
        <v>97</v>
      </c>
      <c r="V427" s="14" t="e">
        <f t="shared" ca="1" si="0"/>
        <v>#NAME?</v>
      </c>
      <c r="W427" s="10" t="str">
        <f ca="1">IFERROR(__xludf.DUMMYFUNCTION("IF(COUNTIF($A:$A,A421)=1,
""Unique"",
IF(COUNTUNIQUE(FILTER($V$2:$V$934,$A$2:$A$934=A421))&gt;1,
""Conflicting Duplicate"",
""Exact Duplicate""))"),"Unique")</f>
        <v>Unique</v>
      </c>
      <c r="X427" s="10" t="b">
        <f t="shared" ca="1" si="1"/>
        <v>1</v>
      </c>
      <c r="Y427" s="10" t="str">
        <f t="shared" si="2"/>
        <v>Unique</v>
      </c>
      <c r="Z427" s="10"/>
      <c r="AA427" s="10" t="str">
        <f t="shared" si="3"/>
        <v>Clean</v>
      </c>
      <c r="AB427" s="15" t="str">
        <f t="shared" si="4"/>
        <v>Valid</v>
      </c>
      <c r="AC427" s="15">
        <v>1</v>
      </c>
      <c r="AD427" s="16" t="str">
        <f t="shared" si="5"/>
        <v>Valid</v>
      </c>
      <c r="AE427" s="16" t="str">
        <f t="shared" si="6"/>
        <v>Valid</v>
      </c>
      <c r="AF427" s="16" t="str">
        <f t="shared" ref="AF427:AG427" si="865">IF(ISNUMBER(B427),"Valid","Invalid")</f>
        <v>Valid</v>
      </c>
      <c r="AG427" s="16" t="str">
        <f t="shared" si="865"/>
        <v>Valid</v>
      </c>
      <c r="AH427" s="16" t="str">
        <f t="shared" ref="AH427:AI427" si="866">IF(OR(B427="",ISBLANK(B427)),"Missing","Valid")</f>
        <v>Valid</v>
      </c>
      <c r="AI427" s="16" t="str">
        <f t="shared" si="866"/>
        <v>Valid</v>
      </c>
      <c r="AJ427" s="16" t="b">
        <v>0</v>
      </c>
      <c r="AK427" s="16" t="b">
        <v>0</v>
      </c>
      <c r="AL427" s="16" t="b">
        <v>0</v>
      </c>
      <c r="AM427" s="16" t="b">
        <v>0</v>
      </c>
      <c r="AN427" s="16" t="b">
        <v>0</v>
      </c>
      <c r="AO427" s="16" t="b">
        <v>0</v>
      </c>
      <c r="AP427" s="16" t="b">
        <v>0</v>
      </c>
      <c r="AQ427" s="17">
        <f t="shared" si="9"/>
        <v>0.1</v>
      </c>
      <c r="AR427" s="12">
        <f t="shared" si="10"/>
        <v>1918.2420000000002</v>
      </c>
      <c r="AS427" s="18">
        <f t="shared" si="11"/>
        <v>-2.00000000018008E-3</v>
      </c>
      <c r="AT427" s="12">
        <f t="shared" si="12"/>
        <v>544.72200000000021</v>
      </c>
      <c r="AU427" s="18">
        <f t="shared" si="13"/>
        <v>-2.00000000018008E-3</v>
      </c>
      <c r="AV427" s="19">
        <f t="shared" si="14"/>
        <v>0.2839693844676533</v>
      </c>
      <c r="AW427" s="20" t="str">
        <f t="shared" si="15"/>
        <v>September</v>
      </c>
      <c r="AX427" s="21">
        <f t="shared" si="16"/>
        <v>2024</v>
      </c>
    </row>
    <row r="428" spans="1:50" ht="15.75" customHeight="1">
      <c r="A428" s="10" t="s">
        <v>1410</v>
      </c>
      <c r="B428" s="11">
        <v>45473</v>
      </c>
      <c r="C428" s="11">
        <v>45474</v>
      </c>
      <c r="D428" s="10" t="s">
        <v>1411</v>
      </c>
      <c r="E428" s="10" t="s">
        <v>118</v>
      </c>
      <c r="F428" s="10" t="s">
        <v>53</v>
      </c>
      <c r="G428" s="10" t="s">
        <v>54</v>
      </c>
      <c r="H428" s="10" t="s">
        <v>266</v>
      </c>
      <c r="I428" s="10" t="s">
        <v>267</v>
      </c>
      <c r="J428" s="10" t="s">
        <v>103</v>
      </c>
      <c r="K428" s="10" t="s">
        <v>109</v>
      </c>
      <c r="L428" s="10" t="s">
        <v>1412</v>
      </c>
      <c r="M428" s="10" t="s">
        <v>73</v>
      </c>
      <c r="N428" s="12">
        <v>8</v>
      </c>
      <c r="O428" s="12">
        <v>3756.66</v>
      </c>
      <c r="P428" s="12">
        <v>0.1</v>
      </c>
      <c r="Q428" s="12">
        <v>27047.95</v>
      </c>
      <c r="R428" s="12">
        <v>18431.330000000002</v>
      </c>
      <c r="S428" s="12">
        <v>8616.6200000000008</v>
      </c>
      <c r="T428" s="10" t="s">
        <v>61</v>
      </c>
      <c r="U428" s="13" t="s">
        <v>62</v>
      </c>
      <c r="V428" s="14" t="e">
        <f t="shared" ca="1" si="0"/>
        <v>#NAME?</v>
      </c>
      <c r="W428" s="10" t="str">
        <f ca="1">IFERROR(__xludf.DUMMYFUNCTION("IF(COUNTIF($A:$A,A422)=1,
""Unique"",
IF(COUNTUNIQUE(FILTER($V$2:$V$934,$A$2:$A$934=A422))&gt;1,
""Conflicting Duplicate"",
""Exact Duplicate""))"),"Unique")</f>
        <v>Unique</v>
      </c>
      <c r="X428" s="10" t="b">
        <f t="shared" ca="1" si="1"/>
        <v>1</v>
      </c>
      <c r="Y428" s="10" t="str">
        <f t="shared" si="2"/>
        <v>Unique</v>
      </c>
      <c r="Z428" s="10"/>
      <c r="AA428" s="10" t="str">
        <f t="shared" si="3"/>
        <v>Clean</v>
      </c>
      <c r="AB428" s="15" t="str">
        <f t="shared" si="4"/>
        <v>Valid</v>
      </c>
      <c r="AC428" s="15">
        <v>1</v>
      </c>
      <c r="AD428" s="16" t="str">
        <f t="shared" si="5"/>
        <v>Valid</v>
      </c>
      <c r="AE428" s="16" t="str">
        <f t="shared" si="6"/>
        <v>Valid</v>
      </c>
      <c r="AF428" s="16" t="str">
        <f t="shared" ref="AF428:AG428" si="867">IF(ISNUMBER(B428),"Valid","Invalid")</f>
        <v>Valid</v>
      </c>
      <c r="AG428" s="16" t="str">
        <f t="shared" si="867"/>
        <v>Valid</v>
      </c>
      <c r="AH428" s="16" t="str">
        <f t="shared" ref="AH428:AI428" si="868">IF(OR(B428="",ISBLANK(B428)),"Missing","Valid")</f>
        <v>Valid</v>
      </c>
      <c r="AI428" s="16" t="str">
        <f t="shared" si="868"/>
        <v>Valid</v>
      </c>
      <c r="AJ428" s="16" t="b">
        <v>0</v>
      </c>
      <c r="AK428" s="16" t="b">
        <v>0</v>
      </c>
      <c r="AL428" s="16" t="b">
        <v>0</v>
      </c>
      <c r="AM428" s="16" t="b">
        <v>0</v>
      </c>
      <c r="AN428" s="16" t="b">
        <v>0</v>
      </c>
      <c r="AO428" s="16" t="b">
        <v>0</v>
      </c>
      <c r="AP428" s="16" t="b">
        <v>0</v>
      </c>
      <c r="AQ428" s="17">
        <f t="shared" si="9"/>
        <v>0.1</v>
      </c>
      <c r="AR428" s="12">
        <f t="shared" si="10"/>
        <v>27047.952000000001</v>
      </c>
      <c r="AS428" s="18">
        <f t="shared" si="11"/>
        <v>-2.0000000004074536E-3</v>
      </c>
      <c r="AT428" s="12">
        <f t="shared" si="12"/>
        <v>8616.6219999999994</v>
      </c>
      <c r="AU428" s="18">
        <f t="shared" si="13"/>
        <v>-1.9999999985884642E-3</v>
      </c>
      <c r="AV428" s="19">
        <f t="shared" si="14"/>
        <v>0.31856837072174626</v>
      </c>
      <c r="AW428" s="20" t="str">
        <f t="shared" si="15"/>
        <v>June</v>
      </c>
      <c r="AX428" s="21">
        <f t="shared" si="16"/>
        <v>2024</v>
      </c>
    </row>
    <row r="429" spans="1:50" ht="15.75" customHeight="1">
      <c r="A429" s="10" t="s">
        <v>1413</v>
      </c>
      <c r="B429" s="11">
        <v>45769</v>
      </c>
      <c r="C429" s="11">
        <v>45771</v>
      </c>
      <c r="D429" s="10" t="s">
        <v>1414</v>
      </c>
      <c r="E429" s="10" t="s">
        <v>76</v>
      </c>
      <c r="F429" s="10" t="s">
        <v>119</v>
      </c>
      <c r="G429" s="10" t="s">
        <v>234</v>
      </c>
      <c r="H429" s="10" t="s">
        <v>258</v>
      </c>
      <c r="I429" s="10" t="s">
        <v>259</v>
      </c>
      <c r="J429" s="10" t="s">
        <v>103</v>
      </c>
      <c r="K429" s="10" t="s">
        <v>104</v>
      </c>
      <c r="L429" s="10" t="s">
        <v>1415</v>
      </c>
      <c r="M429" s="10" t="s">
        <v>88</v>
      </c>
      <c r="N429" s="12">
        <v>9</v>
      </c>
      <c r="O429" s="12">
        <v>2939.44</v>
      </c>
      <c r="P429" s="12">
        <v>0</v>
      </c>
      <c r="Q429" s="12">
        <v>26454.959999999999</v>
      </c>
      <c r="R429" s="12">
        <v>17630.25</v>
      </c>
      <c r="S429" s="12">
        <v>8824.7099999999991</v>
      </c>
      <c r="T429" s="10" t="s">
        <v>61</v>
      </c>
      <c r="U429" s="13" t="s">
        <v>62</v>
      </c>
      <c r="V429" s="14" t="e">
        <f t="shared" ca="1" si="0"/>
        <v>#NAME?</v>
      </c>
      <c r="W429" s="10" t="str">
        <f ca="1">IFERROR(__xludf.DUMMYFUNCTION("IF(COUNTIF($A:$A,A423)=1,
""Unique"",
IF(COUNTUNIQUE(FILTER($V$2:$V$934,$A$2:$A$934=A423))&gt;1,
""Conflicting Duplicate"",
""Exact Duplicate""))"),"Unique")</f>
        <v>Unique</v>
      </c>
      <c r="X429" s="10" t="b">
        <f t="shared" ca="1" si="1"/>
        <v>1</v>
      </c>
      <c r="Y429" s="10" t="str">
        <f t="shared" si="2"/>
        <v>Unique</v>
      </c>
      <c r="Z429" s="10"/>
      <c r="AA429" s="10" t="str">
        <f t="shared" si="3"/>
        <v>Warning</v>
      </c>
      <c r="AB429" s="15" t="str">
        <f t="shared" si="4"/>
        <v>Valid</v>
      </c>
      <c r="AC429" s="15">
        <v>2</v>
      </c>
      <c r="AD429" s="16" t="str">
        <f t="shared" si="5"/>
        <v>Valid</v>
      </c>
      <c r="AE429" s="16" t="str">
        <f t="shared" si="6"/>
        <v>Valid</v>
      </c>
      <c r="AF429" s="16" t="str">
        <f t="shared" ref="AF429:AG429" si="869">IF(ISNUMBER(B429),"Valid","Invalid")</f>
        <v>Valid</v>
      </c>
      <c r="AG429" s="16" t="str">
        <f t="shared" si="869"/>
        <v>Valid</v>
      </c>
      <c r="AH429" s="16" t="str">
        <f t="shared" ref="AH429:AI429" si="870">IF(OR(B429="",ISBLANK(B429)),"Missing","Valid")</f>
        <v>Valid</v>
      </c>
      <c r="AI429" s="16" t="str">
        <f t="shared" si="870"/>
        <v>Valid</v>
      </c>
      <c r="AJ429" s="16" t="b">
        <v>1</v>
      </c>
      <c r="AK429" s="16" t="b">
        <v>0</v>
      </c>
      <c r="AL429" s="16" t="b">
        <v>0</v>
      </c>
      <c r="AM429" s="16" t="b">
        <v>0</v>
      </c>
      <c r="AN429" s="16" t="b">
        <v>0</v>
      </c>
      <c r="AO429" s="16" t="b">
        <v>0</v>
      </c>
      <c r="AP429" s="16" t="b">
        <v>1</v>
      </c>
      <c r="AQ429" s="17">
        <f t="shared" si="9"/>
        <v>0</v>
      </c>
      <c r="AR429" s="12">
        <f t="shared" si="10"/>
        <v>26454.959999999999</v>
      </c>
      <c r="AS429" s="18">
        <f t="shared" si="11"/>
        <v>0</v>
      </c>
      <c r="AT429" s="12">
        <f t="shared" si="12"/>
        <v>8824.7099999999991</v>
      </c>
      <c r="AU429" s="18">
        <f t="shared" si="13"/>
        <v>0</v>
      </c>
      <c r="AV429" s="19">
        <f t="shared" si="14"/>
        <v>0.33357487594008833</v>
      </c>
      <c r="AW429" s="20" t="str">
        <f t="shared" si="15"/>
        <v>April</v>
      </c>
      <c r="AX429" s="21">
        <f t="shared" si="16"/>
        <v>2025</v>
      </c>
    </row>
    <row r="430" spans="1:50" ht="15.75" customHeight="1">
      <c r="A430" s="10" t="s">
        <v>1416</v>
      </c>
      <c r="B430" s="11">
        <v>45731</v>
      </c>
      <c r="C430" s="11">
        <v>45738</v>
      </c>
      <c r="D430" s="10" t="s">
        <v>1417</v>
      </c>
      <c r="E430" s="10" t="s">
        <v>52</v>
      </c>
      <c r="F430" s="10" t="s">
        <v>66</v>
      </c>
      <c r="G430" s="10" t="s">
        <v>67</v>
      </c>
      <c r="H430" s="10" t="s">
        <v>128</v>
      </c>
      <c r="I430" s="10" t="s">
        <v>129</v>
      </c>
      <c r="J430" s="10" t="s">
        <v>103</v>
      </c>
      <c r="K430" s="10" t="s">
        <v>200</v>
      </c>
      <c r="L430" s="10" t="s">
        <v>1418</v>
      </c>
      <c r="M430" s="10" t="s">
        <v>73</v>
      </c>
      <c r="N430" s="12">
        <v>2</v>
      </c>
      <c r="O430" s="12">
        <v>1235.93</v>
      </c>
      <c r="P430" s="12">
        <v>0.25</v>
      </c>
      <c r="Q430" s="12">
        <v>1853.89</v>
      </c>
      <c r="R430" s="12">
        <v>1101.23</v>
      </c>
      <c r="S430" s="12">
        <v>752.66</v>
      </c>
      <c r="T430" s="10" t="s">
        <v>140</v>
      </c>
      <c r="U430" s="13" t="s">
        <v>97</v>
      </c>
      <c r="V430" s="14" t="e">
        <f t="shared" ca="1" si="0"/>
        <v>#NAME?</v>
      </c>
      <c r="W430" s="10" t="str">
        <f ca="1">IFERROR(__xludf.DUMMYFUNCTION("IF(COUNTIF($A:$A,A424)=1,
""Unique"",
IF(COUNTUNIQUE(FILTER($V$2:$V$934,$A$2:$A$934=A424))&gt;1,
""Conflicting Duplicate"",
""Exact Duplicate""))"),"Unique")</f>
        <v>Unique</v>
      </c>
      <c r="X430" s="10" t="b">
        <f t="shared" ca="1" si="1"/>
        <v>1</v>
      </c>
      <c r="Y430" s="10" t="str">
        <f t="shared" si="2"/>
        <v>Unique</v>
      </c>
      <c r="Z430" s="10"/>
      <c r="AA430" s="10" t="str">
        <f t="shared" si="3"/>
        <v>Clean</v>
      </c>
      <c r="AB430" s="15" t="str">
        <f t="shared" si="4"/>
        <v>Valid</v>
      </c>
      <c r="AC430" s="15">
        <v>7</v>
      </c>
      <c r="AD430" s="16" t="str">
        <f t="shared" si="5"/>
        <v>Valid</v>
      </c>
      <c r="AE430" s="16" t="str">
        <f t="shared" si="6"/>
        <v>Valid</v>
      </c>
      <c r="AF430" s="16" t="str">
        <f t="shared" ref="AF430:AG430" si="871">IF(ISNUMBER(B430),"Valid","Invalid")</f>
        <v>Valid</v>
      </c>
      <c r="AG430" s="16" t="str">
        <f t="shared" si="871"/>
        <v>Valid</v>
      </c>
      <c r="AH430" s="16" t="str">
        <f t="shared" ref="AH430:AI430" si="872">IF(OR(B430="",ISBLANK(B430)),"Missing","Valid")</f>
        <v>Valid</v>
      </c>
      <c r="AI430" s="16" t="str">
        <f t="shared" si="872"/>
        <v>Valid</v>
      </c>
      <c r="AJ430" s="16" t="b">
        <v>0</v>
      </c>
      <c r="AK430" s="16" t="b">
        <v>0</v>
      </c>
      <c r="AL430" s="16" t="b">
        <v>0</v>
      </c>
      <c r="AM430" s="16" t="b">
        <v>0</v>
      </c>
      <c r="AN430" s="16" t="b">
        <v>0</v>
      </c>
      <c r="AO430" s="16" t="b">
        <v>0</v>
      </c>
      <c r="AP430" s="16" t="b">
        <v>0</v>
      </c>
      <c r="AQ430" s="17">
        <f t="shared" si="9"/>
        <v>0.25</v>
      </c>
      <c r="AR430" s="12">
        <f t="shared" si="10"/>
        <v>1853.895</v>
      </c>
      <c r="AS430" s="18">
        <f t="shared" si="11"/>
        <v>-4.9999999998817657E-3</v>
      </c>
      <c r="AT430" s="12">
        <f t="shared" si="12"/>
        <v>752.66499999999996</v>
      </c>
      <c r="AU430" s="18">
        <f t="shared" si="13"/>
        <v>-4.9999999999954525E-3</v>
      </c>
      <c r="AV430" s="19">
        <f t="shared" si="14"/>
        <v>0.40599116994220275</v>
      </c>
      <c r="AW430" s="20" t="str">
        <f t="shared" si="15"/>
        <v>March</v>
      </c>
      <c r="AX430" s="21">
        <f t="shared" si="16"/>
        <v>2025</v>
      </c>
    </row>
    <row r="431" spans="1:50" ht="15.75" customHeight="1">
      <c r="A431" s="10" t="s">
        <v>1419</v>
      </c>
      <c r="B431" s="11">
        <v>45717</v>
      </c>
      <c r="C431" s="11">
        <v>45724</v>
      </c>
      <c r="D431" s="10" t="s">
        <v>1420</v>
      </c>
      <c r="E431" s="10" t="s">
        <v>108</v>
      </c>
      <c r="F431" s="10" t="s">
        <v>124</v>
      </c>
      <c r="G431" s="10" t="s">
        <v>54</v>
      </c>
      <c r="H431" s="10" t="s">
        <v>55</v>
      </c>
      <c r="I431" s="10" t="s">
        <v>56</v>
      </c>
      <c r="J431" s="10" t="s">
        <v>103</v>
      </c>
      <c r="K431" s="10" t="s">
        <v>109</v>
      </c>
      <c r="L431" s="10" t="s">
        <v>1421</v>
      </c>
      <c r="M431" s="10" t="s">
        <v>73</v>
      </c>
      <c r="N431" s="12">
        <v>8</v>
      </c>
      <c r="O431" s="12">
        <v>2943.1</v>
      </c>
      <c r="P431" s="12">
        <v>0.25</v>
      </c>
      <c r="Q431" s="12">
        <v>17658.599999999999</v>
      </c>
      <c r="R431" s="12">
        <v>13842.48</v>
      </c>
      <c r="S431" s="12">
        <v>3816.12</v>
      </c>
      <c r="T431" s="10" t="s">
        <v>61</v>
      </c>
      <c r="U431" s="13" t="s">
        <v>62</v>
      </c>
      <c r="V431" s="14" t="e">
        <f t="shared" ca="1" si="0"/>
        <v>#NAME?</v>
      </c>
      <c r="W431" s="10" t="str">
        <f ca="1">IFERROR(__xludf.DUMMYFUNCTION("IF(COUNTIF($A:$A,A425)=1,
""Unique"",
IF(COUNTUNIQUE(FILTER($V$2:$V$934,$A$2:$A$934=A425))&gt;1,
""Conflicting Duplicate"",
""Exact Duplicate""))"),"Conflicting Duplicate")</f>
        <v>Conflicting Duplicate</v>
      </c>
      <c r="X431" s="10" t="b">
        <f t="shared" ca="1" si="1"/>
        <v>1</v>
      </c>
      <c r="Y431" s="10" t="str">
        <f t="shared" si="2"/>
        <v>Unique</v>
      </c>
      <c r="Z431" s="10"/>
      <c r="AA431" s="10" t="str">
        <f t="shared" si="3"/>
        <v>Clean</v>
      </c>
      <c r="AB431" s="15" t="str">
        <f t="shared" si="4"/>
        <v>Valid</v>
      </c>
      <c r="AC431" s="15">
        <v>7</v>
      </c>
      <c r="AD431" s="16" t="str">
        <f t="shared" si="5"/>
        <v>Valid</v>
      </c>
      <c r="AE431" s="16" t="str">
        <f t="shared" si="6"/>
        <v>Valid</v>
      </c>
      <c r="AF431" s="16" t="str">
        <f t="shared" ref="AF431:AG431" si="873">IF(ISNUMBER(B431),"Valid","Invalid")</f>
        <v>Valid</v>
      </c>
      <c r="AG431" s="16" t="str">
        <f t="shared" si="873"/>
        <v>Valid</v>
      </c>
      <c r="AH431" s="16" t="str">
        <f t="shared" ref="AH431:AI431" si="874">IF(OR(B431="",ISBLANK(B431)),"Missing","Valid")</f>
        <v>Valid</v>
      </c>
      <c r="AI431" s="16" t="str">
        <f t="shared" si="874"/>
        <v>Valid</v>
      </c>
      <c r="AJ431" s="16" t="b">
        <v>0</v>
      </c>
      <c r="AK431" s="16" t="b">
        <v>0</v>
      </c>
      <c r="AL431" s="16" t="b">
        <v>0</v>
      </c>
      <c r="AM431" s="16" t="b">
        <v>0</v>
      </c>
      <c r="AN431" s="16" t="b">
        <v>0</v>
      </c>
      <c r="AO431" s="16" t="b">
        <v>0</v>
      </c>
      <c r="AP431" s="16" t="b">
        <v>0</v>
      </c>
      <c r="AQ431" s="17">
        <f t="shared" si="9"/>
        <v>0.25</v>
      </c>
      <c r="AR431" s="12">
        <f t="shared" si="10"/>
        <v>17658.599999999999</v>
      </c>
      <c r="AS431" s="18">
        <f t="shared" si="11"/>
        <v>0</v>
      </c>
      <c r="AT431" s="12">
        <f t="shared" si="12"/>
        <v>3816.119999999999</v>
      </c>
      <c r="AU431" s="18">
        <f t="shared" si="13"/>
        <v>0</v>
      </c>
      <c r="AV431" s="19">
        <f t="shared" si="14"/>
        <v>0.2161054670245659</v>
      </c>
      <c r="AW431" s="20" t="str">
        <f t="shared" si="15"/>
        <v>March</v>
      </c>
      <c r="AX431" s="21">
        <f t="shared" si="16"/>
        <v>2025</v>
      </c>
    </row>
    <row r="432" spans="1:50" ht="15.75" customHeight="1">
      <c r="A432" s="10" t="s">
        <v>1422</v>
      </c>
      <c r="B432" s="11">
        <v>45534</v>
      </c>
      <c r="C432" s="11">
        <v>45537</v>
      </c>
      <c r="D432" s="10" t="s">
        <v>1423</v>
      </c>
      <c r="E432" s="10" t="s">
        <v>108</v>
      </c>
      <c r="F432" s="10" t="s">
        <v>66</v>
      </c>
      <c r="G432" s="10" t="s">
        <v>54</v>
      </c>
      <c r="H432" s="10" t="s">
        <v>266</v>
      </c>
      <c r="I432" s="10" t="s">
        <v>267</v>
      </c>
      <c r="J432" s="10" t="s">
        <v>57</v>
      </c>
      <c r="K432" s="10" t="s">
        <v>58</v>
      </c>
      <c r="L432" s="10" t="s">
        <v>1424</v>
      </c>
      <c r="M432" s="10" t="s">
        <v>60</v>
      </c>
      <c r="N432" s="12">
        <v>1</v>
      </c>
      <c r="O432" s="12">
        <v>4320.84</v>
      </c>
      <c r="P432" s="12">
        <v>0.15</v>
      </c>
      <c r="Q432" s="12">
        <v>3672.71</v>
      </c>
      <c r="R432" s="12">
        <v>2714.23</v>
      </c>
      <c r="S432" s="12">
        <v>763.38</v>
      </c>
      <c r="T432" s="10" t="s">
        <v>61</v>
      </c>
      <c r="U432" s="13" t="s">
        <v>62</v>
      </c>
      <c r="V432" s="14" t="e">
        <f t="shared" ca="1" si="0"/>
        <v>#NAME?</v>
      </c>
      <c r="W432" s="10" t="str">
        <f ca="1">IFERROR(__xludf.DUMMYFUNCTION("IF(COUNTIF($A:$A,A426)=1,
""Unique"",
IF(COUNTUNIQUE(FILTER($V$2:$V$934,$A$2:$A$934=A426))&gt;1,
""Conflicting Duplicate"",
""Exact Duplicate""))"),"Unique")</f>
        <v>Unique</v>
      </c>
      <c r="X432" s="10" t="b">
        <f t="shared" ca="1" si="1"/>
        <v>1</v>
      </c>
      <c r="Y432" s="10" t="str">
        <f t="shared" si="2"/>
        <v>Unique</v>
      </c>
      <c r="Z432" s="10"/>
      <c r="AA432" s="10" t="str">
        <f t="shared" si="3"/>
        <v>Clean</v>
      </c>
      <c r="AB432" s="15" t="str">
        <f t="shared" si="4"/>
        <v>Valid</v>
      </c>
      <c r="AC432" s="15">
        <v>3</v>
      </c>
      <c r="AD432" s="16" t="str">
        <f t="shared" si="5"/>
        <v>Valid</v>
      </c>
      <c r="AE432" s="16" t="str">
        <f t="shared" si="6"/>
        <v>Valid</v>
      </c>
      <c r="AF432" s="16" t="str">
        <f t="shared" ref="AF432:AG432" si="875">IF(ISNUMBER(B432),"Valid","Invalid")</f>
        <v>Valid</v>
      </c>
      <c r="AG432" s="16" t="str">
        <f t="shared" si="875"/>
        <v>Valid</v>
      </c>
      <c r="AH432" s="16" t="str">
        <f t="shared" ref="AH432:AI432" si="876">IF(OR(B432="",ISBLANK(B432)),"Missing","Valid")</f>
        <v>Valid</v>
      </c>
      <c r="AI432" s="16" t="str">
        <f t="shared" si="876"/>
        <v>Valid</v>
      </c>
      <c r="AJ432" s="16" t="b">
        <v>0</v>
      </c>
      <c r="AK432" s="16" t="b">
        <v>0</v>
      </c>
      <c r="AL432" s="16" t="b">
        <v>0</v>
      </c>
      <c r="AM432" s="16" t="b">
        <v>0</v>
      </c>
      <c r="AN432" s="16" t="b">
        <v>0</v>
      </c>
      <c r="AO432" s="16" t="b">
        <v>0</v>
      </c>
      <c r="AP432" s="16" t="b">
        <v>0</v>
      </c>
      <c r="AQ432" s="17">
        <f t="shared" si="9"/>
        <v>0.15</v>
      </c>
      <c r="AR432" s="12">
        <f t="shared" si="10"/>
        <v>3672.7139999999999</v>
      </c>
      <c r="AS432" s="18">
        <f t="shared" si="11"/>
        <v>-3.9999999999054126E-3</v>
      </c>
      <c r="AT432" s="12">
        <f t="shared" si="12"/>
        <v>958.48399999999992</v>
      </c>
      <c r="AU432" s="18">
        <f t="shared" si="13"/>
        <v>-195.10399999999993</v>
      </c>
      <c r="AV432" s="19">
        <f t="shared" si="14"/>
        <v>0.26097430946161337</v>
      </c>
      <c r="AW432" s="20" t="str">
        <f t="shared" si="15"/>
        <v>August</v>
      </c>
      <c r="AX432" s="21">
        <f t="shared" si="16"/>
        <v>2024</v>
      </c>
    </row>
    <row r="433" spans="1:50" ht="15.75" customHeight="1">
      <c r="A433" s="10" t="s">
        <v>1425</v>
      </c>
      <c r="B433" s="11">
        <v>45332</v>
      </c>
      <c r="C433" s="11">
        <v>45335</v>
      </c>
      <c r="D433" s="10" t="s">
        <v>1426</v>
      </c>
      <c r="E433" s="10" t="s">
        <v>52</v>
      </c>
      <c r="F433" s="10" t="s">
        <v>124</v>
      </c>
      <c r="G433" s="10" t="s">
        <v>92</v>
      </c>
      <c r="H433" s="10" t="s">
        <v>219</v>
      </c>
      <c r="I433" s="10" t="s">
        <v>220</v>
      </c>
      <c r="J433" s="10" t="s">
        <v>103</v>
      </c>
      <c r="K433" s="10" t="s">
        <v>304</v>
      </c>
      <c r="L433" s="10" t="s">
        <v>1427</v>
      </c>
      <c r="M433" s="10" t="s">
        <v>73</v>
      </c>
      <c r="N433" s="12">
        <v>2</v>
      </c>
      <c r="O433" s="12">
        <v>4118.45</v>
      </c>
      <c r="P433" s="12">
        <v>0.25</v>
      </c>
      <c r="Q433" s="12">
        <v>6177.67</v>
      </c>
      <c r="R433" s="12">
        <v>4520.75</v>
      </c>
      <c r="S433" s="12">
        <v>1656.92</v>
      </c>
      <c r="T433" s="10" t="s">
        <v>61</v>
      </c>
      <c r="U433" s="13" t="s">
        <v>62</v>
      </c>
      <c r="V433" s="14" t="e">
        <f t="shared" ca="1" si="0"/>
        <v>#NAME?</v>
      </c>
      <c r="W433" s="10" t="str">
        <f ca="1">IFERROR(__xludf.DUMMYFUNCTION("IF(COUNTIF($A:$A,A427)=1,
""Unique"",
IF(COUNTUNIQUE(FILTER($V$2:$V$934,$A$2:$A$934=A427))&gt;1,
""Conflicting Duplicate"",
""Exact Duplicate""))"),"Unique")</f>
        <v>Unique</v>
      </c>
      <c r="X433" s="10" t="b">
        <f t="shared" ca="1" si="1"/>
        <v>1</v>
      </c>
      <c r="Y433" s="10" t="str">
        <f t="shared" si="2"/>
        <v>Unique</v>
      </c>
      <c r="Z433" s="10"/>
      <c r="AA433" s="10" t="str">
        <f t="shared" si="3"/>
        <v>Clean</v>
      </c>
      <c r="AB433" s="15" t="str">
        <f t="shared" si="4"/>
        <v>Valid</v>
      </c>
      <c r="AC433" s="15">
        <v>3</v>
      </c>
      <c r="AD433" s="16" t="str">
        <f t="shared" si="5"/>
        <v>Valid</v>
      </c>
      <c r="AE433" s="16" t="str">
        <f t="shared" si="6"/>
        <v>Valid</v>
      </c>
      <c r="AF433" s="16" t="str">
        <f t="shared" ref="AF433:AG433" si="877">IF(ISNUMBER(B433),"Valid","Invalid")</f>
        <v>Valid</v>
      </c>
      <c r="AG433" s="16" t="str">
        <f t="shared" si="877"/>
        <v>Valid</v>
      </c>
      <c r="AH433" s="16" t="str">
        <f t="shared" ref="AH433:AI433" si="878">IF(OR(B433="",ISBLANK(B433)),"Missing","Valid")</f>
        <v>Valid</v>
      </c>
      <c r="AI433" s="16" t="str">
        <f t="shared" si="878"/>
        <v>Valid</v>
      </c>
      <c r="AJ433" s="16" t="b">
        <v>0</v>
      </c>
      <c r="AK433" s="16" t="b">
        <v>0</v>
      </c>
      <c r="AL433" s="16" t="b">
        <v>0</v>
      </c>
      <c r="AM433" s="16" t="b">
        <v>0</v>
      </c>
      <c r="AN433" s="16" t="b">
        <v>0</v>
      </c>
      <c r="AO433" s="16" t="b">
        <v>0</v>
      </c>
      <c r="AP433" s="16" t="b">
        <v>0</v>
      </c>
      <c r="AQ433" s="17">
        <f t="shared" si="9"/>
        <v>0.25</v>
      </c>
      <c r="AR433" s="12">
        <f t="shared" si="10"/>
        <v>6177.6749999999993</v>
      </c>
      <c r="AS433" s="18">
        <f t="shared" si="11"/>
        <v>-4.9999999991996447E-3</v>
      </c>
      <c r="AT433" s="12">
        <f t="shared" si="12"/>
        <v>1656.9249999999993</v>
      </c>
      <c r="AU433" s="18">
        <f t="shared" si="13"/>
        <v>-4.9999999991996447E-3</v>
      </c>
      <c r="AV433" s="19">
        <f t="shared" si="14"/>
        <v>0.26821174632851347</v>
      </c>
      <c r="AW433" s="20" t="str">
        <f t="shared" si="15"/>
        <v>February</v>
      </c>
      <c r="AX433" s="21">
        <f t="shared" si="16"/>
        <v>2024</v>
      </c>
    </row>
    <row r="434" spans="1:50" ht="15.75" customHeight="1">
      <c r="A434" s="10" t="s">
        <v>1428</v>
      </c>
      <c r="B434" s="11">
        <v>45533</v>
      </c>
      <c r="C434" s="11">
        <v>45537</v>
      </c>
      <c r="D434" s="10" t="s">
        <v>1429</v>
      </c>
      <c r="E434" s="10" t="s">
        <v>143</v>
      </c>
      <c r="F434" s="10" t="s">
        <v>66</v>
      </c>
      <c r="G434" s="10" t="s">
        <v>92</v>
      </c>
      <c r="H434" s="10" t="s">
        <v>93</v>
      </c>
      <c r="I434" s="10" t="s">
        <v>94</v>
      </c>
      <c r="J434" s="10" t="s">
        <v>70</v>
      </c>
      <c r="K434" s="10" t="s">
        <v>187</v>
      </c>
      <c r="L434" s="10" t="s">
        <v>1430</v>
      </c>
      <c r="M434" s="10" t="s">
        <v>88</v>
      </c>
      <c r="N434" s="12">
        <v>6</v>
      </c>
      <c r="O434" s="12">
        <v>172.82</v>
      </c>
      <c r="P434" s="12">
        <v>0.05</v>
      </c>
      <c r="Q434" s="12">
        <v>985.07</v>
      </c>
      <c r="R434" s="12">
        <v>844.48</v>
      </c>
      <c r="S434" s="12">
        <v>140.59</v>
      </c>
      <c r="T434" s="10" t="s">
        <v>61</v>
      </c>
      <c r="U434" s="13" t="s">
        <v>62</v>
      </c>
      <c r="V434" s="14" t="e">
        <f t="shared" ca="1" si="0"/>
        <v>#NAME?</v>
      </c>
      <c r="W434" s="10" t="str">
        <f ca="1">IFERROR(__xludf.DUMMYFUNCTION("IF(COUNTIF($A:$A,A428)=1,
""Unique"",
IF(COUNTUNIQUE(FILTER($V$2:$V$934,$A$2:$A$934=A428))&gt;1,
""Conflicting Duplicate"",
""Exact Duplicate""))"),"Unique")</f>
        <v>Unique</v>
      </c>
      <c r="X434" s="10" t="b">
        <f t="shared" ca="1" si="1"/>
        <v>1</v>
      </c>
      <c r="Y434" s="10" t="str">
        <f t="shared" si="2"/>
        <v>Unique</v>
      </c>
      <c r="Z434" s="10"/>
      <c r="AA434" s="10" t="str">
        <f t="shared" si="3"/>
        <v>Clean</v>
      </c>
      <c r="AB434" s="15" t="str">
        <f t="shared" si="4"/>
        <v>Valid</v>
      </c>
      <c r="AC434" s="15">
        <v>4</v>
      </c>
      <c r="AD434" s="16" t="str">
        <f t="shared" si="5"/>
        <v>Valid</v>
      </c>
      <c r="AE434" s="16" t="str">
        <f t="shared" si="6"/>
        <v>Valid</v>
      </c>
      <c r="AF434" s="16" t="str">
        <f t="shared" ref="AF434:AG434" si="879">IF(ISNUMBER(B434),"Valid","Invalid")</f>
        <v>Valid</v>
      </c>
      <c r="AG434" s="16" t="str">
        <f t="shared" si="879"/>
        <v>Valid</v>
      </c>
      <c r="AH434" s="16" t="str">
        <f t="shared" ref="AH434:AI434" si="880">IF(OR(B434="",ISBLANK(B434)),"Missing","Valid")</f>
        <v>Valid</v>
      </c>
      <c r="AI434" s="16" t="str">
        <f t="shared" si="880"/>
        <v>Valid</v>
      </c>
      <c r="AJ434" s="16" t="b">
        <v>0</v>
      </c>
      <c r="AK434" s="16" t="b">
        <v>0</v>
      </c>
      <c r="AL434" s="16" t="b">
        <v>0</v>
      </c>
      <c r="AM434" s="16" t="b">
        <v>0</v>
      </c>
      <c r="AN434" s="16" t="b">
        <v>0</v>
      </c>
      <c r="AO434" s="16" t="b">
        <v>0</v>
      </c>
      <c r="AP434" s="16" t="b">
        <v>0</v>
      </c>
      <c r="AQ434" s="17">
        <f t="shared" si="9"/>
        <v>0.05</v>
      </c>
      <c r="AR434" s="12">
        <f t="shared" si="10"/>
        <v>985.07400000000007</v>
      </c>
      <c r="AS434" s="18">
        <f t="shared" si="11"/>
        <v>-4.0000000000190994E-3</v>
      </c>
      <c r="AT434" s="12">
        <f t="shared" si="12"/>
        <v>140.59400000000005</v>
      </c>
      <c r="AU434" s="18">
        <f t="shared" si="13"/>
        <v>-4.0000000000475211E-3</v>
      </c>
      <c r="AV434" s="19">
        <f t="shared" si="14"/>
        <v>0.14272430294576857</v>
      </c>
      <c r="AW434" s="20" t="str">
        <f t="shared" si="15"/>
        <v>August</v>
      </c>
      <c r="AX434" s="21">
        <f t="shared" si="16"/>
        <v>2024</v>
      </c>
    </row>
    <row r="435" spans="1:50" ht="15.75" customHeight="1">
      <c r="A435" s="10" t="s">
        <v>1431</v>
      </c>
      <c r="B435" s="11">
        <v>45401</v>
      </c>
      <c r="C435" s="11">
        <v>45402</v>
      </c>
      <c r="D435" s="10" t="s">
        <v>1432</v>
      </c>
      <c r="E435" s="10" t="s">
        <v>143</v>
      </c>
      <c r="F435" s="10" t="s">
        <v>119</v>
      </c>
      <c r="G435" s="10" t="s">
        <v>83</v>
      </c>
      <c r="H435" s="10" t="s">
        <v>214</v>
      </c>
      <c r="I435" s="10" t="s">
        <v>215</v>
      </c>
      <c r="J435" s="10" t="s">
        <v>57</v>
      </c>
      <c r="K435" s="10" t="s">
        <v>77</v>
      </c>
      <c r="L435" s="10" t="s">
        <v>1433</v>
      </c>
      <c r="M435" s="10" t="s">
        <v>60</v>
      </c>
      <c r="N435" s="12">
        <v>4</v>
      </c>
      <c r="O435" s="12">
        <v>1540.22</v>
      </c>
      <c r="P435" s="12">
        <v>0</v>
      </c>
      <c r="Q435" s="12">
        <v>6160.88</v>
      </c>
      <c r="R435" s="12">
        <v>4938.7</v>
      </c>
      <c r="S435" s="12">
        <v>1222.18</v>
      </c>
      <c r="T435" s="10" t="s">
        <v>131</v>
      </c>
      <c r="U435" s="13" t="s">
        <v>132</v>
      </c>
      <c r="V435" s="14" t="e">
        <f t="shared" ca="1" si="0"/>
        <v>#NAME?</v>
      </c>
      <c r="W435" s="10" t="str">
        <f ca="1">IFERROR(__xludf.DUMMYFUNCTION("IF(COUNTIF($A:$A,A429)=1,
""Unique"",
IF(COUNTUNIQUE(FILTER($V$2:$V$934,$A$2:$A$934=A429))&gt;1,
""Conflicting Duplicate"",
""Exact Duplicate""))"),"Unique")</f>
        <v>Unique</v>
      </c>
      <c r="X435" s="10" t="b">
        <f t="shared" ca="1" si="1"/>
        <v>1</v>
      </c>
      <c r="Y435" s="10" t="str">
        <f t="shared" si="2"/>
        <v>Unique</v>
      </c>
      <c r="Z435" s="10"/>
      <c r="AA435" s="10" t="str">
        <f t="shared" si="3"/>
        <v>Clean</v>
      </c>
      <c r="AB435" s="15" t="str">
        <f t="shared" si="4"/>
        <v>Valid</v>
      </c>
      <c r="AC435" s="15">
        <v>1</v>
      </c>
      <c r="AD435" s="16" t="str">
        <f t="shared" si="5"/>
        <v>Valid</v>
      </c>
      <c r="AE435" s="16" t="str">
        <f t="shared" si="6"/>
        <v>Valid</v>
      </c>
      <c r="AF435" s="16" t="str">
        <f t="shared" ref="AF435:AG435" si="881">IF(ISNUMBER(B435),"Valid","Invalid")</f>
        <v>Valid</v>
      </c>
      <c r="AG435" s="16" t="str">
        <f t="shared" si="881"/>
        <v>Valid</v>
      </c>
      <c r="AH435" s="16" t="str">
        <f t="shared" ref="AH435:AI435" si="882">IF(OR(B435="",ISBLANK(B435)),"Missing","Valid")</f>
        <v>Valid</v>
      </c>
      <c r="AI435" s="16" t="str">
        <f t="shared" si="882"/>
        <v>Valid</v>
      </c>
      <c r="AJ435" s="16" t="b">
        <v>0</v>
      </c>
      <c r="AK435" s="16" t="b">
        <v>0</v>
      </c>
      <c r="AL435" s="16" t="b">
        <v>0</v>
      </c>
      <c r="AM435" s="16" t="b">
        <v>0</v>
      </c>
      <c r="AN435" s="16" t="b">
        <v>0</v>
      </c>
      <c r="AO435" s="16" t="b">
        <v>0</v>
      </c>
      <c r="AP435" s="16" t="b">
        <v>0</v>
      </c>
      <c r="AQ435" s="17">
        <f t="shared" si="9"/>
        <v>0</v>
      </c>
      <c r="AR435" s="12">
        <f t="shared" si="10"/>
        <v>6160.88</v>
      </c>
      <c r="AS435" s="18">
        <f t="shared" si="11"/>
        <v>0</v>
      </c>
      <c r="AT435" s="12">
        <f t="shared" si="12"/>
        <v>1222.1800000000003</v>
      </c>
      <c r="AU435" s="18">
        <f t="shared" si="13"/>
        <v>0</v>
      </c>
      <c r="AV435" s="19">
        <f t="shared" si="14"/>
        <v>0.19837750451234243</v>
      </c>
      <c r="AW435" s="20" t="str">
        <f t="shared" si="15"/>
        <v>April</v>
      </c>
      <c r="AX435" s="21">
        <f t="shared" si="16"/>
        <v>2024</v>
      </c>
    </row>
    <row r="436" spans="1:50" ht="15.75" customHeight="1">
      <c r="A436" s="10" t="s">
        <v>1434</v>
      </c>
      <c r="B436" s="11">
        <v>45758</v>
      </c>
      <c r="C436" s="11">
        <v>45762</v>
      </c>
      <c r="D436" s="10" t="s">
        <v>1435</v>
      </c>
      <c r="E436" s="10" t="s">
        <v>65</v>
      </c>
      <c r="F436" s="10" t="s">
        <v>124</v>
      </c>
      <c r="G436" s="10" t="s">
        <v>54</v>
      </c>
      <c r="H436" s="10" t="s">
        <v>165</v>
      </c>
      <c r="I436" s="10" t="s">
        <v>166</v>
      </c>
      <c r="J436" s="10" t="s">
        <v>103</v>
      </c>
      <c r="K436" s="10" t="s">
        <v>104</v>
      </c>
      <c r="L436" s="10" t="s">
        <v>1436</v>
      </c>
      <c r="M436" s="10" t="s">
        <v>60</v>
      </c>
      <c r="N436" s="12">
        <v>5</v>
      </c>
      <c r="O436" s="12">
        <v>652.78</v>
      </c>
      <c r="P436" s="12">
        <v>0</v>
      </c>
      <c r="Q436" s="12">
        <v>3263.9</v>
      </c>
      <c r="R436" s="12">
        <v>2068.44</v>
      </c>
      <c r="S436" s="12">
        <v>1195.46</v>
      </c>
      <c r="T436" s="10" t="s">
        <v>61</v>
      </c>
      <c r="U436" s="13" t="s">
        <v>62</v>
      </c>
      <c r="V436" s="14" t="e">
        <f t="shared" ca="1" si="0"/>
        <v>#NAME?</v>
      </c>
      <c r="W436" s="10" t="str">
        <f ca="1">IFERROR(__xludf.DUMMYFUNCTION("IF(COUNTIF($A:$A,A430)=1,
""Unique"",
IF(COUNTUNIQUE(FILTER($V$2:$V$934,$A$2:$A$934=A430))&gt;1,
""Conflicting Duplicate"",
""Exact Duplicate""))"),"Unique")</f>
        <v>Unique</v>
      </c>
      <c r="X436" s="10" t="b">
        <f t="shared" ca="1" si="1"/>
        <v>1</v>
      </c>
      <c r="Y436" s="10" t="str">
        <f t="shared" si="2"/>
        <v>Unique</v>
      </c>
      <c r="Z436" s="10"/>
      <c r="AA436" s="10" t="str">
        <f t="shared" si="3"/>
        <v>Clean</v>
      </c>
      <c r="AB436" s="15" t="str">
        <f t="shared" si="4"/>
        <v>Valid</v>
      </c>
      <c r="AC436" s="15">
        <v>4</v>
      </c>
      <c r="AD436" s="16" t="str">
        <f t="shared" si="5"/>
        <v>Valid</v>
      </c>
      <c r="AE436" s="16" t="str">
        <f t="shared" si="6"/>
        <v>Valid</v>
      </c>
      <c r="AF436" s="16" t="str">
        <f t="shared" ref="AF436:AG436" si="883">IF(ISNUMBER(B436),"Valid","Invalid")</f>
        <v>Valid</v>
      </c>
      <c r="AG436" s="16" t="str">
        <f t="shared" si="883"/>
        <v>Valid</v>
      </c>
      <c r="AH436" s="16" t="str">
        <f t="shared" ref="AH436:AI436" si="884">IF(OR(B436="",ISBLANK(B436)),"Missing","Valid")</f>
        <v>Valid</v>
      </c>
      <c r="AI436" s="16" t="str">
        <f t="shared" si="884"/>
        <v>Valid</v>
      </c>
      <c r="AJ436" s="16" t="b">
        <v>0</v>
      </c>
      <c r="AK436" s="16" t="b">
        <v>0</v>
      </c>
      <c r="AL436" s="16" t="b">
        <v>0</v>
      </c>
      <c r="AM436" s="16" t="b">
        <v>0</v>
      </c>
      <c r="AN436" s="16" t="b">
        <v>0</v>
      </c>
      <c r="AO436" s="16" t="b">
        <v>0</v>
      </c>
      <c r="AP436" s="16" t="b">
        <v>0</v>
      </c>
      <c r="AQ436" s="17">
        <f t="shared" si="9"/>
        <v>0</v>
      </c>
      <c r="AR436" s="12">
        <f t="shared" si="10"/>
        <v>3263.8999999999996</v>
      </c>
      <c r="AS436" s="18">
        <f t="shared" si="11"/>
        <v>0</v>
      </c>
      <c r="AT436" s="12">
        <f t="shared" si="12"/>
        <v>1195.4599999999996</v>
      </c>
      <c r="AU436" s="18">
        <f t="shared" si="13"/>
        <v>0</v>
      </c>
      <c r="AV436" s="19">
        <f t="shared" si="14"/>
        <v>0.3662673488771101</v>
      </c>
      <c r="AW436" s="20" t="str">
        <f t="shared" si="15"/>
        <v>April</v>
      </c>
      <c r="AX436" s="21">
        <f t="shared" si="16"/>
        <v>2025</v>
      </c>
    </row>
    <row r="437" spans="1:50" ht="15.75" customHeight="1">
      <c r="A437" s="10" t="s">
        <v>1437</v>
      </c>
      <c r="B437" s="11">
        <v>45759</v>
      </c>
      <c r="C437" s="11">
        <v>45767</v>
      </c>
      <c r="D437" s="10" t="s">
        <v>1438</v>
      </c>
      <c r="E437" s="10" t="s">
        <v>294</v>
      </c>
      <c r="F437" s="10" t="s">
        <v>124</v>
      </c>
      <c r="G437" s="10" t="s">
        <v>54</v>
      </c>
      <c r="H437" s="10" t="s">
        <v>380</v>
      </c>
      <c r="I437" s="10" t="s">
        <v>381</v>
      </c>
      <c r="J437" s="10" t="s">
        <v>103</v>
      </c>
      <c r="K437" s="10" t="s">
        <v>304</v>
      </c>
      <c r="L437" s="10" t="s">
        <v>1439</v>
      </c>
      <c r="M437" s="10" t="s">
        <v>88</v>
      </c>
      <c r="N437" s="12">
        <v>1</v>
      </c>
      <c r="O437" s="12">
        <v>2737.71</v>
      </c>
      <c r="P437" s="12">
        <v>0.15</v>
      </c>
      <c r="Q437" s="12">
        <v>2327.0500000000002</v>
      </c>
      <c r="R437" s="12">
        <v>1919.42</v>
      </c>
      <c r="S437" s="12">
        <v>407.63</v>
      </c>
      <c r="T437" s="10" t="s">
        <v>61</v>
      </c>
      <c r="U437" s="13" t="s">
        <v>97</v>
      </c>
      <c r="V437" s="14" t="e">
        <f t="shared" ca="1" si="0"/>
        <v>#NAME?</v>
      </c>
      <c r="W437" s="10" t="str">
        <f ca="1">IFERROR(__xludf.DUMMYFUNCTION("IF(COUNTIF($A:$A,A431)=1,
""Unique"",
IF(COUNTUNIQUE(FILTER($V$2:$V$934,$A$2:$A$934=A431))&gt;1,
""Conflicting Duplicate"",
""Exact Duplicate""))"),"Unique")</f>
        <v>Unique</v>
      </c>
      <c r="X437" s="10" t="b">
        <f t="shared" ca="1" si="1"/>
        <v>1</v>
      </c>
      <c r="Y437" s="10" t="str">
        <f t="shared" si="2"/>
        <v>Unique</v>
      </c>
      <c r="Z437" s="10"/>
      <c r="AA437" s="10" t="str">
        <f t="shared" si="3"/>
        <v>Clean</v>
      </c>
      <c r="AB437" s="15" t="str">
        <f t="shared" si="4"/>
        <v>Valid</v>
      </c>
      <c r="AC437" s="15">
        <v>8</v>
      </c>
      <c r="AD437" s="16" t="str">
        <f t="shared" si="5"/>
        <v>Valid</v>
      </c>
      <c r="AE437" s="16" t="str">
        <f t="shared" si="6"/>
        <v>Valid</v>
      </c>
      <c r="AF437" s="16" t="str">
        <f t="shared" ref="AF437:AG437" si="885">IF(ISNUMBER(B437),"Valid","Invalid")</f>
        <v>Valid</v>
      </c>
      <c r="AG437" s="16" t="str">
        <f t="shared" si="885"/>
        <v>Valid</v>
      </c>
      <c r="AH437" s="16" t="str">
        <f t="shared" ref="AH437:AI437" si="886">IF(OR(B437="",ISBLANK(B437)),"Missing","Valid")</f>
        <v>Valid</v>
      </c>
      <c r="AI437" s="16" t="str">
        <f t="shared" si="886"/>
        <v>Valid</v>
      </c>
      <c r="AJ437" s="16" t="b">
        <v>0</v>
      </c>
      <c r="AK437" s="16" t="b">
        <v>0</v>
      </c>
      <c r="AL437" s="16" t="b">
        <v>0</v>
      </c>
      <c r="AM437" s="16" t="b">
        <v>0</v>
      </c>
      <c r="AN437" s="16" t="b">
        <v>0</v>
      </c>
      <c r="AO437" s="16" t="b">
        <v>0</v>
      </c>
      <c r="AP437" s="16" t="b">
        <v>0</v>
      </c>
      <c r="AQ437" s="17">
        <f t="shared" si="9"/>
        <v>0.15</v>
      </c>
      <c r="AR437" s="12">
        <f t="shared" si="10"/>
        <v>2327.0535</v>
      </c>
      <c r="AS437" s="18">
        <f t="shared" si="11"/>
        <v>-3.4999999998035491E-3</v>
      </c>
      <c r="AT437" s="12">
        <f t="shared" si="12"/>
        <v>407.63349999999991</v>
      </c>
      <c r="AU437" s="18">
        <f t="shared" si="13"/>
        <v>-3.499999999917236E-3</v>
      </c>
      <c r="AV437" s="19">
        <f t="shared" si="14"/>
        <v>0.17517152055163318</v>
      </c>
      <c r="AW437" s="20" t="str">
        <f t="shared" si="15"/>
        <v>April</v>
      </c>
      <c r="AX437" s="21">
        <f t="shared" si="16"/>
        <v>2025</v>
      </c>
    </row>
    <row r="438" spans="1:50" ht="15.75" customHeight="1">
      <c r="A438" s="10" t="s">
        <v>1440</v>
      </c>
      <c r="B438" s="11">
        <v>45459</v>
      </c>
      <c r="C438" s="11">
        <v>45464</v>
      </c>
      <c r="D438" s="10" t="s">
        <v>1441</v>
      </c>
      <c r="E438" s="10" t="s">
        <v>108</v>
      </c>
      <c r="F438" s="10" t="s">
        <v>53</v>
      </c>
      <c r="G438" s="10" t="s">
        <v>83</v>
      </c>
      <c r="H438" s="10" t="s">
        <v>214</v>
      </c>
      <c r="I438" s="10" t="s">
        <v>215</v>
      </c>
      <c r="J438" s="10" t="s">
        <v>70</v>
      </c>
      <c r="K438" s="10" t="s">
        <v>86</v>
      </c>
      <c r="L438" s="10" t="s">
        <v>1442</v>
      </c>
      <c r="M438" s="10" t="s">
        <v>73</v>
      </c>
      <c r="N438" s="12">
        <v>6</v>
      </c>
      <c r="O438" s="12">
        <v>1156.78</v>
      </c>
      <c r="P438" s="12">
        <v>0.05</v>
      </c>
      <c r="Q438" s="12">
        <v>6593.65</v>
      </c>
      <c r="R438" s="12">
        <v>4359.3900000000003</v>
      </c>
      <c r="S438" s="12">
        <v>2234.2600000000002</v>
      </c>
      <c r="T438" s="10" t="s">
        <v>61</v>
      </c>
      <c r="U438" s="13" t="s">
        <v>132</v>
      </c>
      <c r="V438" s="14" t="e">
        <f t="shared" ca="1" si="0"/>
        <v>#NAME?</v>
      </c>
      <c r="W438" s="10" t="str">
        <f ca="1">IFERROR(__xludf.DUMMYFUNCTION("IF(COUNTIF($A:$A,A432)=1,
""Unique"",
IF(COUNTUNIQUE(FILTER($V$2:$V$934,$A$2:$A$934=A432))&gt;1,
""Conflicting Duplicate"",
""Exact Duplicate""))"),"Unique")</f>
        <v>Unique</v>
      </c>
      <c r="X438" s="10" t="b">
        <f t="shared" ca="1" si="1"/>
        <v>1</v>
      </c>
      <c r="Y438" s="10" t="str">
        <f t="shared" si="2"/>
        <v>Unique</v>
      </c>
      <c r="Z438" s="10"/>
      <c r="AA438" s="10" t="str">
        <f t="shared" si="3"/>
        <v>Clean</v>
      </c>
      <c r="AB438" s="15" t="str">
        <f t="shared" si="4"/>
        <v>Valid</v>
      </c>
      <c r="AC438" s="15">
        <v>5</v>
      </c>
      <c r="AD438" s="16" t="str">
        <f t="shared" si="5"/>
        <v>Valid</v>
      </c>
      <c r="AE438" s="16" t="str">
        <f t="shared" si="6"/>
        <v>Valid</v>
      </c>
      <c r="AF438" s="16" t="str">
        <f t="shared" ref="AF438:AG438" si="887">IF(ISNUMBER(B438),"Valid","Invalid")</f>
        <v>Valid</v>
      </c>
      <c r="AG438" s="16" t="str">
        <f t="shared" si="887"/>
        <v>Valid</v>
      </c>
      <c r="AH438" s="16" t="str">
        <f t="shared" ref="AH438:AI438" si="888">IF(OR(B438="",ISBLANK(B438)),"Missing","Valid")</f>
        <v>Valid</v>
      </c>
      <c r="AI438" s="16" t="str">
        <f t="shared" si="888"/>
        <v>Valid</v>
      </c>
      <c r="AJ438" s="16" t="b">
        <v>0</v>
      </c>
      <c r="AK438" s="16" t="b">
        <v>0</v>
      </c>
      <c r="AL438" s="16" t="b">
        <v>0</v>
      </c>
      <c r="AM438" s="16" t="b">
        <v>0</v>
      </c>
      <c r="AN438" s="16" t="b">
        <v>0</v>
      </c>
      <c r="AO438" s="16" t="b">
        <v>0</v>
      </c>
      <c r="AP438" s="16" t="b">
        <v>0</v>
      </c>
      <c r="AQ438" s="17">
        <f t="shared" si="9"/>
        <v>0.05</v>
      </c>
      <c r="AR438" s="12">
        <f t="shared" si="10"/>
        <v>6593.6459999999997</v>
      </c>
      <c r="AS438" s="18">
        <f t="shared" si="11"/>
        <v>3.9999999999054126E-3</v>
      </c>
      <c r="AT438" s="12">
        <f t="shared" si="12"/>
        <v>2234.2559999999994</v>
      </c>
      <c r="AU438" s="18">
        <f t="shared" si="13"/>
        <v>4.0000000008149073E-3</v>
      </c>
      <c r="AV438" s="19">
        <f t="shared" si="14"/>
        <v>0.33884985636171544</v>
      </c>
      <c r="AW438" s="20" t="str">
        <f t="shared" si="15"/>
        <v>June</v>
      </c>
      <c r="AX438" s="21">
        <f t="shared" si="16"/>
        <v>2024</v>
      </c>
    </row>
    <row r="439" spans="1:50" ht="15.75" customHeight="1">
      <c r="A439" s="10" t="s">
        <v>1443</v>
      </c>
      <c r="B439" s="11">
        <v>45337</v>
      </c>
      <c r="C439" s="11">
        <v>45340</v>
      </c>
      <c r="D439" s="10" t="s">
        <v>1444</v>
      </c>
      <c r="E439" s="10" t="s">
        <v>118</v>
      </c>
      <c r="F439" s="10" t="s">
        <v>66</v>
      </c>
      <c r="G439" s="10" t="s">
        <v>83</v>
      </c>
      <c r="H439" s="10" t="s">
        <v>214</v>
      </c>
      <c r="I439" s="10" t="s">
        <v>215</v>
      </c>
      <c r="J439" s="10" t="s">
        <v>103</v>
      </c>
      <c r="K439" s="10" t="s">
        <v>104</v>
      </c>
      <c r="L439" s="10" t="s">
        <v>1445</v>
      </c>
      <c r="M439" s="10" t="s">
        <v>73</v>
      </c>
      <c r="N439" s="12">
        <v>8</v>
      </c>
      <c r="O439" s="12">
        <v>379.82</v>
      </c>
      <c r="P439" s="12">
        <v>0.05</v>
      </c>
      <c r="Q439" s="12">
        <v>2886.63</v>
      </c>
      <c r="R439" s="12">
        <v>1588.23</v>
      </c>
      <c r="S439" s="12">
        <v>1298.4000000000001</v>
      </c>
      <c r="T439" s="10" t="s">
        <v>184</v>
      </c>
      <c r="U439" s="13" t="s">
        <v>132</v>
      </c>
      <c r="V439" s="14" t="e">
        <f t="shared" ca="1" si="0"/>
        <v>#NAME?</v>
      </c>
      <c r="W439" s="10" t="str">
        <f ca="1">IFERROR(__xludf.DUMMYFUNCTION("IF(COUNTIF($A:$A,A433)=1,
""Unique"",
IF(COUNTUNIQUE(FILTER($V$2:$V$934,$A$2:$A$934=A433))&gt;1,
""Conflicting Duplicate"",
""Exact Duplicate""))"),"Unique")</f>
        <v>Unique</v>
      </c>
      <c r="X439" s="10" t="b">
        <f t="shared" ca="1" si="1"/>
        <v>1</v>
      </c>
      <c r="Y439" s="10" t="str">
        <f t="shared" si="2"/>
        <v>Unique</v>
      </c>
      <c r="Z439" s="10"/>
      <c r="AA439" s="10" t="str">
        <f t="shared" si="3"/>
        <v>Clean</v>
      </c>
      <c r="AB439" s="15" t="str">
        <f t="shared" si="4"/>
        <v>Valid</v>
      </c>
      <c r="AC439" s="15">
        <v>3</v>
      </c>
      <c r="AD439" s="16" t="str">
        <f t="shared" si="5"/>
        <v>Valid</v>
      </c>
      <c r="AE439" s="16" t="str">
        <f t="shared" si="6"/>
        <v>Valid</v>
      </c>
      <c r="AF439" s="16" t="str">
        <f t="shared" ref="AF439:AG439" si="889">IF(ISNUMBER(B439),"Valid","Invalid")</f>
        <v>Valid</v>
      </c>
      <c r="AG439" s="16" t="str">
        <f t="shared" si="889"/>
        <v>Valid</v>
      </c>
      <c r="AH439" s="16" t="str">
        <f t="shared" ref="AH439:AI439" si="890">IF(OR(B439="",ISBLANK(B439)),"Missing","Valid")</f>
        <v>Valid</v>
      </c>
      <c r="AI439" s="16" t="str">
        <f t="shared" si="890"/>
        <v>Valid</v>
      </c>
      <c r="AJ439" s="16" t="b">
        <v>0</v>
      </c>
      <c r="AK439" s="16" t="b">
        <v>0</v>
      </c>
      <c r="AL439" s="16" t="b">
        <v>0</v>
      </c>
      <c r="AM439" s="16" t="b">
        <v>0</v>
      </c>
      <c r="AN439" s="16" t="b">
        <v>0</v>
      </c>
      <c r="AO439" s="16" t="b">
        <v>0</v>
      </c>
      <c r="AP439" s="16" t="b">
        <v>0</v>
      </c>
      <c r="AQ439" s="17">
        <f t="shared" si="9"/>
        <v>0.05</v>
      </c>
      <c r="AR439" s="12">
        <f t="shared" si="10"/>
        <v>2886.6319999999996</v>
      </c>
      <c r="AS439" s="18">
        <f t="shared" si="11"/>
        <v>-1.9999999994979589E-3</v>
      </c>
      <c r="AT439" s="12">
        <f t="shared" si="12"/>
        <v>1298.4019999999996</v>
      </c>
      <c r="AU439" s="18">
        <f t="shared" si="13"/>
        <v>-1.9999999994979589E-3</v>
      </c>
      <c r="AV439" s="19">
        <f t="shared" si="14"/>
        <v>0.44979824238073984</v>
      </c>
      <c r="AW439" s="20" t="str">
        <f t="shared" si="15"/>
        <v>February</v>
      </c>
      <c r="AX439" s="21">
        <f t="shared" si="16"/>
        <v>2024</v>
      </c>
    </row>
    <row r="440" spans="1:50" ht="15.75" customHeight="1">
      <c r="A440" s="10" t="s">
        <v>1446</v>
      </c>
      <c r="B440" s="11">
        <v>45784</v>
      </c>
      <c r="C440" s="11">
        <v>45782</v>
      </c>
      <c r="D440" s="10" t="s">
        <v>1447</v>
      </c>
      <c r="E440" s="10" t="s">
        <v>108</v>
      </c>
      <c r="F440" s="10" t="s">
        <v>119</v>
      </c>
      <c r="G440" s="10" t="s">
        <v>67</v>
      </c>
      <c r="H440" s="10" t="s">
        <v>258</v>
      </c>
      <c r="I440" s="10" t="s">
        <v>259</v>
      </c>
      <c r="J440" s="10" t="s">
        <v>103</v>
      </c>
      <c r="K440" s="10" t="s">
        <v>200</v>
      </c>
      <c r="L440" s="10" t="s">
        <v>1448</v>
      </c>
      <c r="M440" s="10" t="s">
        <v>88</v>
      </c>
      <c r="N440" s="12">
        <v>1</v>
      </c>
      <c r="O440" s="12">
        <v>2266.4699999999998</v>
      </c>
      <c r="P440" s="12">
        <v>0.2</v>
      </c>
      <c r="Q440" s="12">
        <v>1813.18</v>
      </c>
      <c r="R440" s="12">
        <v>1363.64</v>
      </c>
      <c r="S440" s="12">
        <v>449.54</v>
      </c>
      <c r="T440" s="10" t="s">
        <v>61</v>
      </c>
      <c r="U440" s="13" t="s">
        <v>62</v>
      </c>
      <c r="V440" s="14" t="e">
        <f t="shared" ca="1" si="0"/>
        <v>#NAME?</v>
      </c>
      <c r="W440" s="10" t="str">
        <f ca="1">IFERROR(__xludf.DUMMYFUNCTION("IF(COUNTIF($A:$A,A434)=1,
""Unique"",
IF(COUNTUNIQUE(FILTER($V$2:$V$934,$A$2:$A$934=A434))&gt;1,
""Conflicting Duplicate"",
""Exact Duplicate""))"),"Unique")</f>
        <v>Unique</v>
      </c>
      <c r="X440" s="10" t="b">
        <f t="shared" ca="1" si="1"/>
        <v>1</v>
      </c>
      <c r="Y440" s="10" t="str">
        <f t="shared" si="2"/>
        <v>Unique</v>
      </c>
      <c r="Z440" s="10"/>
      <c r="AA440" s="10" t="str">
        <f t="shared" si="3"/>
        <v>Invalid</v>
      </c>
      <c r="AB440" s="15" t="str">
        <f t="shared" si="4"/>
        <v>Invalid</v>
      </c>
      <c r="AC440" s="15">
        <v>-2</v>
      </c>
      <c r="AD440" s="16" t="str">
        <f t="shared" si="5"/>
        <v>Invalid Shipping Date</v>
      </c>
      <c r="AE440" s="16" t="str">
        <f t="shared" si="6"/>
        <v>Valid</v>
      </c>
      <c r="AF440" s="16" t="str">
        <f t="shared" ref="AF440:AG440" si="891">IF(ISNUMBER(B440),"Valid","Invalid")</f>
        <v>Valid</v>
      </c>
      <c r="AG440" s="16" t="str">
        <f t="shared" si="891"/>
        <v>Valid</v>
      </c>
      <c r="AH440" s="16" t="str">
        <f t="shared" ref="AH440:AI440" si="892">IF(OR(B440="",ISBLANK(B440)),"Missing","Valid")</f>
        <v>Valid</v>
      </c>
      <c r="AI440" s="16" t="str">
        <f t="shared" si="892"/>
        <v>Valid</v>
      </c>
      <c r="AJ440" s="16" t="b">
        <v>0</v>
      </c>
      <c r="AK440" s="16" t="b">
        <v>0</v>
      </c>
      <c r="AL440" s="16" t="b">
        <v>0</v>
      </c>
      <c r="AM440" s="16" t="b">
        <v>0</v>
      </c>
      <c r="AN440" s="16" t="b">
        <v>0</v>
      </c>
      <c r="AO440" s="16" t="b">
        <v>1</v>
      </c>
      <c r="AP440" s="16" t="b">
        <v>1</v>
      </c>
      <c r="AQ440" s="17">
        <f t="shared" si="9"/>
        <v>0.2</v>
      </c>
      <c r="AR440" s="12">
        <f t="shared" si="10"/>
        <v>1813.1759999999999</v>
      </c>
      <c r="AS440" s="18">
        <f t="shared" si="11"/>
        <v>4.0000000001327862E-3</v>
      </c>
      <c r="AT440" s="12">
        <f t="shared" si="12"/>
        <v>449.53599999999983</v>
      </c>
      <c r="AU440" s="18">
        <f t="shared" si="13"/>
        <v>4.0000000001896296E-3</v>
      </c>
      <c r="AV440" s="19">
        <f t="shared" si="14"/>
        <v>0.24792739370033567</v>
      </c>
      <c r="AW440" s="20" t="str">
        <f t="shared" si="15"/>
        <v>May</v>
      </c>
      <c r="AX440" s="21">
        <f t="shared" si="16"/>
        <v>2025</v>
      </c>
    </row>
    <row r="441" spans="1:50" ht="15.75" customHeight="1">
      <c r="A441" s="10" t="s">
        <v>1449</v>
      </c>
      <c r="B441" s="11">
        <v>45838</v>
      </c>
      <c r="C441" s="11">
        <v>45841</v>
      </c>
      <c r="D441" s="10" t="s">
        <v>1450</v>
      </c>
      <c r="E441" s="10" t="s">
        <v>157</v>
      </c>
      <c r="F441" s="10" t="s">
        <v>124</v>
      </c>
      <c r="G441" s="10" t="s">
        <v>92</v>
      </c>
      <c r="H441" s="10" t="s">
        <v>219</v>
      </c>
      <c r="I441" s="10" t="s">
        <v>220</v>
      </c>
      <c r="J441" s="10" t="s">
        <v>57</v>
      </c>
      <c r="K441" s="10" t="s">
        <v>153</v>
      </c>
      <c r="L441" s="10" t="s">
        <v>1451</v>
      </c>
      <c r="M441" s="10" t="s">
        <v>73</v>
      </c>
      <c r="N441" s="12">
        <v>5</v>
      </c>
      <c r="O441" s="12">
        <v>665.25</v>
      </c>
      <c r="P441" s="12">
        <v>0</v>
      </c>
      <c r="Q441" s="12">
        <v>3326.25</v>
      </c>
      <c r="R441" s="12">
        <v>2689.36</v>
      </c>
      <c r="S441" s="12">
        <v>636.89</v>
      </c>
      <c r="T441" s="10" t="s">
        <v>131</v>
      </c>
      <c r="U441" s="13" t="s">
        <v>132</v>
      </c>
      <c r="V441" s="14" t="e">
        <f t="shared" ca="1" si="0"/>
        <v>#NAME?</v>
      </c>
      <c r="W441" s="10" t="str">
        <f ca="1">IFERROR(__xludf.DUMMYFUNCTION("IF(COUNTIF($A:$A,A435)=1,
""Unique"",
IF(COUNTUNIQUE(FILTER($V$2:$V$934,$A$2:$A$934=A435))&gt;1,
""Conflicting Duplicate"",
""Exact Duplicate""))"),"Unique")</f>
        <v>Unique</v>
      </c>
      <c r="X441" s="10" t="b">
        <f t="shared" ca="1" si="1"/>
        <v>1</v>
      </c>
      <c r="Y441" s="10" t="str">
        <f t="shared" si="2"/>
        <v>Unique</v>
      </c>
      <c r="Z441" s="10"/>
      <c r="AA441" s="10" t="str">
        <f t="shared" si="3"/>
        <v>Clean</v>
      </c>
      <c r="AB441" s="15" t="str">
        <f t="shared" si="4"/>
        <v>Valid</v>
      </c>
      <c r="AC441" s="15">
        <v>3</v>
      </c>
      <c r="AD441" s="16" t="str">
        <f t="shared" si="5"/>
        <v>Valid</v>
      </c>
      <c r="AE441" s="16" t="str">
        <f t="shared" si="6"/>
        <v>Valid</v>
      </c>
      <c r="AF441" s="16" t="str">
        <f t="shared" ref="AF441:AG441" si="893">IF(ISNUMBER(B441),"Valid","Invalid")</f>
        <v>Valid</v>
      </c>
      <c r="AG441" s="16" t="str">
        <f t="shared" si="893"/>
        <v>Valid</v>
      </c>
      <c r="AH441" s="16" t="str">
        <f t="shared" ref="AH441:AI441" si="894">IF(OR(B441="",ISBLANK(B441)),"Missing","Valid")</f>
        <v>Valid</v>
      </c>
      <c r="AI441" s="16" t="str">
        <f t="shared" si="894"/>
        <v>Valid</v>
      </c>
      <c r="AJ441" s="16" t="b">
        <v>0</v>
      </c>
      <c r="AK441" s="16" t="b">
        <v>0</v>
      </c>
      <c r="AL441" s="16" t="b">
        <v>0</v>
      </c>
      <c r="AM441" s="16" t="b">
        <v>0</v>
      </c>
      <c r="AN441" s="16" t="b">
        <v>0</v>
      </c>
      <c r="AO441" s="16" t="b">
        <v>0</v>
      </c>
      <c r="AP441" s="16" t="b">
        <v>0</v>
      </c>
      <c r="AQ441" s="17">
        <f t="shared" si="9"/>
        <v>0</v>
      </c>
      <c r="AR441" s="12">
        <f t="shared" si="10"/>
        <v>3326.25</v>
      </c>
      <c r="AS441" s="18">
        <f t="shared" si="11"/>
        <v>0</v>
      </c>
      <c r="AT441" s="12">
        <f t="shared" si="12"/>
        <v>636.88999999999987</v>
      </c>
      <c r="AU441" s="18">
        <f t="shared" si="13"/>
        <v>0</v>
      </c>
      <c r="AV441" s="19">
        <f t="shared" si="14"/>
        <v>0.19147388199924836</v>
      </c>
      <c r="AW441" s="20" t="str">
        <f t="shared" si="15"/>
        <v>June</v>
      </c>
      <c r="AX441" s="21">
        <f t="shared" si="16"/>
        <v>2025</v>
      </c>
    </row>
    <row r="442" spans="1:50" ht="15.75" customHeight="1">
      <c r="A442" s="10" t="s">
        <v>1452</v>
      </c>
      <c r="B442" s="11">
        <v>45384</v>
      </c>
      <c r="C442" s="11">
        <v>45390</v>
      </c>
      <c r="D442" s="10" t="s">
        <v>300</v>
      </c>
      <c r="E442" s="10" t="s">
        <v>100</v>
      </c>
      <c r="F442" s="10" t="s">
        <v>119</v>
      </c>
      <c r="G442" s="10" t="s">
        <v>67</v>
      </c>
      <c r="H442" s="10" t="s">
        <v>68</v>
      </c>
      <c r="I442" s="10" t="s">
        <v>69</v>
      </c>
      <c r="J442" s="10" t="s">
        <v>103</v>
      </c>
      <c r="K442" s="10" t="s">
        <v>304</v>
      </c>
      <c r="L442" s="10" t="s">
        <v>1453</v>
      </c>
      <c r="M442" s="10" t="s">
        <v>60</v>
      </c>
      <c r="N442" s="12">
        <v>6</v>
      </c>
      <c r="O442" s="12">
        <v>3722.84</v>
      </c>
      <c r="P442" s="12">
        <v>0.2</v>
      </c>
      <c r="Q442" s="12">
        <v>17869.63</v>
      </c>
      <c r="R442" s="12">
        <v>12163.8</v>
      </c>
      <c r="S442" s="12">
        <v>5705.83</v>
      </c>
      <c r="T442" s="10" t="s">
        <v>61</v>
      </c>
      <c r="U442" s="13" t="s">
        <v>62</v>
      </c>
      <c r="V442" s="14" t="e">
        <f t="shared" ca="1" si="0"/>
        <v>#NAME?</v>
      </c>
      <c r="W442" s="10" t="str">
        <f ca="1">IFERROR(__xludf.DUMMYFUNCTION("IF(COUNTIF($A:$A,A436)=1,
""Unique"",
IF(COUNTUNIQUE(FILTER($V$2:$V$934,$A$2:$A$934=A436))&gt;1,
""Conflicting Duplicate"",
""Exact Duplicate""))"),"Unique")</f>
        <v>Unique</v>
      </c>
      <c r="X442" s="10" t="b">
        <f t="shared" ca="1" si="1"/>
        <v>1</v>
      </c>
      <c r="Y442" s="10" t="str">
        <f t="shared" si="2"/>
        <v>Unique</v>
      </c>
      <c r="Z442" s="10"/>
      <c r="AA442" s="10" t="str">
        <f t="shared" si="3"/>
        <v>Clean</v>
      </c>
      <c r="AB442" s="15" t="str">
        <f t="shared" si="4"/>
        <v>Valid</v>
      </c>
      <c r="AC442" s="15">
        <v>6</v>
      </c>
      <c r="AD442" s="16" t="str">
        <f t="shared" si="5"/>
        <v>Valid</v>
      </c>
      <c r="AE442" s="16" t="str">
        <f t="shared" si="6"/>
        <v>Valid</v>
      </c>
      <c r="AF442" s="16" t="str">
        <f t="shared" ref="AF442:AG442" si="895">IF(ISNUMBER(B442),"Valid","Invalid")</f>
        <v>Valid</v>
      </c>
      <c r="AG442" s="16" t="str">
        <f t="shared" si="895"/>
        <v>Valid</v>
      </c>
      <c r="AH442" s="16" t="str">
        <f t="shared" ref="AH442:AI442" si="896">IF(OR(B442="",ISBLANK(B442)),"Missing","Valid")</f>
        <v>Valid</v>
      </c>
      <c r="AI442" s="16" t="str">
        <f t="shared" si="896"/>
        <v>Valid</v>
      </c>
      <c r="AJ442" s="16" t="b">
        <v>0</v>
      </c>
      <c r="AK442" s="16" t="b">
        <v>0</v>
      </c>
      <c r="AL442" s="16" t="b">
        <v>0</v>
      </c>
      <c r="AM442" s="16" t="b">
        <v>0</v>
      </c>
      <c r="AN442" s="16" t="b">
        <v>0</v>
      </c>
      <c r="AO442" s="16" t="b">
        <v>0</v>
      </c>
      <c r="AP442" s="16" t="b">
        <v>0</v>
      </c>
      <c r="AQ442" s="17">
        <f t="shared" si="9"/>
        <v>0.2</v>
      </c>
      <c r="AR442" s="12">
        <f t="shared" si="10"/>
        <v>17869.632000000001</v>
      </c>
      <c r="AS442" s="18">
        <f t="shared" si="11"/>
        <v>-2.0000000004074536E-3</v>
      </c>
      <c r="AT442" s="12">
        <f t="shared" si="12"/>
        <v>5705.8320000000022</v>
      </c>
      <c r="AU442" s="18">
        <f t="shared" si="13"/>
        <v>-2.000000002226443E-3</v>
      </c>
      <c r="AV442" s="19">
        <f t="shared" si="14"/>
        <v>0.31930327384469931</v>
      </c>
      <c r="AW442" s="20" t="str">
        <f t="shared" si="15"/>
        <v>April</v>
      </c>
      <c r="AX442" s="21">
        <f t="shared" si="16"/>
        <v>2024</v>
      </c>
    </row>
    <row r="443" spans="1:50" ht="15.75" customHeight="1">
      <c r="A443" s="10" t="s">
        <v>1454</v>
      </c>
      <c r="B443" s="11">
        <v>45568</v>
      </c>
      <c r="C443" s="11">
        <v>45568</v>
      </c>
      <c r="D443" s="10" t="s">
        <v>1455</v>
      </c>
      <c r="E443" s="10" t="s">
        <v>52</v>
      </c>
      <c r="F443" s="10" t="s">
        <v>53</v>
      </c>
      <c r="G443" s="10" t="s">
        <v>67</v>
      </c>
      <c r="H443" s="10" t="s">
        <v>174</v>
      </c>
      <c r="I443" s="10" t="s">
        <v>175</v>
      </c>
      <c r="J443" s="10" t="s">
        <v>70</v>
      </c>
      <c r="K443" s="10" t="s">
        <v>187</v>
      </c>
      <c r="L443" s="10" t="s">
        <v>1456</v>
      </c>
      <c r="M443" s="10" t="s">
        <v>88</v>
      </c>
      <c r="N443" s="12">
        <v>6</v>
      </c>
      <c r="O443" s="12">
        <v>4217.49</v>
      </c>
      <c r="P443" s="12">
        <v>0</v>
      </c>
      <c r="Q443" s="12">
        <v>25304.94</v>
      </c>
      <c r="R443" s="12">
        <v>20771.95</v>
      </c>
      <c r="S443" s="12">
        <v>4532.99</v>
      </c>
      <c r="T443" s="10" t="s">
        <v>61</v>
      </c>
      <c r="U443" s="13" t="s">
        <v>97</v>
      </c>
      <c r="V443" s="14" t="e">
        <f t="shared" ca="1" si="0"/>
        <v>#NAME?</v>
      </c>
      <c r="W443" s="10" t="str">
        <f ca="1">IFERROR(__xludf.DUMMYFUNCTION("IF(COUNTIF($A:$A,A437)=1,
""Unique"",
IF(COUNTUNIQUE(FILTER($V$2:$V$934,$A$2:$A$934=A437))&gt;1,
""Conflicting Duplicate"",
""Exact Duplicate""))"),"Unique")</f>
        <v>Unique</v>
      </c>
      <c r="X443" s="10" t="b">
        <f t="shared" ca="1" si="1"/>
        <v>1</v>
      </c>
      <c r="Y443" s="10" t="str">
        <f t="shared" si="2"/>
        <v>Unique</v>
      </c>
      <c r="Z443" s="10"/>
      <c r="AA443" s="10" t="str">
        <f t="shared" si="3"/>
        <v>Clean</v>
      </c>
      <c r="AB443" s="15" t="str">
        <f t="shared" si="4"/>
        <v>Valid</v>
      </c>
      <c r="AC443" s="15">
        <v>0</v>
      </c>
      <c r="AD443" s="16" t="str">
        <f t="shared" si="5"/>
        <v>Valid</v>
      </c>
      <c r="AE443" s="16" t="str">
        <f t="shared" si="6"/>
        <v>Valid</v>
      </c>
      <c r="AF443" s="16" t="str">
        <f t="shared" ref="AF443:AG443" si="897">IF(ISNUMBER(B443),"Valid","Invalid")</f>
        <v>Valid</v>
      </c>
      <c r="AG443" s="16" t="str">
        <f t="shared" si="897"/>
        <v>Valid</v>
      </c>
      <c r="AH443" s="16" t="str">
        <f t="shared" ref="AH443:AI443" si="898">IF(OR(B443="",ISBLANK(B443)),"Missing","Valid")</f>
        <v>Valid</v>
      </c>
      <c r="AI443" s="16" t="str">
        <f t="shared" si="898"/>
        <v>Valid</v>
      </c>
      <c r="AJ443" s="16" t="b">
        <v>0</v>
      </c>
      <c r="AK443" s="16" t="b">
        <v>0</v>
      </c>
      <c r="AL443" s="16" t="b">
        <v>0</v>
      </c>
      <c r="AM443" s="16" t="b">
        <v>0</v>
      </c>
      <c r="AN443" s="16" t="b">
        <v>0</v>
      </c>
      <c r="AO443" s="16" t="b">
        <v>0</v>
      </c>
      <c r="AP443" s="16" t="b">
        <v>0</v>
      </c>
      <c r="AQ443" s="17">
        <f t="shared" si="9"/>
        <v>0</v>
      </c>
      <c r="AR443" s="12">
        <f t="shared" si="10"/>
        <v>25304.94</v>
      </c>
      <c r="AS443" s="18">
        <f t="shared" si="11"/>
        <v>0</v>
      </c>
      <c r="AT443" s="12">
        <f t="shared" si="12"/>
        <v>4532.989999999998</v>
      </c>
      <c r="AU443" s="18">
        <f t="shared" si="13"/>
        <v>0</v>
      </c>
      <c r="AV443" s="19">
        <f t="shared" si="14"/>
        <v>0.17913458795002077</v>
      </c>
      <c r="AW443" s="20" t="str">
        <f t="shared" si="15"/>
        <v>October</v>
      </c>
      <c r="AX443" s="21">
        <f t="shared" si="16"/>
        <v>2024</v>
      </c>
    </row>
    <row r="444" spans="1:50" ht="15.75" customHeight="1">
      <c r="A444" s="10" t="s">
        <v>1457</v>
      </c>
      <c r="B444" s="11">
        <v>45669</v>
      </c>
      <c r="C444" s="11">
        <v>45676</v>
      </c>
      <c r="D444" s="10" t="s">
        <v>1458</v>
      </c>
      <c r="E444" s="10" t="s">
        <v>157</v>
      </c>
      <c r="F444" s="10" t="s">
        <v>53</v>
      </c>
      <c r="G444" s="10" t="s">
        <v>67</v>
      </c>
      <c r="H444" s="10" t="s">
        <v>258</v>
      </c>
      <c r="I444" s="10" t="s">
        <v>259</v>
      </c>
      <c r="J444" s="10" t="s">
        <v>70</v>
      </c>
      <c r="K444" s="10" t="s">
        <v>71</v>
      </c>
      <c r="L444" s="10" t="s">
        <v>1459</v>
      </c>
      <c r="M444" s="10" t="s">
        <v>79</v>
      </c>
      <c r="N444" s="12">
        <v>1</v>
      </c>
      <c r="O444" s="12">
        <v>1842.31</v>
      </c>
      <c r="P444" s="12">
        <v>0</v>
      </c>
      <c r="Q444" s="12">
        <v>1842.31</v>
      </c>
      <c r="R444" s="12">
        <v>1019.17</v>
      </c>
      <c r="S444" s="12">
        <v>823.14</v>
      </c>
      <c r="T444" s="10" t="s">
        <v>61</v>
      </c>
      <c r="U444" s="13" t="s">
        <v>62</v>
      </c>
      <c r="V444" s="14" t="e">
        <f t="shared" ca="1" si="0"/>
        <v>#NAME?</v>
      </c>
      <c r="W444" s="10" t="str">
        <f ca="1">IFERROR(__xludf.DUMMYFUNCTION("IF(COUNTIF($A:$A,A438)=1,
""Unique"",
IF(COUNTUNIQUE(FILTER($V$2:$V$934,$A$2:$A$934=A438))&gt;1,
""Conflicting Duplicate"",
""Exact Duplicate""))"),"Unique")</f>
        <v>Unique</v>
      </c>
      <c r="X444" s="10" t="b">
        <f t="shared" ca="1" si="1"/>
        <v>1</v>
      </c>
      <c r="Y444" s="10" t="str">
        <f t="shared" si="2"/>
        <v>Unique</v>
      </c>
      <c r="Z444" s="10"/>
      <c r="AA444" s="10" t="str">
        <f t="shared" si="3"/>
        <v>Clean</v>
      </c>
      <c r="AB444" s="15" t="str">
        <f t="shared" si="4"/>
        <v>Valid</v>
      </c>
      <c r="AC444" s="15">
        <v>7</v>
      </c>
      <c r="AD444" s="16" t="str">
        <f t="shared" si="5"/>
        <v>Valid</v>
      </c>
      <c r="AE444" s="16" t="str">
        <f t="shared" si="6"/>
        <v>Valid</v>
      </c>
      <c r="AF444" s="16" t="str">
        <f t="shared" ref="AF444:AG444" si="899">IF(ISNUMBER(B444),"Valid","Invalid")</f>
        <v>Valid</v>
      </c>
      <c r="AG444" s="16" t="str">
        <f t="shared" si="899"/>
        <v>Valid</v>
      </c>
      <c r="AH444" s="16" t="str">
        <f t="shared" ref="AH444:AI444" si="900">IF(OR(B444="",ISBLANK(B444)),"Missing","Valid")</f>
        <v>Valid</v>
      </c>
      <c r="AI444" s="16" t="str">
        <f t="shared" si="900"/>
        <v>Valid</v>
      </c>
      <c r="AJ444" s="16" t="b">
        <v>0</v>
      </c>
      <c r="AK444" s="16" t="b">
        <v>0</v>
      </c>
      <c r="AL444" s="16" t="b">
        <v>0</v>
      </c>
      <c r="AM444" s="16" t="b">
        <v>0</v>
      </c>
      <c r="AN444" s="16" t="b">
        <v>0</v>
      </c>
      <c r="AO444" s="16" t="b">
        <v>0</v>
      </c>
      <c r="AP444" s="16" t="b">
        <v>0</v>
      </c>
      <c r="AQ444" s="17">
        <f t="shared" si="9"/>
        <v>0</v>
      </c>
      <c r="AR444" s="12">
        <f t="shared" si="10"/>
        <v>1842.31</v>
      </c>
      <c r="AS444" s="18">
        <f t="shared" si="11"/>
        <v>0</v>
      </c>
      <c r="AT444" s="12">
        <f t="shared" si="12"/>
        <v>823.14</v>
      </c>
      <c r="AU444" s="18">
        <f t="shared" si="13"/>
        <v>0</v>
      </c>
      <c r="AV444" s="19">
        <f t="shared" si="14"/>
        <v>0.44679777019068451</v>
      </c>
      <c r="AW444" s="20" t="str">
        <f t="shared" si="15"/>
        <v>January</v>
      </c>
      <c r="AX444" s="21">
        <f t="shared" si="16"/>
        <v>2025</v>
      </c>
    </row>
    <row r="445" spans="1:50" ht="15.75" customHeight="1">
      <c r="A445" s="10" t="s">
        <v>1460</v>
      </c>
      <c r="B445" s="11">
        <v>45386</v>
      </c>
      <c r="C445" s="11">
        <v>45389</v>
      </c>
      <c r="D445" s="10" t="s">
        <v>1461</v>
      </c>
      <c r="E445" s="10" t="s">
        <v>170</v>
      </c>
      <c r="F445" s="10" t="s">
        <v>124</v>
      </c>
      <c r="G445" s="10" t="s">
        <v>67</v>
      </c>
      <c r="H445" s="10" t="s">
        <v>68</v>
      </c>
      <c r="I445" s="10" t="s">
        <v>69</v>
      </c>
      <c r="J445" s="10" t="s">
        <v>70</v>
      </c>
      <c r="K445" s="10" t="s">
        <v>86</v>
      </c>
      <c r="L445" s="10" t="s">
        <v>1462</v>
      </c>
      <c r="M445" s="10" t="s">
        <v>79</v>
      </c>
      <c r="N445" s="12">
        <v>1</v>
      </c>
      <c r="O445" s="12">
        <v>3683.75</v>
      </c>
      <c r="P445" s="12">
        <v>0.1</v>
      </c>
      <c r="Q445" s="12">
        <v>3315.38</v>
      </c>
      <c r="R445" s="12">
        <v>2347.6799999999998</v>
      </c>
      <c r="S445" s="12">
        <v>967.7</v>
      </c>
      <c r="T445" s="10" t="s">
        <v>61</v>
      </c>
      <c r="U445" s="13" t="s">
        <v>62</v>
      </c>
      <c r="V445" s="14" t="e">
        <f t="shared" ca="1" si="0"/>
        <v>#NAME?</v>
      </c>
      <c r="W445" s="10" t="str">
        <f ca="1">IFERROR(__xludf.DUMMYFUNCTION("IF(COUNTIF($A:$A,A439)=1,
""Unique"",
IF(COUNTUNIQUE(FILTER($V$2:$V$934,$A$2:$A$934=A439))&gt;1,
""Conflicting Duplicate"",
""Exact Duplicate""))"),"Unique")</f>
        <v>Unique</v>
      </c>
      <c r="X445" s="10" t="b">
        <f t="shared" ca="1" si="1"/>
        <v>1</v>
      </c>
      <c r="Y445" s="10" t="str">
        <f t="shared" si="2"/>
        <v>Unique</v>
      </c>
      <c r="Z445" s="10"/>
      <c r="AA445" s="10" t="str">
        <f t="shared" si="3"/>
        <v>Clean</v>
      </c>
      <c r="AB445" s="15" t="str">
        <f t="shared" si="4"/>
        <v>Valid</v>
      </c>
      <c r="AC445" s="15">
        <v>3</v>
      </c>
      <c r="AD445" s="16" t="str">
        <f t="shared" si="5"/>
        <v>Valid</v>
      </c>
      <c r="AE445" s="16" t="str">
        <f t="shared" si="6"/>
        <v>Valid</v>
      </c>
      <c r="AF445" s="16" t="str">
        <f t="shared" ref="AF445:AG445" si="901">IF(ISNUMBER(B445),"Valid","Invalid")</f>
        <v>Valid</v>
      </c>
      <c r="AG445" s="16" t="str">
        <f t="shared" si="901"/>
        <v>Valid</v>
      </c>
      <c r="AH445" s="16" t="str">
        <f t="shared" ref="AH445:AI445" si="902">IF(OR(B445="",ISBLANK(B445)),"Missing","Valid")</f>
        <v>Valid</v>
      </c>
      <c r="AI445" s="16" t="str">
        <f t="shared" si="902"/>
        <v>Valid</v>
      </c>
      <c r="AJ445" s="16" t="b">
        <v>0</v>
      </c>
      <c r="AK445" s="16" t="b">
        <v>0</v>
      </c>
      <c r="AL445" s="16" t="b">
        <v>0</v>
      </c>
      <c r="AM445" s="16" t="b">
        <v>0</v>
      </c>
      <c r="AN445" s="16" t="b">
        <v>0</v>
      </c>
      <c r="AO445" s="16" t="b">
        <v>0</v>
      </c>
      <c r="AP445" s="16" t="b">
        <v>0</v>
      </c>
      <c r="AQ445" s="17">
        <f t="shared" si="9"/>
        <v>0.1</v>
      </c>
      <c r="AR445" s="12">
        <f t="shared" si="10"/>
        <v>3315.375</v>
      </c>
      <c r="AS445" s="18">
        <f t="shared" si="11"/>
        <v>5.0000000001091394E-3</v>
      </c>
      <c r="AT445" s="12">
        <f t="shared" si="12"/>
        <v>967.69500000000016</v>
      </c>
      <c r="AU445" s="18">
        <f t="shared" si="13"/>
        <v>4.9999999998817657E-3</v>
      </c>
      <c r="AV445" s="19">
        <f t="shared" si="14"/>
        <v>0.29188100893564084</v>
      </c>
      <c r="AW445" s="20" t="str">
        <f t="shared" si="15"/>
        <v>April</v>
      </c>
      <c r="AX445" s="21">
        <f t="shared" si="16"/>
        <v>2024</v>
      </c>
    </row>
    <row r="446" spans="1:50" ht="15.75" customHeight="1">
      <c r="A446" s="10" t="s">
        <v>1463</v>
      </c>
      <c r="B446" s="11">
        <v>45881</v>
      </c>
      <c r="C446" s="11">
        <v>45885</v>
      </c>
      <c r="D446" s="10" t="s">
        <v>1464</v>
      </c>
      <c r="E446" s="10" t="s">
        <v>91</v>
      </c>
      <c r="F446" s="10" t="s">
        <v>53</v>
      </c>
      <c r="G446" s="10" t="s">
        <v>67</v>
      </c>
      <c r="H446" s="10" t="s">
        <v>195</v>
      </c>
      <c r="I446" s="10" t="s">
        <v>196</v>
      </c>
      <c r="J446" s="10" t="s">
        <v>103</v>
      </c>
      <c r="K446" s="10" t="s">
        <v>104</v>
      </c>
      <c r="L446" s="10" t="s">
        <v>1465</v>
      </c>
      <c r="M446" s="10" t="s">
        <v>73</v>
      </c>
      <c r="N446" s="12">
        <v>9</v>
      </c>
      <c r="O446" s="12">
        <v>2379.2399999999998</v>
      </c>
      <c r="P446" s="12">
        <v>0.05</v>
      </c>
      <c r="Q446" s="12">
        <v>20342.5</v>
      </c>
      <c r="R446" s="12">
        <v>12407.51</v>
      </c>
      <c r="S446" s="12">
        <v>7934.99</v>
      </c>
      <c r="T446" s="10" t="s">
        <v>61</v>
      </c>
      <c r="U446" s="13" t="s">
        <v>62</v>
      </c>
      <c r="V446" s="14" t="e">
        <f t="shared" ca="1" si="0"/>
        <v>#NAME?</v>
      </c>
      <c r="W446" s="10" t="str">
        <f ca="1">IFERROR(__xludf.DUMMYFUNCTION("IF(COUNTIF($A:$A,A440)=1,
""Unique"",
IF(COUNTUNIQUE(FILTER($V$2:$V$934,$A$2:$A$934=A440))&gt;1,
""Conflicting Duplicate"",
""Exact Duplicate""))"),"Unique")</f>
        <v>Unique</v>
      </c>
      <c r="X446" s="10" t="b">
        <f t="shared" ca="1" si="1"/>
        <v>1</v>
      </c>
      <c r="Y446" s="10" t="str">
        <f t="shared" si="2"/>
        <v>Unique</v>
      </c>
      <c r="Z446" s="10"/>
      <c r="AA446" s="10" t="str">
        <f t="shared" si="3"/>
        <v>Clean</v>
      </c>
      <c r="AB446" s="15" t="str">
        <f t="shared" si="4"/>
        <v>Valid</v>
      </c>
      <c r="AC446" s="15">
        <v>4</v>
      </c>
      <c r="AD446" s="16" t="str">
        <f t="shared" si="5"/>
        <v>Valid</v>
      </c>
      <c r="AE446" s="16" t="str">
        <f t="shared" si="6"/>
        <v>Valid</v>
      </c>
      <c r="AF446" s="16" t="str">
        <f t="shared" ref="AF446:AG446" si="903">IF(ISNUMBER(B446),"Valid","Invalid")</f>
        <v>Valid</v>
      </c>
      <c r="AG446" s="16" t="str">
        <f t="shared" si="903"/>
        <v>Valid</v>
      </c>
      <c r="AH446" s="16" t="str">
        <f t="shared" ref="AH446:AI446" si="904">IF(OR(B446="",ISBLANK(B446)),"Missing","Valid")</f>
        <v>Valid</v>
      </c>
      <c r="AI446" s="16" t="str">
        <f t="shared" si="904"/>
        <v>Valid</v>
      </c>
      <c r="AJ446" s="16" t="b">
        <v>0</v>
      </c>
      <c r="AK446" s="16" t="b">
        <v>0</v>
      </c>
      <c r="AL446" s="16" t="b">
        <v>0</v>
      </c>
      <c r="AM446" s="16" t="b">
        <v>0</v>
      </c>
      <c r="AN446" s="16" t="b">
        <v>0</v>
      </c>
      <c r="AO446" s="16" t="b">
        <v>0</v>
      </c>
      <c r="AP446" s="16" t="b">
        <v>0</v>
      </c>
      <c r="AQ446" s="17">
        <f t="shared" si="9"/>
        <v>0.05</v>
      </c>
      <c r="AR446" s="12">
        <f t="shared" si="10"/>
        <v>20342.501999999997</v>
      </c>
      <c r="AS446" s="18">
        <f t="shared" si="11"/>
        <v>-1.9999999967694748E-3</v>
      </c>
      <c r="AT446" s="12">
        <f t="shared" si="12"/>
        <v>7934.9919999999966</v>
      </c>
      <c r="AU446" s="18">
        <f t="shared" si="13"/>
        <v>-1.9999999967694748E-3</v>
      </c>
      <c r="AV446" s="19">
        <f t="shared" si="14"/>
        <v>0.39006961877157481</v>
      </c>
      <c r="AW446" s="20" t="str">
        <f t="shared" si="15"/>
        <v>August</v>
      </c>
      <c r="AX446" s="21">
        <f t="shared" si="16"/>
        <v>2025</v>
      </c>
    </row>
    <row r="447" spans="1:50" ht="15.75" customHeight="1">
      <c r="A447" s="10" t="s">
        <v>1466</v>
      </c>
      <c r="B447" s="11">
        <v>45421</v>
      </c>
      <c r="C447" s="11">
        <v>45417</v>
      </c>
      <c r="D447" s="10" t="s">
        <v>1467</v>
      </c>
      <c r="E447" s="10" t="s">
        <v>82</v>
      </c>
      <c r="F447" s="10" t="s">
        <v>53</v>
      </c>
      <c r="G447" s="10" t="s">
        <v>67</v>
      </c>
      <c r="H447" s="10" t="s">
        <v>195</v>
      </c>
      <c r="I447" s="10" t="s">
        <v>196</v>
      </c>
      <c r="J447" s="10" t="s">
        <v>70</v>
      </c>
      <c r="K447" s="10" t="s">
        <v>187</v>
      </c>
      <c r="L447" s="10" t="s">
        <v>1468</v>
      </c>
      <c r="M447" s="10" t="s">
        <v>73</v>
      </c>
      <c r="N447" s="12">
        <v>2</v>
      </c>
      <c r="O447" s="12">
        <v>2111.23</v>
      </c>
      <c r="P447" s="12">
        <v>0.2</v>
      </c>
      <c r="Q447" s="12">
        <v>3377.97</v>
      </c>
      <c r="R447" s="12">
        <v>2496.29</v>
      </c>
      <c r="S447" s="12">
        <v>881.68</v>
      </c>
      <c r="T447" s="10" t="s">
        <v>61</v>
      </c>
      <c r="U447" s="13" t="s">
        <v>62</v>
      </c>
      <c r="V447" s="14" t="e">
        <f t="shared" ca="1" si="0"/>
        <v>#NAME?</v>
      </c>
      <c r="W447" s="10" t="str">
        <f ca="1">IFERROR(__xludf.DUMMYFUNCTION("IF(COUNTIF($A:$A,A441)=1,
""Unique"",
IF(COUNTUNIQUE(FILTER($V$2:$V$934,$A$2:$A$934=A441))&gt;1,
""Conflicting Duplicate"",
""Exact Duplicate""))"),"Unique")</f>
        <v>Unique</v>
      </c>
      <c r="X447" s="10" t="b">
        <f t="shared" ca="1" si="1"/>
        <v>1</v>
      </c>
      <c r="Y447" s="10" t="str">
        <f t="shared" si="2"/>
        <v>Unique</v>
      </c>
      <c r="Z447" s="10"/>
      <c r="AA447" s="10" t="str">
        <f t="shared" si="3"/>
        <v>Invalid</v>
      </c>
      <c r="AB447" s="15" t="str">
        <f t="shared" si="4"/>
        <v>Invalid</v>
      </c>
      <c r="AC447" s="15">
        <v>-4</v>
      </c>
      <c r="AD447" s="16" t="str">
        <f t="shared" si="5"/>
        <v>Invalid Shipping Date</v>
      </c>
      <c r="AE447" s="16" t="str">
        <f t="shared" si="6"/>
        <v>Valid</v>
      </c>
      <c r="AF447" s="16" t="str">
        <f t="shared" ref="AF447:AG447" si="905">IF(ISNUMBER(B447),"Valid","Invalid")</f>
        <v>Valid</v>
      </c>
      <c r="AG447" s="16" t="str">
        <f t="shared" si="905"/>
        <v>Valid</v>
      </c>
      <c r="AH447" s="16" t="str">
        <f t="shared" ref="AH447:AI447" si="906">IF(OR(B447="",ISBLANK(B447)),"Missing","Valid")</f>
        <v>Valid</v>
      </c>
      <c r="AI447" s="16" t="str">
        <f t="shared" si="906"/>
        <v>Valid</v>
      </c>
      <c r="AJ447" s="16" t="b">
        <v>0</v>
      </c>
      <c r="AK447" s="16" t="b">
        <v>0</v>
      </c>
      <c r="AL447" s="16" t="b">
        <v>0</v>
      </c>
      <c r="AM447" s="16" t="b">
        <v>0</v>
      </c>
      <c r="AN447" s="16" t="b">
        <v>0</v>
      </c>
      <c r="AO447" s="16" t="b">
        <v>1</v>
      </c>
      <c r="AP447" s="16" t="b">
        <v>1</v>
      </c>
      <c r="AQ447" s="17">
        <f t="shared" si="9"/>
        <v>0.2</v>
      </c>
      <c r="AR447" s="12">
        <f t="shared" si="10"/>
        <v>3377.9680000000003</v>
      </c>
      <c r="AS447" s="18">
        <f t="shared" si="11"/>
        <v>1.9999999994979589E-3</v>
      </c>
      <c r="AT447" s="12">
        <f t="shared" si="12"/>
        <v>881.67800000000034</v>
      </c>
      <c r="AU447" s="18">
        <f t="shared" si="13"/>
        <v>1.9999999996116458E-3</v>
      </c>
      <c r="AV447" s="19">
        <f t="shared" si="14"/>
        <v>0.26100839321154029</v>
      </c>
      <c r="AW447" s="20" t="str">
        <f t="shared" si="15"/>
        <v>May</v>
      </c>
      <c r="AX447" s="21">
        <f t="shared" si="16"/>
        <v>2024</v>
      </c>
    </row>
    <row r="448" spans="1:50" ht="15.75" customHeight="1">
      <c r="A448" s="10" t="s">
        <v>1469</v>
      </c>
      <c r="B448" s="11">
        <v>45918</v>
      </c>
      <c r="C448" s="11">
        <v>45919</v>
      </c>
      <c r="D448" s="10" t="s">
        <v>1470</v>
      </c>
      <c r="E448" s="10" t="s">
        <v>161</v>
      </c>
      <c r="F448" s="10" t="s">
        <v>124</v>
      </c>
      <c r="G448" s="10" t="s">
        <v>83</v>
      </c>
      <c r="H448" s="10" t="s">
        <v>113</v>
      </c>
      <c r="I448" s="10" t="s">
        <v>114</v>
      </c>
      <c r="J448" s="10" t="s">
        <v>57</v>
      </c>
      <c r="K448" s="10" t="s">
        <v>153</v>
      </c>
      <c r="L448" s="10" t="s">
        <v>1471</v>
      </c>
      <c r="M448" s="10" t="s">
        <v>73</v>
      </c>
      <c r="N448" s="12">
        <v>8</v>
      </c>
      <c r="O448" s="12">
        <v>4242.51</v>
      </c>
      <c r="P448" s="12">
        <v>0</v>
      </c>
      <c r="Q448" s="12">
        <v>33940.080000000002</v>
      </c>
      <c r="R448" s="12">
        <v>23754.19</v>
      </c>
      <c r="S448" s="12">
        <v>10185.89</v>
      </c>
      <c r="T448" s="10" t="s">
        <v>61</v>
      </c>
      <c r="U448" s="13" t="s">
        <v>62</v>
      </c>
      <c r="V448" s="14" t="e">
        <f t="shared" ca="1" si="0"/>
        <v>#NAME?</v>
      </c>
      <c r="W448" s="10" t="str">
        <f ca="1">IFERROR(__xludf.DUMMYFUNCTION("IF(COUNTIF($A:$A,A442)=1,
""Unique"",
IF(COUNTUNIQUE(FILTER($V$2:$V$934,$A$2:$A$934=A442))&gt;1,
""Conflicting Duplicate"",
""Exact Duplicate""))"),"Unique")</f>
        <v>Unique</v>
      </c>
      <c r="X448" s="10" t="b">
        <f t="shared" ca="1" si="1"/>
        <v>1</v>
      </c>
      <c r="Y448" s="10" t="str">
        <f t="shared" si="2"/>
        <v>Unique</v>
      </c>
      <c r="Z448" s="10"/>
      <c r="AA448" s="10" t="str">
        <f t="shared" si="3"/>
        <v>Clean</v>
      </c>
      <c r="AB448" s="15" t="str">
        <f t="shared" si="4"/>
        <v>Valid</v>
      </c>
      <c r="AC448" s="15">
        <v>1</v>
      </c>
      <c r="AD448" s="16" t="str">
        <f t="shared" si="5"/>
        <v>Valid</v>
      </c>
      <c r="AE448" s="16" t="str">
        <f t="shared" si="6"/>
        <v>Valid</v>
      </c>
      <c r="AF448" s="16" t="str">
        <f t="shared" ref="AF448:AG448" si="907">IF(ISNUMBER(B448),"Valid","Invalid")</f>
        <v>Valid</v>
      </c>
      <c r="AG448" s="16" t="str">
        <f t="shared" si="907"/>
        <v>Valid</v>
      </c>
      <c r="AH448" s="16" t="str">
        <f t="shared" ref="AH448:AI448" si="908">IF(OR(B448="",ISBLANK(B448)),"Missing","Valid")</f>
        <v>Valid</v>
      </c>
      <c r="AI448" s="16" t="str">
        <f t="shared" si="908"/>
        <v>Valid</v>
      </c>
      <c r="AJ448" s="16" t="b">
        <v>0</v>
      </c>
      <c r="AK448" s="16" t="b">
        <v>0</v>
      </c>
      <c r="AL448" s="16" t="b">
        <v>0</v>
      </c>
      <c r="AM448" s="16" t="b">
        <v>0</v>
      </c>
      <c r="AN448" s="16" t="b">
        <v>0</v>
      </c>
      <c r="AO448" s="16" t="b">
        <v>0</v>
      </c>
      <c r="AP448" s="16" t="b">
        <v>0</v>
      </c>
      <c r="AQ448" s="17">
        <f t="shared" si="9"/>
        <v>0</v>
      </c>
      <c r="AR448" s="12">
        <f t="shared" si="10"/>
        <v>33940.080000000002</v>
      </c>
      <c r="AS448" s="18">
        <f t="shared" si="11"/>
        <v>0</v>
      </c>
      <c r="AT448" s="12">
        <f t="shared" si="12"/>
        <v>10185.890000000003</v>
      </c>
      <c r="AU448" s="18">
        <f t="shared" si="13"/>
        <v>0</v>
      </c>
      <c r="AV448" s="19">
        <f t="shared" si="14"/>
        <v>0.30011390662603044</v>
      </c>
      <c r="AW448" s="20" t="str">
        <f t="shared" si="15"/>
        <v>September</v>
      </c>
      <c r="AX448" s="21">
        <f t="shared" si="16"/>
        <v>2025</v>
      </c>
    </row>
    <row r="449" spans="1:50" ht="15.75" customHeight="1">
      <c r="A449" s="10" t="s">
        <v>1472</v>
      </c>
      <c r="B449" s="11">
        <v>45879</v>
      </c>
      <c r="C449" s="11">
        <v>45879</v>
      </c>
      <c r="D449" s="10" t="s">
        <v>1473</v>
      </c>
      <c r="E449" s="10" t="s">
        <v>170</v>
      </c>
      <c r="F449" s="10" t="s">
        <v>124</v>
      </c>
      <c r="G449" s="10" t="s">
        <v>83</v>
      </c>
      <c r="H449" s="10" t="s">
        <v>84</v>
      </c>
      <c r="I449" s="10" t="s">
        <v>85</v>
      </c>
      <c r="J449" s="10" t="s">
        <v>70</v>
      </c>
      <c r="K449" s="10" t="s">
        <v>187</v>
      </c>
      <c r="L449" s="10" t="s">
        <v>1474</v>
      </c>
      <c r="M449" s="10" t="s">
        <v>88</v>
      </c>
      <c r="N449" s="12">
        <v>6</v>
      </c>
      <c r="O449" s="12">
        <v>4288.7</v>
      </c>
      <c r="P449" s="12">
        <v>0.15</v>
      </c>
      <c r="Q449" s="12">
        <v>21872.37</v>
      </c>
      <c r="R449" s="12">
        <v>13829.5</v>
      </c>
      <c r="S449" s="12">
        <v>8042.87</v>
      </c>
      <c r="T449" s="10" t="s">
        <v>140</v>
      </c>
      <c r="U449" s="13" t="s">
        <v>132</v>
      </c>
      <c r="V449" s="14" t="e">
        <f t="shared" ca="1" si="0"/>
        <v>#NAME?</v>
      </c>
      <c r="W449" s="10" t="str">
        <f ca="1">IFERROR(__xludf.DUMMYFUNCTION("IF(COUNTIF($A:$A,A443)=1,
""Unique"",
IF(COUNTUNIQUE(FILTER($V$2:$V$934,$A$2:$A$934=A443))&gt;1,
""Conflicting Duplicate"",
""Exact Duplicate""))"),"Unique")</f>
        <v>Unique</v>
      </c>
      <c r="X449" s="10" t="b">
        <f t="shared" ca="1" si="1"/>
        <v>1</v>
      </c>
      <c r="Y449" s="10" t="str">
        <f t="shared" si="2"/>
        <v>Unique</v>
      </c>
      <c r="Z449" s="10"/>
      <c r="AA449" s="10" t="str">
        <f t="shared" si="3"/>
        <v>Clean</v>
      </c>
      <c r="AB449" s="15" t="str">
        <f t="shared" si="4"/>
        <v>Valid</v>
      </c>
      <c r="AC449" s="15">
        <v>0</v>
      </c>
      <c r="AD449" s="16" t="str">
        <f t="shared" si="5"/>
        <v>Valid</v>
      </c>
      <c r="AE449" s="16" t="str">
        <f t="shared" si="6"/>
        <v>Valid</v>
      </c>
      <c r="AF449" s="16" t="str">
        <f t="shared" ref="AF449:AG449" si="909">IF(ISNUMBER(B449),"Valid","Invalid")</f>
        <v>Valid</v>
      </c>
      <c r="AG449" s="16" t="str">
        <f t="shared" si="909"/>
        <v>Valid</v>
      </c>
      <c r="AH449" s="16" t="str">
        <f t="shared" ref="AH449:AI449" si="910">IF(OR(B449="",ISBLANK(B449)),"Missing","Valid")</f>
        <v>Valid</v>
      </c>
      <c r="AI449" s="16" t="str">
        <f t="shared" si="910"/>
        <v>Valid</v>
      </c>
      <c r="AJ449" s="16" t="b">
        <v>0</v>
      </c>
      <c r="AK449" s="16" t="b">
        <v>0</v>
      </c>
      <c r="AL449" s="16" t="b">
        <v>0</v>
      </c>
      <c r="AM449" s="16" t="b">
        <v>0</v>
      </c>
      <c r="AN449" s="16" t="b">
        <v>0</v>
      </c>
      <c r="AO449" s="16" t="b">
        <v>0</v>
      </c>
      <c r="AP449" s="16" t="b">
        <v>0</v>
      </c>
      <c r="AQ449" s="17">
        <f t="shared" si="9"/>
        <v>0.15</v>
      </c>
      <c r="AR449" s="12">
        <f t="shared" si="10"/>
        <v>21872.369999999995</v>
      </c>
      <c r="AS449" s="18">
        <f t="shared" si="11"/>
        <v>0</v>
      </c>
      <c r="AT449" s="12">
        <f t="shared" si="12"/>
        <v>8042.8699999999953</v>
      </c>
      <c r="AU449" s="18">
        <f t="shared" si="13"/>
        <v>0</v>
      </c>
      <c r="AV449" s="19">
        <f t="shared" si="14"/>
        <v>0.36771826738483288</v>
      </c>
      <c r="AW449" s="20" t="str">
        <f t="shared" si="15"/>
        <v>August</v>
      </c>
      <c r="AX449" s="21">
        <f t="shared" si="16"/>
        <v>2025</v>
      </c>
    </row>
    <row r="450" spans="1:50" ht="15.75" customHeight="1">
      <c r="A450" s="10" t="s">
        <v>1475</v>
      </c>
      <c r="B450" s="11">
        <v>45306</v>
      </c>
      <c r="C450" s="11">
        <v>45309</v>
      </c>
      <c r="D450" s="10" t="s">
        <v>1476</v>
      </c>
      <c r="E450" s="10" t="s">
        <v>65</v>
      </c>
      <c r="F450" s="10" t="s">
        <v>66</v>
      </c>
      <c r="G450" s="10" t="s">
        <v>83</v>
      </c>
      <c r="H450" s="10" t="s">
        <v>113</v>
      </c>
      <c r="I450" s="10" t="s">
        <v>114</v>
      </c>
      <c r="J450" s="10" t="s">
        <v>70</v>
      </c>
      <c r="K450" s="10" t="s">
        <v>95</v>
      </c>
      <c r="L450" s="10" t="s">
        <v>1477</v>
      </c>
      <c r="M450" s="10" t="s">
        <v>79</v>
      </c>
      <c r="N450" s="12">
        <v>2</v>
      </c>
      <c r="O450" s="12">
        <v>201.21</v>
      </c>
      <c r="P450" s="12">
        <v>0.15</v>
      </c>
      <c r="Q450" s="12">
        <v>342.06</v>
      </c>
      <c r="R450" s="12">
        <v>244.57</v>
      </c>
      <c r="S450" s="12">
        <v>97.49</v>
      </c>
      <c r="T450" s="10" t="s">
        <v>61</v>
      </c>
      <c r="U450" s="13" t="s">
        <v>62</v>
      </c>
      <c r="V450" s="14" t="e">
        <f t="shared" ca="1" si="0"/>
        <v>#NAME?</v>
      </c>
      <c r="W450" s="10" t="str">
        <f ca="1">IFERROR(__xludf.DUMMYFUNCTION("IF(COUNTIF($A:$A,A444)=1,
""Unique"",
IF(COUNTUNIQUE(FILTER($V$2:$V$934,$A$2:$A$934=A444))&gt;1,
""Conflicting Duplicate"",
""Exact Duplicate""))"),"Unique")</f>
        <v>Unique</v>
      </c>
      <c r="X450" s="10" t="b">
        <f t="shared" ca="1" si="1"/>
        <v>1</v>
      </c>
      <c r="Y450" s="10" t="str">
        <f t="shared" si="2"/>
        <v>Unique</v>
      </c>
      <c r="Z450" s="10"/>
      <c r="AA450" s="10" t="str">
        <f t="shared" si="3"/>
        <v>Clean</v>
      </c>
      <c r="AB450" s="15" t="str">
        <f t="shared" si="4"/>
        <v>Valid</v>
      </c>
      <c r="AC450" s="15">
        <v>3</v>
      </c>
      <c r="AD450" s="16" t="str">
        <f t="shared" si="5"/>
        <v>Valid</v>
      </c>
      <c r="AE450" s="16" t="str">
        <f t="shared" si="6"/>
        <v>Valid</v>
      </c>
      <c r="AF450" s="16" t="str">
        <f t="shared" ref="AF450:AG450" si="911">IF(ISNUMBER(B450),"Valid","Invalid")</f>
        <v>Valid</v>
      </c>
      <c r="AG450" s="16" t="str">
        <f t="shared" si="911"/>
        <v>Valid</v>
      </c>
      <c r="AH450" s="16" t="str">
        <f t="shared" ref="AH450:AI450" si="912">IF(OR(B450="",ISBLANK(B450)),"Missing","Valid")</f>
        <v>Valid</v>
      </c>
      <c r="AI450" s="16" t="str">
        <f t="shared" si="912"/>
        <v>Valid</v>
      </c>
      <c r="AJ450" s="16" t="b">
        <v>0</v>
      </c>
      <c r="AK450" s="16" t="b">
        <v>0</v>
      </c>
      <c r="AL450" s="16" t="b">
        <v>0</v>
      </c>
      <c r="AM450" s="16" t="b">
        <v>0</v>
      </c>
      <c r="AN450" s="16" t="b">
        <v>0</v>
      </c>
      <c r="AO450" s="16" t="b">
        <v>0</v>
      </c>
      <c r="AP450" s="16" t="b">
        <v>0</v>
      </c>
      <c r="AQ450" s="17">
        <f t="shared" si="9"/>
        <v>0.15</v>
      </c>
      <c r="AR450" s="12">
        <f t="shared" si="10"/>
        <v>342.05700000000002</v>
      </c>
      <c r="AS450" s="18">
        <f t="shared" si="11"/>
        <v>2.9999999999859028E-3</v>
      </c>
      <c r="AT450" s="12">
        <f t="shared" si="12"/>
        <v>97.487000000000023</v>
      </c>
      <c r="AU450" s="18">
        <f t="shared" si="13"/>
        <v>2.999999999971692E-3</v>
      </c>
      <c r="AV450" s="19">
        <f t="shared" si="14"/>
        <v>0.28500220723446684</v>
      </c>
      <c r="AW450" s="20" t="str">
        <f t="shared" si="15"/>
        <v>January</v>
      </c>
      <c r="AX450" s="21">
        <f t="shared" si="16"/>
        <v>2024</v>
      </c>
    </row>
    <row r="451" spans="1:50" ht="15.75" customHeight="1">
      <c r="A451" s="10" t="s">
        <v>1478</v>
      </c>
      <c r="B451" s="11">
        <v>45449</v>
      </c>
      <c r="C451" s="11">
        <v>45456</v>
      </c>
      <c r="D451" s="10" t="s">
        <v>1372</v>
      </c>
      <c r="E451" s="10" t="s">
        <v>118</v>
      </c>
      <c r="F451" s="10" t="s">
        <v>119</v>
      </c>
      <c r="G451" s="10" t="s">
        <v>67</v>
      </c>
      <c r="H451" s="10" t="s">
        <v>195</v>
      </c>
      <c r="I451" s="10" t="s">
        <v>196</v>
      </c>
      <c r="J451" s="10" t="s">
        <v>103</v>
      </c>
      <c r="K451" s="10" t="s">
        <v>304</v>
      </c>
      <c r="L451" s="10" t="s">
        <v>1479</v>
      </c>
      <c r="M451" s="10" t="s">
        <v>60</v>
      </c>
      <c r="N451" s="12">
        <v>6</v>
      </c>
      <c r="O451" s="12">
        <v>3270.36</v>
      </c>
      <c r="P451" s="12">
        <v>0</v>
      </c>
      <c r="Q451" s="12">
        <v>19622.16</v>
      </c>
      <c r="R451" s="12">
        <v>14271.27</v>
      </c>
      <c r="S451" s="12">
        <v>5350.89</v>
      </c>
      <c r="T451" s="10" t="s">
        <v>61</v>
      </c>
      <c r="U451" s="13" t="s">
        <v>62</v>
      </c>
      <c r="V451" s="14" t="e">
        <f t="shared" ca="1" si="0"/>
        <v>#NAME?</v>
      </c>
      <c r="W451" s="10" t="str">
        <f ca="1">IFERROR(__xludf.DUMMYFUNCTION("IF(COUNTIF($A:$A,A445)=1,
""Unique"",
IF(COUNTUNIQUE(FILTER($V$2:$V$934,$A$2:$A$934=A445))&gt;1,
""Conflicting Duplicate"",
""Exact Duplicate""))"),"Unique")</f>
        <v>Unique</v>
      </c>
      <c r="X451" s="10" t="b">
        <f t="shared" ca="1" si="1"/>
        <v>1</v>
      </c>
      <c r="Y451" s="10" t="str">
        <f t="shared" si="2"/>
        <v>Unique</v>
      </c>
      <c r="Z451" s="10"/>
      <c r="AA451" s="10" t="str">
        <f t="shared" si="3"/>
        <v>Clean</v>
      </c>
      <c r="AB451" s="15" t="str">
        <f t="shared" si="4"/>
        <v>Valid</v>
      </c>
      <c r="AC451" s="15">
        <v>7</v>
      </c>
      <c r="AD451" s="16" t="str">
        <f t="shared" si="5"/>
        <v>Valid</v>
      </c>
      <c r="AE451" s="16" t="str">
        <f t="shared" si="6"/>
        <v>Valid</v>
      </c>
      <c r="AF451" s="16" t="str">
        <f t="shared" ref="AF451:AG451" si="913">IF(ISNUMBER(B451),"Valid","Invalid")</f>
        <v>Valid</v>
      </c>
      <c r="AG451" s="16" t="str">
        <f t="shared" si="913"/>
        <v>Valid</v>
      </c>
      <c r="AH451" s="16" t="str">
        <f t="shared" ref="AH451:AI451" si="914">IF(OR(B451="",ISBLANK(B451)),"Missing","Valid")</f>
        <v>Valid</v>
      </c>
      <c r="AI451" s="16" t="str">
        <f t="shared" si="914"/>
        <v>Valid</v>
      </c>
      <c r="AJ451" s="16" t="b">
        <v>0</v>
      </c>
      <c r="AK451" s="16" t="b">
        <v>0</v>
      </c>
      <c r="AL451" s="16" t="b">
        <v>0</v>
      </c>
      <c r="AM451" s="16" t="b">
        <v>0</v>
      </c>
      <c r="AN451" s="16" t="b">
        <v>0</v>
      </c>
      <c r="AO451" s="16" t="b">
        <v>0</v>
      </c>
      <c r="AP451" s="16" t="b">
        <v>0</v>
      </c>
      <c r="AQ451" s="17">
        <f t="shared" si="9"/>
        <v>0</v>
      </c>
      <c r="AR451" s="12">
        <f t="shared" si="10"/>
        <v>19622.16</v>
      </c>
      <c r="AS451" s="18">
        <f t="shared" si="11"/>
        <v>0</v>
      </c>
      <c r="AT451" s="12">
        <f t="shared" si="12"/>
        <v>5350.8899999999994</v>
      </c>
      <c r="AU451" s="18">
        <f t="shared" si="13"/>
        <v>0</v>
      </c>
      <c r="AV451" s="19">
        <f t="shared" si="14"/>
        <v>0.27269627808559299</v>
      </c>
      <c r="AW451" s="20" t="str">
        <f t="shared" si="15"/>
        <v>June</v>
      </c>
      <c r="AX451" s="21">
        <f t="shared" si="16"/>
        <v>2024</v>
      </c>
    </row>
    <row r="452" spans="1:50" ht="15.75" customHeight="1">
      <c r="A452" s="10" t="s">
        <v>1480</v>
      </c>
      <c r="B452" s="11">
        <v>45820</v>
      </c>
      <c r="C452" s="11">
        <v>45827</v>
      </c>
      <c r="D452" s="10" t="s">
        <v>1481</v>
      </c>
      <c r="E452" s="10" t="s">
        <v>91</v>
      </c>
      <c r="F452" s="10" t="s">
        <v>119</v>
      </c>
      <c r="G452" s="10" t="s">
        <v>54</v>
      </c>
      <c r="H452" s="10" t="s">
        <v>380</v>
      </c>
      <c r="I452" s="10" t="s">
        <v>381</v>
      </c>
      <c r="J452" s="10" t="s">
        <v>70</v>
      </c>
      <c r="K452" s="10" t="s">
        <v>95</v>
      </c>
      <c r="L452" s="10" t="s">
        <v>1482</v>
      </c>
      <c r="M452" s="10" t="s">
        <v>88</v>
      </c>
      <c r="N452" s="12">
        <v>9</v>
      </c>
      <c r="O452" s="12">
        <v>2278.5700000000002</v>
      </c>
      <c r="P452" s="12">
        <v>0.25</v>
      </c>
      <c r="Q452" s="12">
        <v>15380.35</v>
      </c>
      <c r="R452" s="12">
        <v>9907.3700000000008</v>
      </c>
      <c r="S452" s="12">
        <v>5472.98</v>
      </c>
      <c r="T452" s="10" t="s">
        <v>61</v>
      </c>
      <c r="U452" s="13" t="s">
        <v>62</v>
      </c>
      <c r="V452" s="14" t="e">
        <f t="shared" ca="1" si="0"/>
        <v>#NAME?</v>
      </c>
      <c r="W452" s="10" t="str">
        <f ca="1">IFERROR(__xludf.DUMMYFUNCTION("IF(COUNTIF($A:$A,A446)=1,
""Unique"",
IF(COUNTUNIQUE(FILTER($V$2:$V$934,$A$2:$A$934=A446))&gt;1,
""Conflicting Duplicate"",
""Exact Duplicate""))"),"Unique")</f>
        <v>Unique</v>
      </c>
      <c r="X452" s="10" t="b">
        <f t="shared" ca="1" si="1"/>
        <v>1</v>
      </c>
      <c r="Y452" s="10" t="str">
        <f t="shared" si="2"/>
        <v>Unique</v>
      </c>
      <c r="Z452" s="10"/>
      <c r="AA452" s="10" t="str">
        <f t="shared" si="3"/>
        <v>Clean</v>
      </c>
      <c r="AB452" s="15" t="str">
        <f t="shared" si="4"/>
        <v>Valid</v>
      </c>
      <c r="AC452" s="15">
        <v>7</v>
      </c>
      <c r="AD452" s="16" t="str">
        <f t="shared" si="5"/>
        <v>Valid</v>
      </c>
      <c r="AE452" s="16" t="str">
        <f t="shared" si="6"/>
        <v>Valid</v>
      </c>
      <c r="AF452" s="16" t="str">
        <f t="shared" ref="AF452:AG452" si="915">IF(ISNUMBER(B452),"Valid","Invalid")</f>
        <v>Valid</v>
      </c>
      <c r="AG452" s="16" t="str">
        <f t="shared" si="915"/>
        <v>Valid</v>
      </c>
      <c r="AH452" s="16" t="str">
        <f t="shared" ref="AH452:AI452" si="916">IF(OR(B452="",ISBLANK(B452)),"Missing","Valid")</f>
        <v>Valid</v>
      </c>
      <c r="AI452" s="16" t="str">
        <f t="shared" si="916"/>
        <v>Valid</v>
      </c>
      <c r="AJ452" s="16" t="b">
        <v>0</v>
      </c>
      <c r="AK452" s="16" t="b">
        <v>0</v>
      </c>
      <c r="AL452" s="16" t="b">
        <v>0</v>
      </c>
      <c r="AM452" s="16" t="b">
        <v>0</v>
      </c>
      <c r="AN452" s="16" t="b">
        <v>0</v>
      </c>
      <c r="AO452" s="16" t="b">
        <v>0</v>
      </c>
      <c r="AP452" s="16" t="b">
        <v>0</v>
      </c>
      <c r="AQ452" s="17">
        <f t="shared" si="9"/>
        <v>0.25</v>
      </c>
      <c r="AR452" s="12">
        <f t="shared" si="10"/>
        <v>15380.3475</v>
      </c>
      <c r="AS452" s="18">
        <f t="shared" si="11"/>
        <v>2.500000000509317E-3</v>
      </c>
      <c r="AT452" s="12">
        <f t="shared" si="12"/>
        <v>5472.9774999999991</v>
      </c>
      <c r="AU452" s="18">
        <f t="shared" si="13"/>
        <v>2.500000000509317E-3</v>
      </c>
      <c r="AV452" s="19">
        <f t="shared" si="14"/>
        <v>0.35584225258889624</v>
      </c>
      <c r="AW452" s="20" t="str">
        <f t="shared" si="15"/>
        <v>June</v>
      </c>
      <c r="AX452" s="21">
        <f t="shared" si="16"/>
        <v>2025</v>
      </c>
    </row>
    <row r="453" spans="1:50" ht="15.75" customHeight="1">
      <c r="A453" s="10" t="s">
        <v>1483</v>
      </c>
      <c r="B453" s="11">
        <v>45375</v>
      </c>
      <c r="C453" s="11">
        <v>45377</v>
      </c>
      <c r="D453" s="10" t="s">
        <v>1484</v>
      </c>
      <c r="E453" s="10" t="s">
        <v>170</v>
      </c>
      <c r="F453" s="10" t="s">
        <v>66</v>
      </c>
      <c r="G453" s="10" t="s">
        <v>54</v>
      </c>
      <c r="H453" s="10" t="s">
        <v>266</v>
      </c>
      <c r="I453" s="10" t="s">
        <v>267</v>
      </c>
      <c r="J453" s="10" t="s">
        <v>57</v>
      </c>
      <c r="K453" s="10" t="s">
        <v>58</v>
      </c>
      <c r="L453" s="10" t="s">
        <v>1485</v>
      </c>
      <c r="M453" s="10" t="s">
        <v>60</v>
      </c>
      <c r="N453" s="12">
        <v>8</v>
      </c>
      <c r="O453" s="12">
        <v>1917.64</v>
      </c>
      <c r="P453" s="12">
        <v>0.15</v>
      </c>
      <c r="Q453" s="12">
        <v>13039.95</v>
      </c>
      <c r="R453" s="12">
        <v>11127.82</v>
      </c>
      <c r="S453" s="12">
        <v>1912.13</v>
      </c>
      <c r="T453" s="10" t="s">
        <v>61</v>
      </c>
      <c r="U453" s="13" t="s">
        <v>97</v>
      </c>
      <c r="V453" s="14" t="e">
        <f t="shared" ca="1" si="0"/>
        <v>#NAME?</v>
      </c>
      <c r="W453" s="10" t="str">
        <f ca="1">IFERROR(__xludf.DUMMYFUNCTION("IF(COUNTIF($A:$A,A447)=1,
""Unique"",
IF(COUNTUNIQUE(FILTER($V$2:$V$934,$A$2:$A$934=A447))&gt;1,
""Conflicting Duplicate"",
""Exact Duplicate""))"),"Unique")</f>
        <v>Unique</v>
      </c>
      <c r="X453" s="10" t="b">
        <f t="shared" ca="1" si="1"/>
        <v>1</v>
      </c>
      <c r="Y453" s="10" t="str">
        <f t="shared" si="2"/>
        <v>Unique</v>
      </c>
      <c r="Z453" s="10"/>
      <c r="AA453" s="10" t="str">
        <f t="shared" si="3"/>
        <v>Clean</v>
      </c>
      <c r="AB453" s="15" t="str">
        <f t="shared" si="4"/>
        <v>Valid</v>
      </c>
      <c r="AC453" s="15">
        <v>2</v>
      </c>
      <c r="AD453" s="16" t="str">
        <f t="shared" si="5"/>
        <v>Valid</v>
      </c>
      <c r="AE453" s="16" t="str">
        <f t="shared" si="6"/>
        <v>Valid</v>
      </c>
      <c r="AF453" s="16" t="str">
        <f t="shared" ref="AF453:AG453" si="917">IF(ISNUMBER(B453),"Valid","Invalid")</f>
        <v>Valid</v>
      </c>
      <c r="AG453" s="16" t="str">
        <f t="shared" si="917"/>
        <v>Valid</v>
      </c>
      <c r="AH453" s="16" t="str">
        <f t="shared" ref="AH453:AI453" si="918">IF(OR(B453="",ISBLANK(B453)),"Missing","Valid")</f>
        <v>Valid</v>
      </c>
      <c r="AI453" s="16" t="str">
        <f t="shared" si="918"/>
        <v>Valid</v>
      </c>
      <c r="AJ453" s="16" t="b">
        <v>0</v>
      </c>
      <c r="AK453" s="16" t="b">
        <v>0</v>
      </c>
      <c r="AL453" s="16" t="b">
        <v>0</v>
      </c>
      <c r="AM453" s="16" t="b">
        <v>0</v>
      </c>
      <c r="AN453" s="16" t="b">
        <v>0</v>
      </c>
      <c r="AO453" s="16" t="b">
        <v>0</v>
      </c>
      <c r="AP453" s="16" t="b">
        <v>0</v>
      </c>
      <c r="AQ453" s="17">
        <f t="shared" si="9"/>
        <v>0.15</v>
      </c>
      <c r="AR453" s="12">
        <f t="shared" si="10"/>
        <v>13039.952000000001</v>
      </c>
      <c r="AS453" s="18">
        <f t="shared" si="11"/>
        <v>-2.0000000004074536E-3</v>
      </c>
      <c r="AT453" s="12">
        <f t="shared" si="12"/>
        <v>1912.1320000000014</v>
      </c>
      <c r="AU453" s="18">
        <f t="shared" si="13"/>
        <v>-2.0000000013169483E-3</v>
      </c>
      <c r="AV453" s="19">
        <f t="shared" si="14"/>
        <v>0.1466364293365498</v>
      </c>
      <c r="AW453" s="20" t="str">
        <f t="shared" si="15"/>
        <v>March</v>
      </c>
      <c r="AX453" s="21">
        <f t="shared" si="16"/>
        <v>2024</v>
      </c>
    </row>
    <row r="454" spans="1:50" ht="15.75" customHeight="1">
      <c r="A454" s="10" t="s">
        <v>1486</v>
      </c>
      <c r="B454" s="11">
        <v>45422</v>
      </c>
      <c r="C454" s="11">
        <v>45428</v>
      </c>
      <c r="D454" s="10" t="s">
        <v>1487</v>
      </c>
      <c r="E454" s="10" t="s">
        <v>191</v>
      </c>
      <c r="F454" s="10" t="s">
        <v>124</v>
      </c>
      <c r="G454" s="10" t="s">
        <v>67</v>
      </c>
      <c r="H454" s="10" t="s">
        <v>258</v>
      </c>
      <c r="I454" s="10" t="s">
        <v>259</v>
      </c>
      <c r="J454" s="10" t="s">
        <v>103</v>
      </c>
      <c r="K454" s="10" t="s">
        <v>104</v>
      </c>
      <c r="L454" s="10" t="s">
        <v>1488</v>
      </c>
      <c r="M454" s="10" t="s">
        <v>60</v>
      </c>
      <c r="N454" s="12">
        <v>6</v>
      </c>
      <c r="O454" s="12">
        <v>2013.33</v>
      </c>
      <c r="P454" s="12">
        <v>0.2</v>
      </c>
      <c r="Q454" s="12">
        <v>9663.98</v>
      </c>
      <c r="R454" s="12">
        <v>5628.93</v>
      </c>
      <c r="S454" s="12">
        <v>4035.05</v>
      </c>
      <c r="T454" s="10" t="s">
        <v>61</v>
      </c>
      <c r="U454" s="13" t="s">
        <v>62</v>
      </c>
      <c r="V454" s="14" t="e">
        <f t="shared" ca="1" si="0"/>
        <v>#NAME?</v>
      </c>
      <c r="W454" s="10" t="str">
        <f ca="1">IFERROR(__xludf.DUMMYFUNCTION("IF(COUNTIF($A:$A,A448)=1,
""Unique"",
IF(COUNTUNIQUE(FILTER($V$2:$V$934,$A$2:$A$934=A448))&gt;1,
""Conflicting Duplicate"",
""Exact Duplicate""))"),"Unique")</f>
        <v>Unique</v>
      </c>
      <c r="X454" s="10" t="b">
        <f t="shared" ca="1" si="1"/>
        <v>1</v>
      </c>
      <c r="Y454" s="10" t="str">
        <f t="shared" si="2"/>
        <v>Unique</v>
      </c>
      <c r="Z454" s="10"/>
      <c r="AA454" s="10" t="str">
        <f t="shared" si="3"/>
        <v>Clean</v>
      </c>
      <c r="AB454" s="15" t="str">
        <f t="shared" si="4"/>
        <v>Valid</v>
      </c>
      <c r="AC454" s="15">
        <v>6</v>
      </c>
      <c r="AD454" s="16" t="str">
        <f t="shared" si="5"/>
        <v>Valid</v>
      </c>
      <c r="AE454" s="16" t="str">
        <f t="shared" si="6"/>
        <v>Valid</v>
      </c>
      <c r="AF454" s="16" t="str">
        <f t="shared" ref="AF454:AG454" si="919">IF(ISNUMBER(B454),"Valid","Invalid")</f>
        <v>Valid</v>
      </c>
      <c r="AG454" s="16" t="str">
        <f t="shared" si="919"/>
        <v>Valid</v>
      </c>
      <c r="AH454" s="16" t="str">
        <f t="shared" ref="AH454:AI454" si="920">IF(OR(B454="",ISBLANK(B454)),"Missing","Valid")</f>
        <v>Valid</v>
      </c>
      <c r="AI454" s="16" t="str">
        <f t="shared" si="920"/>
        <v>Valid</v>
      </c>
      <c r="AJ454" s="16" t="b">
        <v>0</v>
      </c>
      <c r="AK454" s="16" t="b">
        <v>0</v>
      </c>
      <c r="AL454" s="16" t="b">
        <v>0</v>
      </c>
      <c r="AM454" s="16" t="b">
        <v>0</v>
      </c>
      <c r="AN454" s="16" t="b">
        <v>0</v>
      </c>
      <c r="AO454" s="16" t="b">
        <v>0</v>
      </c>
      <c r="AP454" s="16" t="b">
        <v>0</v>
      </c>
      <c r="AQ454" s="17">
        <f t="shared" si="9"/>
        <v>0.2</v>
      </c>
      <c r="AR454" s="12">
        <f t="shared" si="10"/>
        <v>9663.9840000000004</v>
      </c>
      <c r="AS454" s="18">
        <f t="shared" si="11"/>
        <v>-4.0000000008149073E-3</v>
      </c>
      <c r="AT454" s="12">
        <f t="shared" si="12"/>
        <v>4035.0540000000001</v>
      </c>
      <c r="AU454" s="18">
        <f t="shared" si="13"/>
        <v>-3.9999999999054126E-3</v>
      </c>
      <c r="AV454" s="19">
        <f t="shared" si="14"/>
        <v>0.41753525254180884</v>
      </c>
      <c r="AW454" s="20" t="str">
        <f t="shared" si="15"/>
        <v>May</v>
      </c>
      <c r="AX454" s="21">
        <f t="shared" si="16"/>
        <v>2024</v>
      </c>
    </row>
    <row r="455" spans="1:50" ht="15.75" customHeight="1">
      <c r="A455" s="10" t="s">
        <v>1489</v>
      </c>
      <c r="B455" s="11">
        <v>45780</v>
      </c>
      <c r="C455" s="11">
        <v>45788</v>
      </c>
      <c r="D455" s="10" t="s">
        <v>1490</v>
      </c>
      <c r="E455" s="10" t="s">
        <v>170</v>
      </c>
      <c r="F455" s="10" t="s">
        <v>66</v>
      </c>
      <c r="G455" s="10" t="s">
        <v>92</v>
      </c>
      <c r="H455" s="10" t="s">
        <v>101</v>
      </c>
      <c r="I455" s="10" t="s">
        <v>102</v>
      </c>
      <c r="J455" s="10" t="s">
        <v>57</v>
      </c>
      <c r="K455" s="10" t="s">
        <v>120</v>
      </c>
      <c r="L455" s="10" t="s">
        <v>1491</v>
      </c>
      <c r="M455" s="10" t="s">
        <v>73</v>
      </c>
      <c r="N455" s="12">
        <v>5</v>
      </c>
      <c r="O455" s="12">
        <v>1483.52</v>
      </c>
      <c r="P455" s="12">
        <v>0</v>
      </c>
      <c r="Q455" s="12">
        <v>7417.6</v>
      </c>
      <c r="R455" s="12">
        <v>4955.8599999999997</v>
      </c>
      <c r="S455" s="12">
        <v>2461.7399999999998</v>
      </c>
      <c r="T455" s="10" t="s">
        <v>61</v>
      </c>
      <c r="U455" s="13" t="s">
        <v>62</v>
      </c>
      <c r="V455" s="14" t="e">
        <f t="shared" ca="1" si="0"/>
        <v>#NAME?</v>
      </c>
      <c r="W455" s="10" t="str">
        <f ca="1">IFERROR(__xludf.DUMMYFUNCTION("IF(COUNTIF($A:$A,A449)=1,
""Unique"",
IF(COUNTUNIQUE(FILTER($V$2:$V$934,$A$2:$A$934=A449))&gt;1,
""Conflicting Duplicate"",
""Exact Duplicate""))"),"Unique")</f>
        <v>Unique</v>
      </c>
      <c r="X455" s="10" t="b">
        <f t="shared" ca="1" si="1"/>
        <v>1</v>
      </c>
      <c r="Y455" s="10" t="str">
        <f t="shared" si="2"/>
        <v>Unique</v>
      </c>
      <c r="Z455" s="10"/>
      <c r="AA455" s="10" t="str">
        <f t="shared" si="3"/>
        <v>Clean</v>
      </c>
      <c r="AB455" s="15" t="str">
        <f t="shared" si="4"/>
        <v>Valid</v>
      </c>
      <c r="AC455" s="15">
        <v>8</v>
      </c>
      <c r="AD455" s="16" t="str">
        <f t="shared" si="5"/>
        <v>Valid</v>
      </c>
      <c r="AE455" s="16" t="str">
        <f t="shared" si="6"/>
        <v>Valid</v>
      </c>
      <c r="AF455" s="16" t="str">
        <f t="shared" ref="AF455:AG455" si="921">IF(ISNUMBER(B455),"Valid","Invalid")</f>
        <v>Valid</v>
      </c>
      <c r="AG455" s="16" t="str">
        <f t="shared" si="921"/>
        <v>Valid</v>
      </c>
      <c r="AH455" s="16" t="str">
        <f t="shared" ref="AH455:AI455" si="922">IF(OR(B455="",ISBLANK(B455)),"Missing","Valid")</f>
        <v>Valid</v>
      </c>
      <c r="AI455" s="16" t="str">
        <f t="shared" si="922"/>
        <v>Valid</v>
      </c>
      <c r="AJ455" s="16" t="b">
        <v>0</v>
      </c>
      <c r="AK455" s="16" t="b">
        <v>0</v>
      </c>
      <c r="AL455" s="16" t="b">
        <v>0</v>
      </c>
      <c r="AM455" s="16" t="b">
        <v>0</v>
      </c>
      <c r="AN455" s="16" t="b">
        <v>0</v>
      </c>
      <c r="AO455" s="16" t="b">
        <v>0</v>
      </c>
      <c r="AP455" s="16" t="b">
        <v>0</v>
      </c>
      <c r="AQ455" s="17">
        <f t="shared" si="9"/>
        <v>0</v>
      </c>
      <c r="AR455" s="12">
        <f t="shared" si="10"/>
        <v>7417.6</v>
      </c>
      <c r="AS455" s="18">
        <f t="shared" si="11"/>
        <v>0</v>
      </c>
      <c r="AT455" s="12">
        <f t="shared" si="12"/>
        <v>2461.7400000000007</v>
      </c>
      <c r="AU455" s="18">
        <f t="shared" si="13"/>
        <v>0</v>
      </c>
      <c r="AV455" s="19">
        <f t="shared" si="14"/>
        <v>0.3318782355478862</v>
      </c>
      <c r="AW455" s="20" t="str">
        <f t="shared" si="15"/>
        <v>May</v>
      </c>
      <c r="AX455" s="21">
        <f t="shared" si="16"/>
        <v>2025</v>
      </c>
    </row>
    <row r="456" spans="1:50" ht="15.75" customHeight="1">
      <c r="A456" s="10" t="s">
        <v>1492</v>
      </c>
      <c r="B456" s="11">
        <v>45739</v>
      </c>
      <c r="C456" s="11">
        <v>45744</v>
      </c>
      <c r="D456" s="10" t="s">
        <v>1493</v>
      </c>
      <c r="E456" s="10" t="s">
        <v>100</v>
      </c>
      <c r="F456" s="10" t="s">
        <v>66</v>
      </c>
      <c r="G456" s="10" t="s">
        <v>54</v>
      </c>
      <c r="H456" s="10" t="s">
        <v>55</v>
      </c>
      <c r="I456" s="10" t="s">
        <v>56</v>
      </c>
      <c r="J456" s="10" t="s">
        <v>70</v>
      </c>
      <c r="K456" s="10" t="s">
        <v>86</v>
      </c>
      <c r="L456" s="10" t="s">
        <v>1494</v>
      </c>
      <c r="M456" s="10" t="s">
        <v>88</v>
      </c>
      <c r="N456" s="12">
        <v>9</v>
      </c>
      <c r="O456" s="12">
        <v>3298</v>
      </c>
      <c r="P456" s="12">
        <v>0.15</v>
      </c>
      <c r="Q456" s="12">
        <v>25229.7</v>
      </c>
      <c r="R456" s="12">
        <v>20170.43</v>
      </c>
      <c r="S456" s="12">
        <v>5059.2700000000004</v>
      </c>
      <c r="T456" s="10" t="s">
        <v>61</v>
      </c>
      <c r="U456" s="13" t="s">
        <v>62</v>
      </c>
      <c r="V456" s="14" t="e">
        <f t="shared" ca="1" si="0"/>
        <v>#NAME?</v>
      </c>
      <c r="W456" s="10" t="str">
        <f ca="1">IFERROR(__xludf.DUMMYFUNCTION("IF(COUNTIF($A:$A,A450)=1,
""Unique"",
IF(COUNTUNIQUE(FILTER($V$2:$V$934,$A$2:$A$934=A450))&gt;1,
""Conflicting Duplicate"",
""Exact Duplicate""))"),"Unique")</f>
        <v>Unique</v>
      </c>
      <c r="X456" s="10" t="b">
        <f t="shared" ca="1" si="1"/>
        <v>1</v>
      </c>
      <c r="Y456" s="10" t="str">
        <f t="shared" si="2"/>
        <v>Unique</v>
      </c>
      <c r="Z456" s="10"/>
      <c r="AA456" s="10" t="str">
        <f t="shared" si="3"/>
        <v>Clean</v>
      </c>
      <c r="AB456" s="15" t="str">
        <f t="shared" si="4"/>
        <v>Valid</v>
      </c>
      <c r="AC456" s="15">
        <v>5</v>
      </c>
      <c r="AD456" s="16" t="str">
        <f t="shared" si="5"/>
        <v>Valid</v>
      </c>
      <c r="AE456" s="16" t="str">
        <f t="shared" si="6"/>
        <v>Valid</v>
      </c>
      <c r="AF456" s="16" t="str">
        <f t="shared" ref="AF456:AG456" si="923">IF(ISNUMBER(B456),"Valid","Invalid")</f>
        <v>Valid</v>
      </c>
      <c r="AG456" s="16" t="str">
        <f t="shared" si="923"/>
        <v>Valid</v>
      </c>
      <c r="AH456" s="16" t="str">
        <f t="shared" ref="AH456:AI456" si="924">IF(OR(B456="",ISBLANK(B456)),"Missing","Valid")</f>
        <v>Valid</v>
      </c>
      <c r="AI456" s="16" t="str">
        <f t="shared" si="924"/>
        <v>Valid</v>
      </c>
      <c r="AJ456" s="16" t="b">
        <v>0</v>
      </c>
      <c r="AK456" s="16" t="b">
        <v>0</v>
      </c>
      <c r="AL456" s="16" t="b">
        <v>0</v>
      </c>
      <c r="AM456" s="16" t="b">
        <v>0</v>
      </c>
      <c r="AN456" s="16" t="b">
        <v>0</v>
      </c>
      <c r="AO456" s="16" t="b">
        <v>0</v>
      </c>
      <c r="AP456" s="16" t="b">
        <v>0</v>
      </c>
      <c r="AQ456" s="17">
        <f t="shared" si="9"/>
        <v>0.15</v>
      </c>
      <c r="AR456" s="12">
        <f t="shared" si="10"/>
        <v>25229.7</v>
      </c>
      <c r="AS456" s="18">
        <f t="shared" si="11"/>
        <v>0</v>
      </c>
      <c r="AT456" s="12">
        <f t="shared" si="12"/>
        <v>5059.2700000000004</v>
      </c>
      <c r="AU456" s="18">
        <f t="shared" si="13"/>
        <v>0</v>
      </c>
      <c r="AV456" s="19">
        <f t="shared" si="14"/>
        <v>0.20052834556098567</v>
      </c>
      <c r="AW456" s="20" t="str">
        <f t="shared" si="15"/>
        <v>March</v>
      </c>
      <c r="AX456" s="21">
        <f t="shared" si="16"/>
        <v>2025</v>
      </c>
    </row>
    <row r="457" spans="1:50" ht="15.75" customHeight="1">
      <c r="A457" s="10" t="s">
        <v>1495</v>
      </c>
      <c r="B457" s="11">
        <v>45491</v>
      </c>
      <c r="C457" s="11">
        <v>45495</v>
      </c>
      <c r="D457" s="10" t="s">
        <v>1496</v>
      </c>
      <c r="E457" s="10" t="s">
        <v>108</v>
      </c>
      <c r="F457" s="10" t="s">
        <v>66</v>
      </c>
      <c r="G457" s="10" t="s">
        <v>83</v>
      </c>
      <c r="H457" s="10" t="s">
        <v>84</v>
      </c>
      <c r="I457" s="10" t="s">
        <v>85</v>
      </c>
      <c r="J457" s="10" t="s">
        <v>57</v>
      </c>
      <c r="K457" s="10" t="s">
        <v>77</v>
      </c>
      <c r="L457" s="10" t="s">
        <v>1497</v>
      </c>
      <c r="M457" s="10" t="s">
        <v>88</v>
      </c>
      <c r="N457" s="12">
        <v>4</v>
      </c>
      <c r="O457" s="12">
        <v>808.77</v>
      </c>
      <c r="P457" s="12">
        <v>0</v>
      </c>
      <c r="Q457" s="12">
        <v>3235.08</v>
      </c>
      <c r="R457" s="12">
        <v>1848.6</v>
      </c>
      <c r="S457" s="12">
        <v>1386.48</v>
      </c>
      <c r="T457" s="10" t="s">
        <v>61</v>
      </c>
      <c r="U457" s="13" t="s">
        <v>62</v>
      </c>
      <c r="V457" s="14" t="e">
        <f t="shared" ca="1" si="0"/>
        <v>#NAME?</v>
      </c>
      <c r="W457" s="10" t="str">
        <f ca="1">IFERROR(__xludf.DUMMYFUNCTION("IF(COUNTIF($A:$A,A451)=1,
""Unique"",
IF(COUNTUNIQUE(FILTER($V$2:$V$934,$A$2:$A$934=A451))&gt;1,
""Conflicting Duplicate"",
""Exact Duplicate""))"),"Unique")</f>
        <v>Unique</v>
      </c>
      <c r="X457" s="10" t="b">
        <f t="shared" ca="1" si="1"/>
        <v>1</v>
      </c>
      <c r="Y457" s="10" t="str">
        <f t="shared" si="2"/>
        <v>Unique</v>
      </c>
      <c r="Z457" s="10"/>
      <c r="AA457" s="10" t="str">
        <f t="shared" si="3"/>
        <v>Clean</v>
      </c>
      <c r="AB457" s="15" t="str">
        <f t="shared" si="4"/>
        <v>Valid</v>
      </c>
      <c r="AC457" s="15">
        <v>4</v>
      </c>
      <c r="AD457" s="16" t="str">
        <f t="shared" si="5"/>
        <v>Valid</v>
      </c>
      <c r="AE457" s="16" t="str">
        <f t="shared" si="6"/>
        <v>Valid</v>
      </c>
      <c r="AF457" s="16" t="str">
        <f t="shared" ref="AF457:AG457" si="925">IF(ISNUMBER(B457),"Valid","Invalid")</f>
        <v>Valid</v>
      </c>
      <c r="AG457" s="16" t="str">
        <f t="shared" si="925"/>
        <v>Valid</v>
      </c>
      <c r="AH457" s="16" t="str">
        <f t="shared" ref="AH457:AI457" si="926">IF(OR(B457="",ISBLANK(B457)),"Missing","Valid")</f>
        <v>Valid</v>
      </c>
      <c r="AI457" s="16" t="str">
        <f t="shared" si="926"/>
        <v>Valid</v>
      </c>
      <c r="AJ457" s="16" t="b">
        <v>0</v>
      </c>
      <c r="AK457" s="16" t="b">
        <v>0</v>
      </c>
      <c r="AL457" s="16" t="b">
        <v>0</v>
      </c>
      <c r="AM457" s="16" t="b">
        <v>0</v>
      </c>
      <c r="AN457" s="16" t="b">
        <v>0</v>
      </c>
      <c r="AO457" s="16" t="b">
        <v>0</v>
      </c>
      <c r="AP457" s="16" t="b">
        <v>0</v>
      </c>
      <c r="AQ457" s="17">
        <f t="shared" si="9"/>
        <v>0</v>
      </c>
      <c r="AR457" s="12">
        <f t="shared" si="10"/>
        <v>3235.08</v>
      </c>
      <c r="AS457" s="18">
        <f t="shared" si="11"/>
        <v>0</v>
      </c>
      <c r="AT457" s="12">
        <f t="shared" si="12"/>
        <v>1386.48</v>
      </c>
      <c r="AU457" s="18">
        <f t="shared" si="13"/>
        <v>0</v>
      </c>
      <c r="AV457" s="19">
        <f t="shared" si="14"/>
        <v>0.42857672762342819</v>
      </c>
      <c r="AW457" s="20" t="str">
        <f t="shared" si="15"/>
        <v>July</v>
      </c>
      <c r="AX457" s="21">
        <f t="shared" si="16"/>
        <v>2024</v>
      </c>
    </row>
    <row r="458" spans="1:50" ht="15.75" customHeight="1">
      <c r="A458" s="10" t="s">
        <v>1498</v>
      </c>
      <c r="B458" s="11">
        <v>45342</v>
      </c>
      <c r="C458" s="11">
        <v>45342</v>
      </c>
      <c r="D458" s="10" t="s">
        <v>1499</v>
      </c>
      <c r="E458" s="10" t="s">
        <v>108</v>
      </c>
      <c r="F458" s="10" t="s">
        <v>119</v>
      </c>
      <c r="G458" s="10" t="s">
        <v>54</v>
      </c>
      <c r="H458" s="10" t="s">
        <v>165</v>
      </c>
      <c r="I458" s="10" t="s">
        <v>166</v>
      </c>
      <c r="J458" s="10" t="s">
        <v>103</v>
      </c>
      <c r="K458" s="10" t="s">
        <v>104</v>
      </c>
      <c r="L458" s="10" t="s">
        <v>1500</v>
      </c>
      <c r="M458" s="10" t="s">
        <v>73</v>
      </c>
      <c r="N458" s="12">
        <v>5</v>
      </c>
      <c r="O458" s="12">
        <v>2604.91</v>
      </c>
      <c r="P458" s="12">
        <v>0.15</v>
      </c>
      <c r="Q458" s="12">
        <v>11070.87</v>
      </c>
      <c r="R458" s="12">
        <v>6623.61</v>
      </c>
      <c r="S458" s="12">
        <v>4447.26</v>
      </c>
      <c r="T458" s="10" t="s">
        <v>61</v>
      </c>
      <c r="U458" s="13" t="s">
        <v>132</v>
      </c>
      <c r="V458" s="14" t="e">
        <f t="shared" ca="1" si="0"/>
        <v>#NAME?</v>
      </c>
      <c r="W458" s="10" t="str">
        <f ca="1">IFERROR(__xludf.DUMMYFUNCTION("IF(COUNTIF($A:$A,A452)=1,
""Unique"",
IF(COUNTUNIQUE(FILTER($V$2:$V$934,$A$2:$A$934=A452))&gt;1,
""Conflicting Duplicate"",
""Exact Duplicate""))"),"Unique")</f>
        <v>Unique</v>
      </c>
      <c r="X458" s="10" t="b">
        <f t="shared" ca="1" si="1"/>
        <v>1</v>
      </c>
      <c r="Y458" s="10" t="str">
        <f t="shared" si="2"/>
        <v>Unique</v>
      </c>
      <c r="Z458" s="10"/>
      <c r="AA458" s="10" t="str">
        <f t="shared" si="3"/>
        <v>Clean</v>
      </c>
      <c r="AB458" s="15" t="str">
        <f t="shared" si="4"/>
        <v>Valid</v>
      </c>
      <c r="AC458" s="15">
        <v>0</v>
      </c>
      <c r="AD458" s="16" t="str">
        <f t="shared" si="5"/>
        <v>Valid</v>
      </c>
      <c r="AE458" s="16" t="str">
        <f t="shared" si="6"/>
        <v>Valid</v>
      </c>
      <c r="AF458" s="16" t="str">
        <f t="shared" ref="AF458:AG458" si="927">IF(ISNUMBER(B458),"Valid","Invalid")</f>
        <v>Valid</v>
      </c>
      <c r="AG458" s="16" t="str">
        <f t="shared" si="927"/>
        <v>Valid</v>
      </c>
      <c r="AH458" s="16" t="str">
        <f t="shared" ref="AH458:AI458" si="928">IF(OR(B458="",ISBLANK(B458)),"Missing","Valid")</f>
        <v>Valid</v>
      </c>
      <c r="AI458" s="16" t="str">
        <f t="shared" si="928"/>
        <v>Valid</v>
      </c>
      <c r="AJ458" s="16" t="b">
        <v>0</v>
      </c>
      <c r="AK458" s="16" t="b">
        <v>0</v>
      </c>
      <c r="AL458" s="16" t="b">
        <v>0</v>
      </c>
      <c r="AM458" s="16" t="b">
        <v>0</v>
      </c>
      <c r="AN458" s="16" t="b">
        <v>0</v>
      </c>
      <c r="AO458" s="16" t="b">
        <v>0</v>
      </c>
      <c r="AP458" s="16" t="b">
        <v>0</v>
      </c>
      <c r="AQ458" s="17">
        <f t="shared" si="9"/>
        <v>0.15</v>
      </c>
      <c r="AR458" s="12">
        <f t="shared" si="10"/>
        <v>11070.867499999998</v>
      </c>
      <c r="AS458" s="18">
        <f t="shared" si="11"/>
        <v>2.5000000023283064E-3</v>
      </c>
      <c r="AT458" s="12">
        <f t="shared" si="12"/>
        <v>4447.2574999999988</v>
      </c>
      <c r="AU458" s="18">
        <f t="shared" si="13"/>
        <v>2.5000000014188117E-3</v>
      </c>
      <c r="AV458" s="19">
        <f t="shared" si="14"/>
        <v>0.40170813172499803</v>
      </c>
      <c r="AW458" s="20" t="str">
        <f t="shared" si="15"/>
        <v>February</v>
      </c>
      <c r="AX458" s="21">
        <f t="shared" si="16"/>
        <v>2024</v>
      </c>
    </row>
    <row r="459" spans="1:50" ht="15.75" customHeight="1">
      <c r="A459" s="10" t="s">
        <v>1501</v>
      </c>
      <c r="B459" s="11">
        <v>45416</v>
      </c>
      <c r="C459" s="11">
        <v>45416</v>
      </c>
      <c r="D459" s="10" t="s">
        <v>1502</v>
      </c>
      <c r="E459" s="10" t="s">
        <v>65</v>
      </c>
      <c r="F459" s="10" t="s">
        <v>66</v>
      </c>
      <c r="G459" s="10" t="s">
        <v>92</v>
      </c>
      <c r="H459" s="10" t="s">
        <v>219</v>
      </c>
      <c r="I459" s="10" t="s">
        <v>220</v>
      </c>
      <c r="J459" s="10" t="s">
        <v>70</v>
      </c>
      <c r="K459" s="10" t="s">
        <v>71</v>
      </c>
      <c r="L459" s="10" t="s">
        <v>1503</v>
      </c>
      <c r="M459" s="10" t="s">
        <v>88</v>
      </c>
      <c r="N459" s="12">
        <v>7</v>
      </c>
      <c r="O459" s="12">
        <v>2851.51</v>
      </c>
      <c r="P459" s="12">
        <v>0</v>
      </c>
      <c r="Q459" s="12">
        <v>19960.57</v>
      </c>
      <c r="R459" s="12">
        <v>16603.599999999999</v>
      </c>
      <c r="S459" s="12">
        <v>3356.97</v>
      </c>
      <c r="T459" s="10" t="s">
        <v>61</v>
      </c>
      <c r="U459" s="13" t="s">
        <v>62</v>
      </c>
      <c r="V459" s="14" t="e">
        <f t="shared" ca="1" si="0"/>
        <v>#NAME?</v>
      </c>
      <c r="W459" s="10" t="str">
        <f ca="1">IFERROR(__xludf.DUMMYFUNCTION("IF(COUNTIF($A:$A,A453)=1,
""Unique"",
IF(COUNTUNIQUE(FILTER($V$2:$V$934,$A$2:$A$934=A453))&gt;1,
""Conflicting Duplicate"",
""Exact Duplicate""))"),"Unique")</f>
        <v>Unique</v>
      </c>
      <c r="X459" s="10" t="b">
        <f t="shared" ca="1" si="1"/>
        <v>1</v>
      </c>
      <c r="Y459" s="10" t="str">
        <f t="shared" si="2"/>
        <v>Unique</v>
      </c>
      <c r="Z459" s="10"/>
      <c r="AA459" s="10" t="str">
        <f t="shared" si="3"/>
        <v>Clean</v>
      </c>
      <c r="AB459" s="15" t="str">
        <f t="shared" si="4"/>
        <v>Valid</v>
      </c>
      <c r="AC459" s="15">
        <v>0</v>
      </c>
      <c r="AD459" s="16" t="str">
        <f t="shared" si="5"/>
        <v>Valid</v>
      </c>
      <c r="AE459" s="16" t="str">
        <f t="shared" si="6"/>
        <v>Valid</v>
      </c>
      <c r="AF459" s="16" t="str">
        <f t="shared" ref="AF459:AG459" si="929">IF(ISNUMBER(B459),"Valid","Invalid")</f>
        <v>Valid</v>
      </c>
      <c r="AG459" s="16" t="str">
        <f t="shared" si="929"/>
        <v>Valid</v>
      </c>
      <c r="AH459" s="16" t="str">
        <f t="shared" ref="AH459:AI459" si="930">IF(OR(B459="",ISBLANK(B459)),"Missing","Valid")</f>
        <v>Valid</v>
      </c>
      <c r="AI459" s="16" t="str">
        <f t="shared" si="930"/>
        <v>Valid</v>
      </c>
      <c r="AJ459" s="16" t="b">
        <v>0</v>
      </c>
      <c r="AK459" s="16" t="b">
        <v>0</v>
      </c>
      <c r="AL459" s="16" t="b">
        <v>0</v>
      </c>
      <c r="AM459" s="16" t="b">
        <v>0</v>
      </c>
      <c r="AN459" s="16" t="b">
        <v>0</v>
      </c>
      <c r="AO459" s="16" t="b">
        <v>0</v>
      </c>
      <c r="AP459" s="16" t="b">
        <v>0</v>
      </c>
      <c r="AQ459" s="17">
        <f t="shared" si="9"/>
        <v>0</v>
      </c>
      <c r="AR459" s="12">
        <f t="shared" si="10"/>
        <v>19960.57</v>
      </c>
      <c r="AS459" s="18">
        <f t="shared" si="11"/>
        <v>0</v>
      </c>
      <c r="AT459" s="12">
        <f t="shared" si="12"/>
        <v>3356.9700000000012</v>
      </c>
      <c r="AU459" s="18">
        <f t="shared" si="13"/>
        <v>0</v>
      </c>
      <c r="AV459" s="19">
        <f t="shared" si="14"/>
        <v>0.1681800670020947</v>
      </c>
      <c r="AW459" s="20" t="str">
        <f t="shared" si="15"/>
        <v>May</v>
      </c>
      <c r="AX459" s="21">
        <f t="shared" si="16"/>
        <v>2024</v>
      </c>
    </row>
    <row r="460" spans="1:50" ht="15.75" customHeight="1">
      <c r="A460" s="10" t="s">
        <v>1504</v>
      </c>
      <c r="B460" s="11">
        <v>45332</v>
      </c>
      <c r="C460" s="11">
        <v>45333</v>
      </c>
      <c r="D460" s="10" t="s">
        <v>1505</v>
      </c>
      <c r="E460" s="10" t="s">
        <v>52</v>
      </c>
      <c r="F460" s="10" t="s">
        <v>119</v>
      </c>
      <c r="G460" s="10" t="s">
        <v>54</v>
      </c>
      <c r="H460" s="10" t="s">
        <v>55</v>
      </c>
      <c r="I460" s="10" t="s">
        <v>56</v>
      </c>
      <c r="J460" s="10" t="s">
        <v>103</v>
      </c>
      <c r="K460" s="10" t="s">
        <v>200</v>
      </c>
      <c r="L460" s="10" t="s">
        <v>1506</v>
      </c>
      <c r="M460" s="10" t="s">
        <v>60</v>
      </c>
      <c r="N460" s="12">
        <v>3</v>
      </c>
      <c r="O460" s="12">
        <v>3183.72</v>
      </c>
      <c r="P460" s="12">
        <v>0.1</v>
      </c>
      <c r="Q460" s="12">
        <v>8596.0400000000009</v>
      </c>
      <c r="R460" s="12">
        <v>5378.16</v>
      </c>
      <c r="S460" s="12">
        <v>3217.88</v>
      </c>
      <c r="T460" s="10" t="s">
        <v>61</v>
      </c>
      <c r="U460" s="13" t="s">
        <v>62</v>
      </c>
      <c r="V460" s="14" t="e">
        <f t="shared" ca="1" si="0"/>
        <v>#NAME?</v>
      </c>
      <c r="W460" s="10" t="str">
        <f ca="1">IFERROR(__xludf.DUMMYFUNCTION("IF(COUNTIF($A:$A,A454)=1,
""Unique"",
IF(COUNTUNIQUE(FILTER($V$2:$V$934,$A$2:$A$934=A454))&gt;1,
""Conflicting Duplicate"",
""Exact Duplicate""))"),"Unique")</f>
        <v>Unique</v>
      </c>
      <c r="X460" s="10" t="b">
        <f t="shared" ca="1" si="1"/>
        <v>1</v>
      </c>
      <c r="Y460" s="10" t="str">
        <f t="shared" si="2"/>
        <v>Unique</v>
      </c>
      <c r="Z460" s="10"/>
      <c r="AA460" s="10" t="str">
        <f t="shared" si="3"/>
        <v>Clean</v>
      </c>
      <c r="AB460" s="15" t="str">
        <f t="shared" si="4"/>
        <v>Valid</v>
      </c>
      <c r="AC460" s="15">
        <v>1</v>
      </c>
      <c r="AD460" s="16" t="str">
        <f t="shared" si="5"/>
        <v>Valid</v>
      </c>
      <c r="AE460" s="16" t="str">
        <f t="shared" si="6"/>
        <v>Valid</v>
      </c>
      <c r="AF460" s="16" t="str">
        <f t="shared" ref="AF460:AG460" si="931">IF(ISNUMBER(B460),"Valid","Invalid")</f>
        <v>Valid</v>
      </c>
      <c r="AG460" s="16" t="str">
        <f t="shared" si="931"/>
        <v>Valid</v>
      </c>
      <c r="AH460" s="16" t="str">
        <f t="shared" ref="AH460:AI460" si="932">IF(OR(B460="",ISBLANK(B460)),"Missing","Valid")</f>
        <v>Valid</v>
      </c>
      <c r="AI460" s="16" t="str">
        <f t="shared" si="932"/>
        <v>Valid</v>
      </c>
      <c r="AJ460" s="16" t="b">
        <v>0</v>
      </c>
      <c r="AK460" s="16" t="b">
        <v>0</v>
      </c>
      <c r="AL460" s="16" t="b">
        <v>0</v>
      </c>
      <c r="AM460" s="16" t="b">
        <v>0</v>
      </c>
      <c r="AN460" s="16" t="b">
        <v>0</v>
      </c>
      <c r="AO460" s="16" t="b">
        <v>0</v>
      </c>
      <c r="AP460" s="16" t="b">
        <v>0</v>
      </c>
      <c r="AQ460" s="17">
        <f t="shared" si="9"/>
        <v>0.1</v>
      </c>
      <c r="AR460" s="12">
        <f t="shared" si="10"/>
        <v>8596.0439999999999</v>
      </c>
      <c r="AS460" s="18">
        <f t="shared" si="11"/>
        <v>-3.9999999989959178E-3</v>
      </c>
      <c r="AT460" s="12">
        <f t="shared" si="12"/>
        <v>3217.884</v>
      </c>
      <c r="AU460" s="18">
        <f t="shared" si="13"/>
        <v>-3.9999999999054126E-3</v>
      </c>
      <c r="AV460" s="19">
        <f t="shared" si="14"/>
        <v>0.37434475672762962</v>
      </c>
      <c r="AW460" s="20" t="str">
        <f t="shared" si="15"/>
        <v>February</v>
      </c>
      <c r="AX460" s="21">
        <f t="shared" si="16"/>
        <v>2024</v>
      </c>
    </row>
    <row r="461" spans="1:50" ht="15.75" customHeight="1">
      <c r="A461" s="10" t="s">
        <v>1507</v>
      </c>
      <c r="B461" s="11">
        <v>45379</v>
      </c>
      <c r="C461" s="11">
        <v>45386</v>
      </c>
      <c r="D461" s="10" t="s">
        <v>1508</v>
      </c>
      <c r="E461" s="10" t="s">
        <v>91</v>
      </c>
      <c r="F461" s="10" t="s">
        <v>124</v>
      </c>
      <c r="G461" s="10" t="s">
        <v>92</v>
      </c>
      <c r="H461" s="10" t="s">
        <v>219</v>
      </c>
      <c r="I461" s="10" t="s">
        <v>220</v>
      </c>
      <c r="J461" s="10" t="s">
        <v>57</v>
      </c>
      <c r="K461" s="10" t="s">
        <v>58</v>
      </c>
      <c r="L461" s="10" t="s">
        <v>1509</v>
      </c>
      <c r="M461" s="10" t="s">
        <v>79</v>
      </c>
      <c r="N461" s="12">
        <v>3</v>
      </c>
      <c r="O461" s="12">
        <v>1150.92</v>
      </c>
      <c r="P461" s="12">
        <v>0</v>
      </c>
      <c r="Q461" s="12">
        <v>3452.76</v>
      </c>
      <c r="R461" s="12">
        <v>2077.96</v>
      </c>
      <c r="S461" s="12">
        <v>1374.8</v>
      </c>
      <c r="T461" s="10" t="s">
        <v>61</v>
      </c>
      <c r="U461" s="13" t="s">
        <v>62</v>
      </c>
      <c r="V461" s="14" t="e">
        <f t="shared" ca="1" si="0"/>
        <v>#NAME?</v>
      </c>
      <c r="W461" s="10" t="str">
        <f ca="1">IFERROR(__xludf.DUMMYFUNCTION("IF(COUNTIF($A:$A,A455)=1,
""Unique"",
IF(COUNTUNIQUE(FILTER($V$2:$V$934,$A$2:$A$934=A455))&gt;1,
""Conflicting Duplicate"",
""Exact Duplicate""))"),"Unique")</f>
        <v>Unique</v>
      </c>
      <c r="X461" s="10" t="b">
        <f t="shared" ca="1" si="1"/>
        <v>1</v>
      </c>
      <c r="Y461" s="10" t="str">
        <f t="shared" si="2"/>
        <v>Unique</v>
      </c>
      <c r="Z461" s="10"/>
      <c r="AA461" s="10" t="str">
        <f t="shared" si="3"/>
        <v>Clean</v>
      </c>
      <c r="AB461" s="15" t="str">
        <f t="shared" si="4"/>
        <v>Valid</v>
      </c>
      <c r="AC461" s="15">
        <v>7</v>
      </c>
      <c r="AD461" s="16" t="str">
        <f t="shared" si="5"/>
        <v>Valid</v>
      </c>
      <c r="AE461" s="16" t="str">
        <f t="shared" si="6"/>
        <v>Valid</v>
      </c>
      <c r="AF461" s="16" t="str">
        <f t="shared" ref="AF461:AG461" si="933">IF(ISNUMBER(B461),"Valid","Invalid")</f>
        <v>Valid</v>
      </c>
      <c r="AG461" s="16" t="str">
        <f t="shared" si="933"/>
        <v>Valid</v>
      </c>
      <c r="AH461" s="16" t="str">
        <f t="shared" ref="AH461:AI461" si="934">IF(OR(B461="",ISBLANK(B461)),"Missing","Valid")</f>
        <v>Valid</v>
      </c>
      <c r="AI461" s="16" t="str">
        <f t="shared" si="934"/>
        <v>Valid</v>
      </c>
      <c r="AJ461" s="16" t="b">
        <v>0</v>
      </c>
      <c r="AK461" s="16" t="b">
        <v>0</v>
      </c>
      <c r="AL461" s="16" t="b">
        <v>0</v>
      </c>
      <c r="AM461" s="16" t="b">
        <v>0</v>
      </c>
      <c r="AN461" s="16" t="b">
        <v>0</v>
      </c>
      <c r="AO461" s="16" t="b">
        <v>0</v>
      </c>
      <c r="AP461" s="16" t="b">
        <v>0</v>
      </c>
      <c r="AQ461" s="17">
        <f t="shared" si="9"/>
        <v>0</v>
      </c>
      <c r="AR461" s="12">
        <f t="shared" si="10"/>
        <v>3452.76</v>
      </c>
      <c r="AS461" s="18">
        <f t="shared" si="11"/>
        <v>0</v>
      </c>
      <c r="AT461" s="12">
        <f t="shared" si="12"/>
        <v>1374.8000000000002</v>
      </c>
      <c r="AU461" s="18">
        <f t="shared" si="13"/>
        <v>0</v>
      </c>
      <c r="AV461" s="19">
        <f t="shared" si="14"/>
        <v>0.39817421425178701</v>
      </c>
      <c r="AW461" s="20" t="str">
        <f t="shared" si="15"/>
        <v>March</v>
      </c>
      <c r="AX461" s="21">
        <f t="shared" si="16"/>
        <v>2024</v>
      </c>
    </row>
    <row r="462" spans="1:50" ht="15.75" customHeight="1">
      <c r="A462" s="10" t="s">
        <v>1510</v>
      </c>
      <c r="B462" s="11">
        <v>45930</v>
      </c>
      <c r="C462" s="11">
        <v>45936</v>
      </c>
      <c r="D462" s="10" t="s">
        <v>1511</v>
      </c>
      <c r="E462" s="10" t="s">
        <v>157</v>
      </c>
      <c r="F462" s="10" t="s">
        <v>119</v>
      </c>
      <c r="G462" s="10" t="s">
        <v>234</v>
      </c>
      <c r="H462" s="10" t="s">
        <v>55</v>
      </c>
      <c r="I462" s="10" t="s">
        <v>56</v>
      </c>
      <c r="J462" s="10" t="s">
        <v>103</v>
      </c>
      <c r="K462" s="10" t="s">
        <v>109</v>
      </c>
      <c r="L462" s="10" t="s">
        <v>1512</v>
      </c>
      <c r="M462" s="10" t="s">
        <v>60</v>
      </c>
      <c r="N462" s="12">
        <v>9</v>
      </c>
      <c r="O462" s="12">
        <v>1359.88</v>
      </c>
      <c r="P462" s="12">
        <v>0.05</v>
      </c>
      <c r="Q462" s="12">
        <v>11626.97</v>
      </c>
      <c r="R462" s="12">
        <v>7394.07</v>
      </c>
      <c r="S462" s="12">
        <v>4232.8999999999996</v>
      </c>
      <c r="T462" s="10" t="s">
        <v>61</v>
      </c>
      <c r="U462" s="13" t="s">
        <v>62</v>
      </c>
      <c r="V462" s="14" t="e">
        <f t="shared" ca="1" si="0"/>
        <v>#NAME?</v>
      </c>
      <c r="W462" s="10" t="str">
        <f ca="1">IFERROR(__xludf.DUMMYFUNCTION("IF(COUNTIF($A:$A,A456)=1,
""Unique"",
IF(COUNTUNIQUE(FILTER($V$2:$V$934,$A$2:$A$934=A456))&gt;1,
""Conflicting Duplicate"",
""Exact Duplicate""))"),"Unique")</f>
        <v>Unique</v>
      </c>
      <c r="X462" s="10" t="b">
        <f t="shared" ca="1" si="1"/>
        <v>1</v>
      </c>
      <c r="Y462" s="10" t="str">
        <f t="shared" si="2"/>
        <v>Unique</v>
      </c>
      <c r="Z462" s="10"/>
      <c r="AA462" s="10" t="str">
        <f t="shared" si="3"/>
        <v>Warning</v>
      </c>
      <c r="AB462" s="15" t="str">
        <f t="shared" si="4"/>
        <v>Valid</v>
      </c>
      <c r="AC462" s="15">
        <v>6</v>
      </c>
      <c r="AD462" s="16" t="str">
        <f t="shared" si="5"/>
        <v>Valid</v>
      </c>
      <c r="AE462" s="16" t="str">
        <f t="shared" si="6"/>
        <v>Valid</v>
      </c>
      <c r="AF462" s="16" t="str">
        <f t="shared" ref="AF462:AG462" si="935">IF(ISNUMBER(B462),"Valid","Invalid")</f>
        <v>Valid</v>
      </c>
      <c r="AG462" s="16" t="str">
        <f t="shared" si="935"/>
        <v>Valid</v>
      </c>
      <c r="AH462" s="16" t="str">
        <f t="shared" ref="AH462:AI462" si="936">IF(OR(B462="",ISBLANK(B462)),"Missing","Valid")</f>
        <v>Valid</v>
      </c>
      <c r="AI462" s="16" t="str">
        <f t="shared" si="936"/>
        <v>Valid</v>
      </c>
      <c r="AJ462" s="16" t="b">
        <v>1</v>
      </c>
      <c r="AK462" s="16" t="b">
        <v>0</v>
      </c>
      <c r="AL462" s="16" t="b">
        <v>0</v>
      </c>
      <c r="AM462" s="16" t="b">
        <v>0</v>
      </c>
      <c r="AN462" s="16" t="b">
        <v>0</v>
      </c>
      <c r="AO462" s="16" t="b">
        <v>0</v>
      </c>
      <c r="AP462" s="16" t="b">
        <v>1</v>
      </c>
      <c r="AQ462" s="17">
        <f t="shared" si="9"/>
        <v>0.05</v>
      </c>
      <c r="AR462" s="12">
        <f t="shared" si="10"/>
        <v>11626.974000000002</v>
      </c>
      <c r="AS462" s="18">
        <f t="shared" si="11"/>
        <v>-4.0000000026338967E-3</v>
      </c>
      <c r="AT462" s="12">
        <f t="shared" si="12"/>
        <v>4232.9040000000023</v>
      </c>
      <c r="AU462" s="18">
        <f t="shared" si="13"/>
        <v>-4.0000000026338967E-3</v>
      </c>
      <c r="AV462" s="19">
        <f t="shared" si="14"/>
        <v>0.36405895463428417</v>
      </c>
      <c r="AW462" s="20" t="str">
        <f t="shared" si="15"/>
        <v>September</v>
      </c>
      <c r="AX462" s="21">
        <f t="shared" si="16"/>
        <v>2025</v>
      </c>
    </row>
    <row r="463" spans="1:50" ht="15.75" customHeight="1">
      <c r="A463" s="10" t="s">
        <v>1513</v>
      </c>
      <c r="B463" s="11">
        <v>45802</v>
      </c>
      <c r="C463" s="11">
        <v>45803</v>
      </c>
      <c r="D463" s="10" t="s">
        <v>1514</v>
      </c>
      <c r="E463" s="10" t="s">
        <v>108</v>
      </c>
      <c r="F463" s="10" t="s">
        <v>119</v>
      </c>
      <c r="G463" s="10" t="s">
        <v>83</v>
      </c>
      <c r="H463" s="10" t="s">
        <v>113</v>
      </c>
      <c r="I463" s="10" t="s">
        <v>114</v>
      </c>
      <c r="J463" s="10" t="s">
        <v>57</v>
      </c>
      <c r="K463" s="10" t="s">
        <v>58</v>
      </c>
      <c r="L463" s="10" t="s">
        <v>1515</v>
      </c>
      <c r="M463" s="10" t="s">
        <v>88</v>
      </c>
      <c r="N463" s="12">
        <v>3</v>
      </c>
      <c r="O463" s="12">
        <v>3378.15</v>
      </c>
      <c r="P463" s="12">
        <v>0.15</v>
      </c>
      <c r="Q463" s="12">
        <v>8614.2800000000007</v>
      </c>
      <c r="R463" s="12">
        <v>7052.08</v>
      </c>
      <c r="S463" s="12">
        <v>1562.2</v>
      </c>
      <c r="T463" s="10" t="s">
        <v>61</v>
      </c>
      <c r="U463" s="13" t="s">
        <v>62</v>
      </c>
      <c r="V463" s="14" t="e">
        <f t="shared" ca="1" si="0"/>
        <v>#NAME?</v>
      </c>
      <c r="W463" s="10" t="str">
        <f ca="1">IFERROR(__xludf.DUMMYFUNCTION("IF(COUNTIF($A:$A,A457)=1,
""Unique"",
IF(COUNTUNIQUE(FILTER($V$2:$V$934,$A$2:$A$934=A457))&gt;1,
""Conflicting Duplicate"",
""Exact Duplicate""))"),"Unique")</f>
        <v>Unique</v>
      </c>
      <c r="X463" s="10" t="b">
        <f t="shared" ca="1" si="1"/>
        <v>1</v>
      </c>
      <c r="Y463" s="10" t="str">
        <f t="shared" si="2"/>
        <v>Unique</v>
      </c>
      <c r="Z463" s="10"/>
      <c r="AA463" s="10" t="str">
        <f t="shared" si="3"/>
        <v>Clean</v>
      </c>
      <c r="AB463" s="15" t="str">
        <f t="shared" si="4"/>
        <v>Valid</v>
      </c>
      <c r="AC463" s="15">
        <v>1</v>
      </c>
      <c r="AD463" s="16" t="str">
        <f t="shared" si="5"/>
        <v>Valid</v>
      </c>
      <c r="AE463" s="16" t="str">
        <f t="shared" si="6"/>
        <v>Valid</v>
      </c>
      <c r="AF463" s="16" t="str">
        <f t="shared" ref="AF463:AG463" si="937">IF(ISNUMBER(B463),"Valid","Invalid")</f>
        <v>Valid</v>
      </c>
      <c r="AG463" s="16" t="str">
        <f t="shared" si="937"/>
        <v>Valid</v>
      </c>
      <c r="AH463" s="16" t="str">
        <f t="shared" ref="AH463:AI463" si="938">IF(OR(B463="",ISBLANK(B463)),"Missing","Valid")</f>
        <v>Valid</v>
      </c>
      <c r="AI463" s="16" t="str">
        <f t="shared" si="938"/>
        <v>Valid</v>
      </c>
      <c r="AJ463" s="16" t="b">
        <v>0</v>
      </c>
      <c r="AK463" s="16" t="b">
        <v>0</v>
      </c>
      <c r="AL463" s="16" t="b">
        <v>0</v>
      </c>
      <c r="AM463" s="16" t="b">
        <v>0</v>
      </c>
      <c r="AN463" s="16" t="b">
        <v>0</v>
      </c>
      <c r="AO463" s="16" t="b">
        <v>0</v>
      </c>
      <c r="AP463" s="16" t="b">
        <v>0</v>
      </c>
      <c r="AQ463" s="17">
        <f t="shared" si="9"/>
        <v>0.15</v>
      </c>
      <c r="AR463" s="12">
        <f t="shared" si="10"/>
        <v>8614.2825000000012</v>
      </c>
      <c r="AS463" s="18">
        <f t="shared" si="11"/>
        <v>-2.500000000509317E-3</v>
      </c>
      <c r="AT463" s="12">
        <f t="shared" si="12"/>
        <v>1562.2025000000012</v>
      </c>
      <c r="AU463" s="18">
        <f t="shared" si="13"/>
        <v>-2.5000000011914381E-3</v>
      </c>
      <c r="AV463" s="19">
        <f t="shared" si="14"/>
        <v>0.18135027496486225</v>
      </c>
      <c r="AW463" s="20" t="str">
        <f t="shared" si="15"/>
        <v>May</v>
      </c>
      <c r="AX463" s="21">
        <f t="shared" si="16"/>
        <v>2025</v>
      </c>
    </row>
    <row r="464" spans="1:50" ht="15.75" customHeight="1">
      <c r="A464" s="10" t="s">
        <v>1516</v>
      </c>
      <c r="B464" s="11">
        <v>45558</v>
      </c>
      <c r="C464" s="11">
        <v>45560</v>
      </c>
      <c r="D464" s="10" t="s">
        <v>1517</v>
      </c>
      <c r="E464" s="10" t="s">
        <v>157</v>
      </c>
      <c r="F464" s="10" t="s">
        <v>124</v>
      </c>
      <c r="G464" s="10" t="s">
        <v>54</v>
      </c>
      <c r="H464" s="10" t="s">
        <v>380</v>
      </c>
      <c r="I464" s="10" t="s">
        <v>381</v>
      </c>
      <c r="J464" s="10" t="s">
        <v>57</v>
      </c>
      <c r="K464" s="10" t="s">
        <v>182</v>
      </c>
      <c r="L464" s="10" t="s">
        <v>1518</v>
      </c>
      <c r="M464" s="10" t="s">
        <v>79</v>
      </c>
      <c r="N464" s="12">
        <v>2</v>
      </c>
      <c r="O464" s="12">
        <v>1275.1400000000001</v>
      </c>
      <c r="P464" s="12">
        <v>0.2</v>
      </c>
      <c r="Q464" s="12">
        <v>2040.22</v>
      </c>
      <c r="R464" s="12">
        <v>1395.71</v>
      </c>
      <c r="S464" s="12">
        <v>644.51</v>
      </c>
      <c r="T464" s="10" t="s">
        <v>61</v>
      </c>
      <c r="U464" s="13" t="s">
        <v>62</v>
      </c>
      <c r="V464" s="14" t="e">
        <f t="shared" ca="1" si="0"/>
        <v>#NAME?</v>
      </c>
      <c r="W464" s="10" t="str">
        <f ca="1">IFERROR(__xludf.DUMMYFUNCTION("IF(COUNTIF($A:$A,A458)=1,
""Unique"",
IF(COUNTUNIQUE(FILTER($V$2:$V$934,$A$2:$A$934=A458))&gt;1,
""Conflicting Duplicate"",
""Exact Duplicate""))"),"Unique")</f>
        <v>Unique</v>
      </c>
      <c r="X464" s="10" t="b">
        <f t="shared" ca="1" si="1"/>
        <v>1</v>
      </c>
      <c r="Y464" s="10" t="str">
        <f t="shared" si="2"/>
        <v>Unique</v>
      </c>
      <c r="Z464" s="10"/>
      <c r="AA464" s="10" t="str">
        <f t="shared" si="3"/>
        <v>Clean</v>
      </c>
      <c r="AB464" s="15" t="str">
        <f t="shared" si="4"/>
        <v>Valid</v>
      </c>
      <c r="AC464" s="15">
        <v>2</v>
      </c>
      <c r="AD464" s="16" t="str">
        <f t="shared" si="5"/>
        <v>Valid</v>
      </c>
      <c r="AE464" s="16" t="str">
        <f t="shared" si="6"/>
        <v>Valid</v>
      </c>
      <c r="AF464" s="16" t="str">
        <f t="shared" ref="AF464:AG464" si="939">IF(ISNUMBER(B464),"Valid","Invalid")</f>
        <v>Valid</v>
      </c>
      <c r="AG464" s="16" t="str">
        <f t="shared" si="939"/>
        <v>Valid</v>
      </c>
      <c r="AH464" s="16" t="str">
        <f t="shared" ref="AH464:AI464" si="940">IF(OR(B464="",ISBLANK(B464)),"Missing","Valid")</f>
        <v>Valid</v>
      </c>
      <c r="AI464" s="16" t="str">
        <f t="shared" si="940"/>
        <v>Valid</v>
      </c>
      <c r="AJ464" s="16" t="b">
        <v>0</v>
      </c>
      <c r="AK464" s="16" t="b">
        <v>0</v>
      </c>
      <c r="AL464" s="16" t="b">
        <v>0</v>
      </c>
      <c r="AM464" s="16" t="b">
        <v>0</v>
      </c>
      <c r="AN464" s="16" t="b">
        <v>0</v>
      </c>
      <c r="AO464" s="16" t="b">
        <v>0</v>
      </c>
      <c r="AP464" s="16" t="b">
        <v>0</v>
      </c>
      <c r="AQ464" s="17">
        <f t="shared" si="9"/>
        <v>0.2</v>
      </c>
      <c r="AR464" s="12">
        <f t="shared" si="10"/>
        <v>2040.2240000000002</v>
      </c>
      <c r="AS464" s="18">
        <f t="shared" si="11"/>
        <v>-4.0000000001327862E-3</v>
      </c>
      <c r="AT464" s="12">
        <f t="shared" si="12"/>
        <v>644.51400000000012</v>
      </c>
      <c r="AU464" s="18">
        <f t="shared" si="13"/>
        <v>-4.0000000001327862E-3</v>
      </c>
      <c r="AV464" s="19">
        <f t="shared" si="14"/>
        <v>0.31590354784572677</v>
      </c>
      <c r="AW464" s="20" t="str">
        <f t="shared" si="15"/>
        <v>September</v>
      </c>
      <c r="AX464" s="21">
        <f t="shared" si="16"/>
        <v>2024</v>
      </c>
    </row>
    <row r="465" spans="1:50" ht="15.75" customHeight="1">
      <c r="A465" s="10" t="s">
        <v>1519</v>
      </c>
      <c r="B465" s="11">
        <v>45695</v>
      </c>
      <c r="C465" s="11">
        <v>45696</v>
      </c>
      <c r="D465" s="10" t="s">
        <v>1520</v>
      </c>
      <c r="E465" s="10" t="s">
        <v>82</v>
      </c>
      <c r="F465" s="10" t="s">
        <v>119</v>
      </c>
      <c r="G465" s="10" t="s">
        <v>92</v>
      </c>
      <c r="H465" s="10" t="s">
        <v>101</v>
      </c>
      <c r="I465" s="10" t="s">
        <v>102</v>
      </c>
      <c r="J465" s="10" t="s">
        <v>103</v>
      </c>
      <c r="K465" s="10" t="s">
        <v>200</v>
      </c>
      <c r="L465" s="10" t="s">
        <v>1521</v>
      </c>
      <c r="M465" s="10" t="s">
        <v>88</v>
      </c>
      <c r="N465" s="12">
        <v>4</v>
      </c>
      <c r="O465" s="12">
        <v>889.5</v>
      </c>
      <c r="P465" s="12">
        <v>0.2</v>
      </c>
      <c r="Q465" s="12">
        <v>2846.4</v>
      </c>
      <c r="R465" s="12">
        <v>2132.37</v>
      </c>
      <c r="S465" s="12">
        <v>714.03</v>
      </c>
      <c r="T465" s="10" t="s">
        <v>61</v>
      </c>
      <c r="U465" s="13" t="s">
        <v>62</v>
      </c>
      <c r="V465" s="14" t="e">
        <f t="shared" ca="1" si="0"/>
        <v>#NAME?</v>
      </c>
      <c r="W465" s="10" t="str">
        <f ca="1">IFERROR(__xludf.DUMMYFUNCTION("IF(COUNTIF($A:$A,A459)=1,
""Unique"",
IF(COUNTUNIQUE(FILTER($V$2:$V$934,$A$2:$A$934=A459))&gt;1,
""Conflicting Duplicate"",
""Exact Duplicate""))"),"Unique")</f>
        <v>Unique</v>
      </c>
      <c r="X465" s="10" t="b">
        <f t="shared" ca="1" si="1"/>
        <v>1</v>
      </c>
      <c r="Y465" s="10" t="str">
        <f t="shared" si="2"/>
        <v>Unique</v>
      </c>
      <c r="Z465" s="10"/>
      <c r="AA465" s="10" t="str">
        <f t="shared" si="3"/>
        <v>Clean</v>
      </c>
      <c r="AB465" s="15" t="str">
        <f t="shared" si="4"/>
        <v>Valid</v>
      </c>
      <c r="AC465" s="15">
        <v>1</v>
      </c>
      <c r="AD465" s="16" t="str">
        <f t="shared" si="5"/>
        <v>Valid</v>
      </c>
      <c r="AE465" s="16" t="str">
        <f t="shared" si="6"/>
        <v>Valid</v>
      </c>
      <c r="AF465" s="16" t="str">
        <f t="shared" ref="AF465:AG465" si="941">IF(ISNUMBER(B465),"Valid","Invalid")</f>
        <v>Valid</v>
      </c>
      <c r="AG465" s="16" t="str">
        <f t="shared" si="941"/>
        <v>Valid</v>
      </c>
      <c r="AH465" s="16" t="str">
        <f t="shared" ref="AH465:AI465" si="942">IF(OR(B465="",ISBLANK(B465)),"Missing","Valid")</f>
        <v>Valid</v>
      </c>
      <c r="AI465" s="16" t="str">
        <f t="shared" si="942"/>
        <v>Valid</v>
      </c>
      <c r="AJ465" s="16" t="b">
        <v>0</v>
      </c>
      <c r="AK465" s="16" t="b">
        <v>0</v>
      </c>
      <c r="AL465" s="16" t="b">
        <v>0</v>
      </c>
      <c r="AM465" s="16" t="b">
        <v>0</v>
      </c>
      <c r="AN465" s="16" t="b">
        <v>0</v>
      </c>
      <c r="AO465" s="16" t="b">
        <v>0</v>
      </c>
      <c r="AP465" s="16" t="b">
        <v>0</v>
      </c>
      <c r="AQ465" s="17">
        <f t="shared" si="9"/>
        <v>0.2</v>
      </c>
      <c r="AR465" s="12">
        <f t="shared" si="10"/>
        <v>2846.4</v>
      </c>
      <c r="AS465" s="18">
        <f t="shared" si="11"/>
        <v>0</v>
      </c>
      <c r="AT465" s="12">
        <f t="shared" si="12"/>
        <v>714.0300000000002</v>
      </c>
      <c r="AU465" s="18">
        <f t="shared" si="13"/>
        <v>0</v>
      </c>
      <c r="AV465" s="19">
        <f t="shared" si="14"/>
        <v>0.25085370994940986</v>
      </c>
      <c r="AW465" s="20" t="str">
        <f t="shared" si="15"/>
        <v>February</v>
      </c>
      <c r="AX465" s="21">
        <f t="shared" si="16"/>
        <v>2025</v>
      </c>
    </row>
    <row r="466" spans="1:50" ht="15.75" customHeight="1">
      <c r="A466" s="10" t="s">
        <v>1522</v>
      </c>
      <c r="B466" s="11">
        <v>45727</v>
      </c>
      <c r="C466" s="11">
        <v>45731</v>
      </c>
      <c r="D466" s="10" t="s">
        <v>1523</v>
      </c>
      <c r="E466" s="10" t="s">
        <v>82</v>
      </c>
      <c r="F466" s="10" t="s">
        <v>119</v>
      </c>
      <c r="G466" s="10" t="s">
        <v>67</v>
      </c>
      <c r="H466" s="10" t="s">
        <v>174</v>
      </c>
      <c r="I466" s="10" t="s">
        <v>175</v>
      </c>
      <c r="J466" s="10" t="s">
        <v>57</v>
      </c>
      <c r="K466" s="10" t="s">
        <v>58</v>
      </c>
      <c r="L466" s="10" t="s">
        <v>1524</v>
      </c>
      <c r="M466" s="10" t="s">
        <v>73</v>
      </c>
      <c r="N466" s="12">
        <v>3</v>
      </c>
      <c r="O466" s="12">
        <v>3625.08</v>
      </c>
      <c r="P466" s="12">
        <v>0.05</v>
      </c>
      <c r="Q466" s="12">
        <v>10331.48</v>
      </c>
      <c r="R466" s="12">
        <v>7131.91</v>
      </c>
      <c r="S466" s="12">
        <v>3199.57</v>
      </c>
      <c r="T466" s="10" t="s">
        <v>140</v>
      </c>
      <c r="U466" s="13" t="s">
        <v>97</v>
      </c>
      <c r="V466" s="14" t="e">
        <f t="shared" ca="1" si="0"/>
        <v>#NAME?</v>
      </c>
      <c r="W466" s="10" t="str">
        <f ca="1">IFERROR(__xludf.DUMMYFUNCTION("IF(COUNTIF($A:$A,A460)=1,
""Unique"",
IF(COUNTUNIQUE(FILTER($V$2:$V$934,$A$2:$A$934=A460))&gt;1,
""Conflicting Duplicate"",
""Exact Duplicate""))"),"Unique")</f>
        <v>Unique</v>
      </c>
      <c r="X466" s="10" t="b">
        <f t="shared" ca="1" si="1"/>
        <v>1</v>
      </c>
      <c r="Y466" s="10" t="str">
        <f t="shared" si="2"/>
        <v>Unique</v>
      </c>
      <c r="Z466" s="10"/>
      <c r="AA466" s="10" t="str">
        <f t="shared" si="3"/>
        <v>Clean</v>
      </c>
      <c r="AB466" s="15" t="str">
        <f t="shared" si="4"/>
        <v>Valid</v>
      </c>
      <c r="AC466" s="15">
        <v>4</v>
      </c>
      <c r="AD466" s="16" t="str">
        <f t="shared" si="5"/>
        <v>Valid</v>
      </c>
      <c r="AE466" s="16" t="str">
        <f t="shared" si="6"/>
        <v>Valid</v>
      </c>
      <c r="AF466" s="16" t="str">
        <f t="shared" ref="AF466:AG466" si="943">IF(ISNUMBER(B466),"Valid","Invalid")</f>
        <v>Valid</v>
      </c>
      <c r="AG466" s="16" t="str">
        <f t="shared" si="943"/>
        <v>Valid</v>
      </c>
      <c r="AH466" s="16" t="str">
        <f t="shared" ref="AH466:AI466" si="944">IF(OR(B466="",ISBLANK(B466)),"Missing","Valid")</f>
        <v>Valid</v>
      </c>
      <c r="AI466" s="16" t="str">
        <f t="shared" si="944"/>
        <v>Valid</v>
      </c>
      <c r="AJ466" s="16" t="b">
        <v>0</v>
      </c>
      <c r="AK466" s="16" t="b">
        <v>0</v>
      </c>
      <c r="AL466" s="16" t="b">
        <v>0</v>
      </c>
      <c r="AM466" s="16" t="b">
        <v>0</v>
      </c>
      <c r="AN466" s="16" t="b">
        <v>0</v>
      </c>
      <c r="AO466" s="16" t="b">
        <v>0</v>
      </c>
      <c r="AP466" s="16" t="b">
        <v>0</v>
      </c>
      <c r="AQ466" s="17">
        <f t="shared" si="9"/>
        <v>0.05</v>
      </c>
      <c r="AR466" s="12">
        <f t="shared" si="10"/>
        <v>10331.477999999999</v>
      </c>
      <c r="AS466" s="18">
        <f t="shared" si="11"/>
        <v>2.0000000004074536E-3</v>
      </c>
      <c r="AT466" s="12">
        <f t="shared" si="12"/>
        <v>3199.5679999999993</v>
      </c>
      <c r="AU466" s="18">
        <f t="shared" si="13"/>
        <v>2.000000000862201E-3</v>
      </c>
      <c r="AV466" s="19">
        <f t="shared" si="14"/>
        <v>0.30969121746181905</v>
      </c>
      <c r="AW466" s="20" t="str">
        <f t="shared" si="15"/>
        <v>March</v>
      </c>
      <c r="AX466" s="21">
        <f t="shared" si="16"/>
        <v>2025</v>
      </c>
    </row>
    <row r="467" spans="1:50" ht="15.75" customHeight="1">
      <c r="A467" s="10" t="s">
        <v>1525</v>
      </c>
      <c r="B467" s="11">
        <v>45320</v>
      </c>
      <c r="C467" s="11">
        <v>45328</v>
      </c>
      <c r="D467" s="10" t="s">
        <v>1526</v>
      </c>
      <c r="E467" s="10" t="s">
        <v>157</v>
      </c>
      <c r="F467" s="10" t="s">
        <v>66</v>
      </c>
      <c r="G467" s="10" t="s">
        <v>92</v>
      </c>
      <c r="H467" s="10" t="s">
        <v>101</v>
      </c>
      <c r="I467" s="10" t="s">
        <v>102</v>
      </c>
      <c r="J467" s="10" t="s">
        <v>57</v>
      </c>
      <c r="K467" s="10" t="s">
        <v>120</v>
      </c>
      <c r="L467" s="10" t="s">
        <v>1527</v>
      </c>
      <c r="M467" s="10" t="s">
        <v>88</v>
      </c>
      <c r="N467" s="12">
        <v>2</v>
      </c>
      <c r="O467" s="12">
        <v>1258.9000000000001</v>
      </c>
      <c r="P467" s="12">
        <v>0</v>
      </c>
      <c r="Q467" s="12">
        <v>2517.8000000000002</v>
      </c>
      <c r="R467" s="12">
        <v>1478.54</v>
      </c>
      <c r="S467" s="12">
        <v>1039.26</v>
      </c>
      <c r="T467" s="10" t="s">
        <v>61</v>
      </c>
      <c r="U467" s="13" t="s">
        <v>62</v>
      </c>
      <c r="V467" s="14" t="e">
        <f t="shared" ca="1" si="0"/>
        <v>#NAME?</v>
      </c>
      <c r="W467" s="10" t="str">
        <f ca="1">IFERROR(__xludf.DUMMYFUNCTION("IF(COUNTIF($A:$A,A461)=1,
""Unique"",
IF(COUNTUNIQUE(FILTER($V$2:$V$934,$A$2:$A$934=A461))&gt;1,
""Conflicting Duplicate"",
""Exact Duplicate""))"),"Unique")</f>
        <v>Unique</v>
      </c>
      <c r="X467" s="10" t="b">
        <f t="shared" ca="1" si="1"/>
        <v>1</v>
      </c>
      <c r="Y467" s="10" t="str">
        <f t="shared" si="2"/>
        <v>Unique</v>
      </c>
      <c r="Z467" s="10"/>
      <c r="AA467" s="10" t="str">
        <f t="shared" si="3"/>
        <v>Clean</v>
      </c>
      <c r="AB467" s="15" t="str">
        <f t="shared" si="4"/>
        <v>Valid</v>
      </c>
      <c r="AC467" s="15">
        <v>8</v>
      </c>
      <c r="AD467" s="16" t="str">
        <f t="shared" si="5"/>
        <v>Valid</v>
      </c>
      <c r="AE467" s="16" t="str">
        <f t="shared" si="6"/>
        <v>Valid</v>
      </c>
      <c r="AF467" s="16" t="str">
        <f t="shared" ref="AF467:AG467" si="945">IF(ISNUMBER(B467),"Valid","Invalid")</f>
        <v>Valid</v>
      </c>
      <c r="AG467" s="16" t="str">
        <f t="shared" si="945"/>
        <v>Valid</v>
      </c>
      <c r="AH467" s="16" t="str">
        <f t="shared" ref="AH467:AI467" si="946">IF(OR(B467="",ISBLANK(B467)),"Missing","Valid")</f>
        <v>Valid</v>
      </c>
      <c r="AI467" s="16" t="str">
        <f t="shared" si="946"/>
        <v>Valid</v>
      </c>
      <c r="AJ467" s="16" t="b">
        <v>0</v>
      </c>
      <c r="AK467" s="16" t="b">
        <v>0</v>
      </c>
      <c r="AL467" s="16" t="b">
        <v>0</v>
      </c>
      <c r="AM467" s="16" t="b">
        <v>0</v>
      </c>
      <c r="AN467" s="16" t="b">
        <v>0</v>
      </c>
      <c r="AO467" s="16" t="b">
        <v>0</v>
      </c>
      <c r="AP467" s="16" t="b">
        <v>0</v>
      </c>
      <c r="AQ467" s="17">
        <f t="shared" si="9"/>
        <v>0</v>
      </c>
      <c r="AR467" s="12">
        <f t="shared" si="10"/>
        <v>2517.8000000000002</v>
      </c>
      <c r="AS467" s="18">
        <f t="shared" si="11"/>
        <v>0</v>
      </c>
      <c r="AT467" s="12">
        <f t="shared" si="12"/>
        <v>1039.2600000000002</v>
      </c>
      <c r="AU467" s="18">
        <f t="shared" si="13"/>
        <v>0</v>
      </c>
      <c r="AV467" s="19">
        <f t="shared" si="14"/>
        <v>0.41276511239971408</v>
      </c>
      <c r="AW467" s="20" t="str">
        <f t="shared" si="15"/>
        <v>January</v>
      </c>
      <c r="AX467" s="21">
        <f t="shared" si="16"/>
        <v>2024</v>
      </c>
    </row>
    <row r="468" spans="1:50" ht="15.75" customHeight="1">
      <c r="A468" s="10" t="s">
        <v>1528</v>
      </c>
      <c r="B468" s="11">
        <v>45295</v>
      </c>
      <c r="C468" s="11">
        <v>45299</v>
      </c>
      <c r="D468" s="10" t="s">
        <v>1529</v>
      </c>
      <c r="E468" s="10" t="s">
        <v>65</v>
      </c>
      <c r="F468" s="10" t="s">
        <v>66</v>
      </c>
      <c r="G468" s="10" t="s">
        <v>67</v>
      </c>
      <c r="H468" s="10" t="s">
        <v>174</v>
      </c>
      <c r="I468" s="10" t="s">
        <v>175</v>
      </c>
      <c r="J468" s="10" t="s">
        <v>103</v>
      </c>
      <c r="K468" s="10" t="s">
        <v>104</v>
      </c>
      <c r="L468" s="10" t="s">
        <v>1530</v>
      </c>
      <c r="M468" s="10" t="s">
        <v>73</v>
      </c>
      <c r="N468" s="12">
        <v>9</v>
      </c>
      <c r="O468" s="12">
        <v>1591.96</v>
      </c>
      <c r="P468" s="12">
        <v>0.2</v>
      </c>
      <c r="Q468" s="12">
        <v>11462.11</v>
      </c>
      <c r="R468" s="12">
        <v>7105.48</v>
      </c>
      <c r="S468" s="12">
        <v>4356.63</v>
      </c>
      <c r="T468" s="10" t="s">
        <v>61</v>
      </c>
      <c r="U468" s="13" t="s">
        <v>62</v>
      </c>
      <c r="V468" s="14" t="e">
        <f t="shared" ca="1" si="0"/>
        <v>#NAME?</v>
      </c>
      <c r="W468" s="10" t="str">
        <f ca="1">IFERROR(__xludf.DUMMYFUNCTION("IF(COUNTIF($A:$A,A462)=1,
""Unique"",
IF(COUNTUNIQUE(FILTER($V$2:$V$934,$A$2:$A$934=A462))&gt;1,
""Conflicting Duplicate"",
""Exact Duplicate""))"),"Unique")</f>
        <v>Unique</v>
      </c>
      <c r="X468" s="10" t="b">
        <f t="shared" ca="1" si="1"/>
        <v>1</v>
      </c>
      <c r="Y468" s="10" t="str">
        <f t="shared" si="2"/>
        <v>Unique</v>
      </c>
      <c r="Z468" s="10"/>
      <c r="AA468" s="10" t="str">
        <f t="shared" si="3"/>
        <v>Clean</v>
      </c>
      <c r="AB468" s="15" t="str">
        <f t="shared" si="4"/>
        <v>Valid</v>
      </c>
      <c r="AC468" s="15">
        <v>4</v>
      </c>
      <c r="AD468" s="16" t="str">
        <f t="shared" si="5"/>
        <v>Valid</v>
      </c>
      <c r="AE468" s="16" t="str">
        <f t="shared" si="6"/>
        <v>Valid</v>
      </c>
      <c r="AF468" s="16" t="str">
        <f t="shared" ref="AF468:AG468" si="947">IF(ISNUMBER(B468),"Valid","Invalid")</f>
        <v>Valid</v>
      </c>
      <c r="AG468" s="16" t="str">
        <f t="shared" si="947"/>
        <v>Valid</v>
      </c>
      <c r="AH468" s="16" t="str">
        <f t="shared" ref="AH468:AI468" si="948">IF(OR(B468="",ISBLANK(B468)),"Missing","Valid")</f>
        <v>Valid</v>
      </c>
      <c r="AI468" s="16" t="str">
        <f t="shared" si="948"/>
        <v>Valid</v>
      </c>
      <c r="AJ468" s="16" t="b">
        <v>0</v>
      </c>
      <c r="AK468" s="16" t="b">
        <v>0</v>
      </c>
      <c r="AL468" s="16" t="b">
        <v>0</v>
      </c>
      <c r="AM468" s="16" t="b">
        <v>0</v>
      </c>
      <c r="AN468" s="16" t="b">
        <v>0</v>
      </c>
      <c r="AO468" s="16" t="b">
        <v>0</v>
      </c>
      <c r="AP468" s="16" t="b">
        <v>0</v>
      </c>
      <c r="AQ468" s="17">
        <f t="shared" si="9"/>
        <v>0.2</v>
      </c>
      <c r="AR468" s="12">
        <f t="shared" si="10"/>
        <v>11462.112000000001</v>
      </c>
      <c r="AS468" s="18">
        <f t="shared" si="11"/>
        <v>-2.0000000004074536E-3</v>
      </c>
      <c r="AT468" s="12">
        <f t="shared" si="12"/>
        <v>4356.6320000000014</v>
      </c>
      <c r="AU468" s="18">
        <f t="shared" si="13"/>
        <v>-2.0000000013169483E-3</v>
      </c>
      <c r="AV468" s="19">
        <f t="shared" si="14"/>
        <v>0.38008981241851425</v>
      </c>
      <c r="AW468" s="20" t="str">
        <f t="shared" si="15"/>
        <v>January</v>
      </c>
      <c r="AX468" s="21">
        <f t="shared" si="16"/>
        <v>2024</v>
      </c>
    </row>
    <row r="469" spans="1:50" ht="15.75" customHeight="1">
      <c r="A469" s="10" t="s">
        <v>1531</v>
      </c>
      <c r="B469" s="11">
        <v>45524</v>
      </c>
      <c r="C469" s="11">
        <v>45525</v>
      </c>
      <c r="D469" s="10" t="s">
        <v>1532</v>
      </c>
      <c r="E469" s="10" t="s">
        <v>118</v>
      </c>
      <c r="F469" s="10" t="s">
        <v>119</v>
      </c>
      <c r="G469" s="10" t="s">
        <v>67</v>
      </c>
      <c r="H469" s="10" t="s">
        <v>68</v>
      </c>
      <c r="I469" s="10" t="s">
        <v>69</v>
      </c>
      <c r="J469" s="10" t="s">
        <v>103</v>
      </c>
      <c r="K469" s="10" t="s">
        <v>109</v>
      </c>
      <c r="L469" s="10" t="s">
        <v>1533</v>
      </c>
      <c r="M469" s="10" t="s">
        <v>79</v>
      </c>
      <c r="N469" s="12">
        <v>5</v>
      </c>
      <c r="O469" s="12">
        <v>4288.33</v>
      </c>
      <c r="P469" s="12">
        <v>0.1</v>
      </c>
      <c r="Q469" s="12">
        <v>19297.490000000002</v>
      </c>
      <c r="R469" s="12">
        <v>15451.66</v>
      </c>
      <c r="S469" s="12">
        <v>3845.83</v>
      </c>
      <c r="T469" s="10" t="s">
        <v>131</v>
      </c>
      <c r="U469" s="13" t="s">
        <v>97</v>
      </c>
      <c r="V469" s="14" t="e">
        <f t="shared" ca="1" si="0"/>
        <v>#NAME?</v>
      </c>
      <c r="W469" s="10" t="str">
        <f ca="1">IFERROR(__xludf.DUMMYFUNCTION("IF(COUNTIF($A:$A,A463)=1,
""Unique"",
IF(COUNTUNIQUE(FILTER($V$2:$V$934,$A$2:$A$934=A463))&gt;1,
""Conflicting Duplicate"",
""Exact Duplicate""))"),"Unique")</f>
        <v>Unique</v>
      </c>
      <c r="X469" s="10" t="b">
        <f t="shared" ca="1" si="1"/>
        <v>1</v>
      </c>
      <c r="Y469" s="10" t="str">
        <f t="shared" si="2"/>
        <v>Unique</v>
      </c>
      <c r="Z469" s="10"/>
      <c r="AA469" s="10" t="str">
        <f t="shared" si="3"/>
        <v>Clean</v>
      </c>
      <c r="AB469" s="15" t="str">
        <f t="shared" si="4"/>
        <v>Valid</v>
      </c>
      <c r="AC469" s="15">
        <v>1</v>
      </c>
      <c r="AD469" s="16" t="str">
        <f t="shared" si="5"/>
        <v>Valid</v>
      </c>
      <c r="AE469" s="16" t="str">
        <f t="shared" si="6"/>
        <v>Valid</v>
      </c>
      <c r="AF469" s="16" t="str">
        <f t="shared" ref="AF469:AG469" si="949">IF(ISNUMBER(B469),"Valid","Invalid")</f>
        <v>Valid</v>
      </c>
      <c r="AG469" s="16" t="str">
        <f t="shared" si="949"/>
        <v>Valid</v>
      </c>
      <c r="AH469" s="16" t="str">
        <f t="shared" ref="AH469:AI469" si="950">IF(OR(B469="",ISBLANK(B469)),"Missing","Valid")</f>
        <v>Valid</v>
      </c>
      <c r="AI469" s="16" t="str">
        <f t="shared" si="950"/>
        <v>Valid</v>
      </c>
      <c r="AJ469" s="16" t="b">
        <v>0</v>
      </c>
      <c r="AK469" s="16" t="b">
        <v>0</v>
      </c>
      <c r="AL469" s="16" t="b">
        <v>0</v>
      </c>
      <c r="AM469" s="16" t="b">
        <v>0</v>
      </c>
      <c r="AN469" s="16" t="b">
        <v>0</v>
      </c>
      <c r="AO469" s="16" t="b">
        <v>0</v>
      </c>
      <c r="AP469" s="16" t="b">
        <v>0</v>
      </c>
      <c r="AQ469" s="17">
        <f t="shared" si="9"/>
        <v>0.1</v>
      </c>
      <c r="AR469" s="12">
        <f t="shared" si="10"/>
        <v>19297.485000000001</v>
      </c>
      <c r="AS469" s="18">
        <f t="shared" si="11"/>
        <v>5.0000000010186341E-3</v>
      </c>
      <c r="AT469" s="12">
        <f t="shared" si="12"/>
        <v>3845.8250000000007</v>
      </c>
      <c r="AU469" s="18">
        <f t="shared" si="13"/>
        <v>4.9999999991996447E-3</v>
      </c>
      <c r="AV469" s="19">
        <f t="shared" si="14"/>
        <v>0.1992915138941681</v>
      </c>
      <c r="AW469" s="20" t="str">
        <f t="shared" si="15"/>
        <v>August</v>
      </c>
      <c r="AX469" s="21">
        <f t="shared" si="16"/>
        <v>2024</v>
      </c>
    </row>
    <row r="470" spans="1:50" ht="15.75" customHeight="1">
      <c r="A470" s="10" t="s">
        <v>1534</v>
      </c>
      <c r="B470" s="11">
        <v>45666</v>
      </c>
      <c r="C470" s="11">
        <v>45664</v>
      </c>
      <c r="D470" s="10" t="s">
        <v>1535</v>
      </c>
      <c r="E470" s="10" t="s">
        <v>157</v>
      </c>
      <c r="F470" s="10" t="s">
        <v>124</v>
      </c>
      <c r="G470" s="10" t="s">
        <v>67</v>
      </c>
      <c r="H470" s="10" t="s">
        <v>128</v>
      </c>
      <c r="I470" s="10" t="s">
        <v>129</v>
      </c>
      <c r="J470" s="10" t="s">
        <v>57</v>
      </c>
      <c r="K470" s="10" t="s">
        <v>182</v>
      </c>
      <c r="L470" s="10" t="s">
        <v>1536</v>
      </c>
      <c r="M470" s="10" t="s">
        <v>60</v>
      </c>
      <c r="N470" s="12">
        <v>3</v>
      </c>
      <c r="O470" s="12">
        <v>2188.33</v>
      </c>
      <c r="P470" s="12">
        <v>0</v>
      </c>
      <c r="Q470" s="12">
        <v>6564.99</v>
      </c>
      <c r="R470" s="12">
        <v>5407.24</v>
      </c>
      <c r="S470" s="12">
        <v>1157.75</v>
      </c>
      <c r="T470" s="10" t="s">
        <v>61</v>
      </c>
      <c r="U470" s="13" t="s">
        <v>62</v>
      </c>
      <c r="V470" s="14" t="e">
        <f t="shared" ca="1" si="0"/>
        <v>#NAME?</v>
      </c>
      <c r="W470" s="10" t="str">
        <f ca="1">IFERROR(__xludf.DUMMYFUNCTION("IF(COUNTIF($A:$A,A464)=1,
""Unique"",
IF(COUNTUNIQUE(FILTER($V$2:$V$934,$A$2:$A$934=A464))&gt;1,
""Conflicting Duplicate"",
""Exact Duplicate""))"),"Unique")</f>
        <v>Unique</v>
      </c>
      <c r="X470" s="10" t="b">
        <f t="shared" ca="1" si="1"/>
        <v>1</v>
      </c>
      <c r="Y470" s="10" t="str">
        <f t="shared" si="2"/>
        <v>Unique</v>
      </c>
      <c r="Z470" s="10"/>
      <c r="AA470" s="10" t="str">
        <f t="shared" si="3"/>
        <v>Invalid</v>
      </c>
      <c r="AB470" s="15" t="str">
        <f t="shared" si="4"/>
        <v>Invalid</v>
      </c>
      <c r="AC470" s="15">
        <v>-2</v>
      </c>
      <c r="AD470" s="16" t="str">
        <f t="shared" si="5"/>
        <v>Invalid Shipping Date</v>
      </c>
      <c r="AE470" s="16" t="str">
        <f t="shared" si="6"/>
        <v>Valid</v>
      </c>
      <c r="AF470" s="16" t="str">
        <f t="shared" ref="AF470:AG470" si="951">IF(ISNUMBER(B470),"Valid","Invalid")</f>
        <v>Valid</v>
      </c>
      <c r="AG470" s="16" t="str">
        <f t="shared" si="951"/>
        <v>Valid</v>
      </c>
      <c r="AH470" s="16" t="str">
        <f t="shared" ref="AH470:AI470" si="952">IF(OR(B470="",ISBLANK(B470)),"Missing","Valid")</f>
        <v>Valid</v>
      </c>
      <c r="AI470" s="16" t="str">
        <f t="shared" si="952"/>
        <v>Valid</v>
      </c>
      <c r="AJ470" s="16" t="b">
        <v>0</v>
      </c>
      <c r="AK470" s="16" t="b">
        <v>0</v>
      </c>
      <c r="AL470" s="16" t="b">
        <v>0</v>
      </c>
      <c r="AM470" s="16" t="b">
        <v>0</v>
      </c>
      <c r="AN470" s="16" t="b">
        <v>0</v>
      </c>
      <c r="AO470" s="16" t="b">
        <v>1</v>
      </c>
      <c r="AP470" s="16" t="b">
        <v>1</v>
      </c>
      <c r="AQ470" s="17">
        <f t="shared" si="9"/>
        <v>0</v>
      </c>
      <c r="AR470" s="12">
        <f t="shared" si="10"/>
        <v>6564.99</v>
      </c>
      <c r="AS470" s="18">
        <f t="shared" si="11"/>
        <v>0</v>
      </c>
      <c r="AT470" s="12">
        <f t="shared" si="12"/>
        <v>1157.75</v>
      </c>
      <c r="AU470" s="18">
        <f t="shared" si="13"/>
        <v>0</v>
      </c>
      <c r="AV470" s="19">
        <f t="shared" si="14"/>
        <v>0.17635213458055535</v>
      </c>
      <c r="AW470" s="20" t="str">
        <f t="shared" si="15"/>
        <v>January</v>
      </c>
      <c r="AX470" s="21">
        <f t="shared" si="16"/>
        <v>2025</v>
      </c>
    </row>
    <row r="471" spans="1:50" ht="15.75" customHeight="1">
      <c r="A471" s="10" t="s">
        <v>1537</v>
      </c>
      <c r="B471" s="11">
        <v>45310</v>
      </c>
      <c r="C471" s="11">
        <v>45316</v>
      </c>
      <c r="D471" s="10" t="s">
        <v>1538</v>
      </c>
      <c r="E471" s="10" t="s">
        <v>118</v>
      </c>
      <c r="F471" s="10" t="s">
        <v>119</v>
      </c>
      <c r="G471" s="10" t="s">
        <v>92</v>
      </c>
      <c r="H471" s="10" t="s">
        <v>219</v>
      </c>
      <c r="I471" s="10" t="s">
        <v>220</v>
      </c>
      <c r="J471" s="10" t="s">
        <v>103</v>
      </c>
      <c r="K471" s="10" t="s">
        <v>109</v>
      </c>
      <c r="L471" s="10" t="s">
        <v>1539</v>
      </c>
      <c r="M471" s="10" t="s">
        <v>79</v>
      </c>
      <c r="N471" s="12">
        <v>3</v>
      </c>
      <c r="O471" s="12">
        <v>1041.6600000000001</v>
      </c>
      <c r="P471" s="12">
        <v>0.1</v>
      </c>
      <c r="Q471" s="12">
        <v>2812.48</v>
      </c>
      <c r="R471" s="12">
        <v>2282.12</v>
      </c>
      <c r="S471" s="12">
        <v>530.36</v>
      </c>
      <c r="T471" s="10" t="s">
        <v>61</v>
      </c>
      <c r="U471" s="13" t="s">
        <v>62</v>
      </c>
      <c r="V471" s="14" t="e">
        <f t="shared" ca="1" si="0"/>
        <v>#NAME?</v>
      </c>
      <c r="W471" s="10" t="str">
        <f ca="1">IFERROR(__xludf.DUMMYFUNCTION("IF(COUNTIF($A:$A,A465)=1,
""Unique"",
IF(COUNTUNIQUE(FILTER($V$2:$V$934,$A$2:$A$934=A465))&gt;1,
""Conflicting Duplicate"",
""Exact Duplicate""))"),"Unique")</f>
        <v>Unique</v>
      </c>
      <c r="X471" s="10" t="b">
        <f t="shared" ca="1" si="1"/>
        <v>1</v>
      </c>
      <c r="Y471" s="10" t="str">
        <f t="shared" si="2"/>
        <v>Unique</v>
      </c>
      <c r="Z471" s="10"/>
      <c r="AA471" s="10" t="str">
        <f t="shared" si="3"/>
        <v>Clean</v>
      </c>
      <c r="AB471" s="15" t="str">
        <f t="shared" si="4"/>
        <v>Valid</v>
      </c>
      <c r="AC471" s="15">
        <v>6</v>
      </c>
      <c r="AD471" s="16" t="str">
        <f t="shared" si="5"/>
        <v>Valid</v>
      </c>
      <c r="AE471" s="16" t="str">
        <f t="shared" si="6"/>
        <v>Valid</v>
      </c>
      <c r="AF471" s="16" t="str">
        <f t="shared" ref="AF471:AG471" si="953">IF(ISNUMBER(B471),"Valid","Invalid")</f>
        <v>Valid</v>
      </c>
      <c r="AG471" s="16" t="str">
        <f t="shared" si="953"/>
        <v>Valid</v>
      </c>
      <c r="AH471" s="16" t="str">
        <f t="shared" ref="AH471:AI471" si="954">IF(OR(B471="",ISBLANK(B471)),"Missing","Valid")</f>
        <v>Valid</v>
      </c>
      <c r="AI471" s="16" t="str">
        <f t="shared" si="954"/>
        <v>Valid</v>
      </c>
      <c r="AJ471" s="16" t="b">
        <v>0</v>
      </c>
      <c r="AK471" s="16" t="b">
        <v>0</v>
      </c>
      <c r="AL471" s="16" t="b">
        <v>0</v>
      </c>
      <c r="AM471" s="16" t="b">
        <v>0</v>
      </c>
      <c r="AN471" s="16" t="b">
        <v>0</v>
      </c>
      <c r="AO471" s="16" t="b">
        <v>0</v>
      </c>
      <c r="AP471" s="16" t="b">
        <v>0</v>
      </c>
      <c r="AQ471" s="17">
        <f t="shared" si="9"/>
        <v>0.1</v>
      </c>
      <c r="AR471" s="12">
        <f t="shared" si="10"/>
        <v>2812.4820000000004</v>
      </c>
      <c r="AS471" s="18">
        <f t="shared" si="11"/>
        <v>-2.0000000004074536E-3</v>
      </c>
      <c r="AT471" s="12">
        <f t="shared" si="12"/>
        <v>530.36200000000053</v>
      </c>
      <c r="AU471" s="18">
        <f t="shared" si="13"/>
        <v>-2.0000000005211405E-3</v>
      </c>
      <c r="AV471" s="19">
        <f t="shared" si="14"/>
        <v>0.18857436243147527</v>
      </c>
      <c r="AW471" s="20" t="str">
        <f t="shared" si="15"/>
        <v>January</v>
      </c>
      <c r="AX471" s="21">
        <f t="shared" si="16"/>
        <v>2024</v>
      </c>
    </row>
    <row r="472" spans="1:50" ht="15.75" customHeight="1">
      <c r="A472" s="10" t="s">
        <v>1540</v>
      </c>
      <c r="B472" s="11">
        <v>45501</v>
      </c>
      <c r="C472" s="11">
        <v>45504</v>
      </c>
      <c r="D472" s="10" t="s">
        <v>1541</v>
      </c>
      <c r="E472" s="10" t="s">
        <v>118</v>
      </c>
      <c r="F472" s="10" t="s">
        <v>53</v>
      </c>
      <c r="G472" s="10" t="s">
        <v>54</v>
      </c>
      <c r="H472" s="10" t="s">
        <v>55</v>
      </c>
      <c r="I472" s="10" t="s">
        <v>56</v>
      </c>
      <c r="J472" s="10" t="s">
        <v>70</v>
      </c>
      <c r="K472" s="10" t="s">
        <v>71</v>
      </c>
      <c r="L472" s="10" t="s">
        <v>1542</v>
      </c>
      <c r="M472" s="10" t="s">
        <v>73</v>
      </c>
      <c r="N472" s="12">
        <v>2</v>
      </c>
      <c r="O472" s="12">
        <v>4424.78</v>
      </c>
      <c r="P472" s="12">
        <v>0.2</v>
      </c>
      <c r="Q472" s="12">
        <v>7079.65</v>
      </c>
      <c r="R472" s="12">
        <v>4465.91</v>
      </c>
      <c r="S472" s="12">
        <v>2613.7399999999998</v>
      </c>
      <c r="T472" s="10" t="s">
        <v>61</v>
      </c>
      <c r="U472" s="13" t="s">
        <v>62</v>
      </c>
      <c r="V472" s="14" t="e">
        <f t="shared" ca="1" si="0"/>
        <v>#NAME?</v>
      </c>
      <c r="W472" s="10" t="str">
        <f ca="1">IFERROR(__xludf.DUMMYFUNCTION("IF(COUNTIF($A:$A,A466)=1,
""Unique"",
IF(COUNTUNIQUE(FILTER($V$2:$V$934,$A$2:$A$934=A466))&gt;1,
""Conflicting Duplicate"",
""Exact Duplicate""))"),"Unique")</f>
        <v>Unique</v>
      </c>
      <c r="X472" s="10" t="b">
        <f t="shared" ca="1" si="1"/>
        <v>1</v>
      </c>
      <c r="Y472" s="10" t="str">
        <f t="shared" si="2"/>
        <v>Unique</v>
      </c>
      <c r="Z472" s="10"/>
      <c r="AA472" s="10" t="str">
        <f t="shared" si="3"/>
        <v>Clean</v>
      </c>
      <c r="AB472" s="15" t="str">
        <f t="shared" si="4"/>
        <v>Valid</v>
      </c>
      <c r="AC472" s="15">
        <v>3</v>
      </c>
      <c r="AD472" s="16" t="str">
        <f t="shared" si="5"/>
        <v>Valid</v>
      </c>
      <c r="AE472" s="16" t="str">
        <f t="shared" si="6"/>
        <v>Valid</v>
      </c>
      <c r="AF472" s="16" t="str">
        <f t="shared" ref="AF472:AG472" si="955">IF(ISNUMBER(B472),"Valid","Invalid")</f>
        <v>Valid</v>
      </c>
      <c r="AG472" s="16" t="str">
        <f t="shared" si="955"/>
        <v>Valid</v>
      </c>
      <c r="AH472" s="16" t="str">
        <f t="shared" ref="AH472:AI472" si="956">IF(OR(B472="",ISBLANK(B472)),"Missing","Valid")</f>
        <v>Valid</v>
      </c>
      <c r="AI472" s="16" t="str">
        <f t="shared" si="956"/>
        <v>Valid</v>
      </c>
      <c r="AJ472" s="16" t="b">
        <v>0</v>
      </c>
      <c r="AK472" s="16" t="b">
        <v>0</v>
      </c>
      <c r="AL472" s="16" t="b">
        <v>0</v>
      </c>
      <c r="AM472" s="16" t="b">
        <v>0</v>
      </c>
      <c r="AN472" s="16" t="b">
        <v>0</v>
      </c>
      <c r="AO472" s="16" t="b">
        <v>0</v>
      </c>
      <c r="AP472" s="16" t="b">
        <v>0</v>
      </c>
      <c r="AQ472" s="17">
        <f t="shared" si="9"/>
        <v>0.2</v>
      </c>
      <c r="AR472" s="12">
        <f t="shared" si="10"/>
        <v>7079.6480000000001</v>
      </c>
      <c r="AS472" s="18">
        <f t="shared" si="11"/>
        <v>1.9999999994979589E-3</v>
      </c>
      <c r="AT472" s="12">
        <f t="shared" si="12"/>
        <v>2613.7380000000003</v>
      </c>
      <c r="AU472" s="18">
        <f t="shared" si="13"/>
        <v>1.9999999994979589E-3</v>
      </c>
      <c r="AV472" s="19">
        <f t="shared" si="14"/>
        <v>0.36919038912669105</v>
      </c>
      <c r="AW472" s="20" t="str">
        <f t="shared" si="15"/>
        <v>July</v>
      </c>
      <c r="AX472" s="21">
        <f t="shared" si="16"/>
        <v>2024</v>
      </c>
    </row>
    <row r="473" spans="1:50" ht="15.75" customHeight="1">
      <c r="A473" s="10" t="s">
        <v>1543</v>
      </c>
      <c r="B473" s="11">
        <v>45333</v>
      </c>
      <c r="C473" s="11">
        <v>45337</v>
      </c>
      <c r="D473" s="10" t="s">
        <v>1544</v>
      </c>
      <c r="E473" s="10" t="s">
        <v>294</v>
      </c>
      <c r="F473" s="10" t="s">
        <v>53</v>
      </c>
      <c r="G473" s="10" t="s">
        <v>83</v>
      </c>
      <c r="H473" s="10" t="s">
        <v>84</v>
      </c>
      <c r="I473" s="10" t="s">
        <v>85</v>
      </c>
      <c r="J473" s="10" t="s">
        <v>57</v>
      </c>
      <c r="K473" s="10" t="s">
        <v>182</v>
      </c>
      <c r="L473" s="10" t="s">
        <v>1545</v>
      </c>
      <c r="M473" s="10" t="s">
        <v>88</v>
      </c>
      <c r="N473" s="12">
        <v>3</v>
      </c>
      <c r="O473" s="12">
        <v>3019.14</v>
      </c>
      <c r="P473" s="12">
        <v>0.25</v>
      </c>
      <c r="Q473" s="12">
        <v>6793.07</v>
      </c>
      <c r="R473" s="12">
        <v>4985.22</v>
      </c>
      <c r="S473" s="12">
        <v>1807.85</v>
      </c>
      <c r="T473" s="10" t="s">
        <v>61</v>
      </c>
      <c r="U473" s="13" t="s">
        <v>62</v>
      </c>
      <c r="V473" s="14" t="e">
        <f t="shared" ca="1" si="0"/>
        <v>#NAME?</v>
      </c>
      <c r="W473" s="10" t="str">
        <f ca="1">IFERROR(__xludf.DUMMYFUNCTION("IF(COUNTIF($A:$A,A467)=1,
""Unique"",
IF(COUNTUNIQUE(FILTER($V$2:$V$934,$A$2:$A$934=A467))&gt;1,
""Conflicting Duplicate"",
""Exact Duplicate""))"),"Unique")</f>
        <v>Unique</v>
      </c>
      <c r="X473" s="10" t="b">
        <f t="shared" ca="1" si="1"/>
        <v>1</v>
      </c>
      <c r="Y473" s="10" t="str">
        <f t="shared" si="2"/>
        <v>Unique</v>
      </c>
      <c r="Z473" s="10"/>
      <c r="AA473" s="10" t="str">
        <f t="shared" si="3"/>
        <v>Clean</v>
      </c>
      <c r="AB473" s="15" t="str">
        <f t="shared" si="4"/>
        <v>Valid</v>
      </c>
      <c r="AC473" s="15">
        <v>4</v>
      </c>
      <c r="AD473" s="16" t="str">
        <f t="shared" si="5"/>
        <v>Valid</v>
      </c>
      <c r="AE473" s="16" t="str">
        <f t="shared" si="6"/>
        <v>Valid</v>
      </c>
      <c r="AF473" s="16" t="str">
        <f t="shared" ref="AF473:AG473" si="957">IF(ISNUMBER(B473),"Valid","Invalid")</f>
        <v>Valid</v>
      </c>
      <c r="AG473" s="16" t="str">
        <f t="shared" si="957"/>
        <v>Valid</v>
      </c>
      <c r="AH473" s="16" t="str">
        <f t="shared" ref="AH473:AI473" si="958">IF(OR(B473="",ISBLANK(B473)),"Missing","Valid")</f>
        <v>Valid</v>
      </c>
      <c r="AI473" s="16" t="str">
        <f t="shared" si="958"/>
        <v>Valid</v>
      </c>
      <c r="AJ473" s="16" t="b">
        <v>0</v>
      </c>
      <c r="AK473" s="16" t="b">
        <v>0</v>
      </c>
      <c r="AL473" s="16" t="b">
        <v>0</v>
      </c>
      <c r="AM473" s="16" t="b">
        <v>0</v>
      </c>
      <c r="AN473" s="16" t="b">
        <v>0</v>
      </c>
      <c r="AO473" s="16" t="b">
        <v>0</v>
      </c>
      <c r="AP473" s="16" t="b">
        <v>0</v>
      </c>
      <c r="AQ473" s="17">
        <f t="shared" si="9"/>
        <v>0.25</v>
      </c>
      <c r="AR473" s="12">
        <f t="shared" si="10"/>
        <v>6793.0650000000005</v>
      </c>
      <c r="AS473" s="18">
        <f t="shared" si="11"/>
        <v>4.9999999991996447E-3</v>
      </c>
      <c r="AT473" s="12">
        <f t="shared" si="12"/>
        <v>1807.8450000000003</v>
      </c>
      <c r="AU473" s="18">
        <f t="shared" si="13"/>
        <v>4.999999999654392E-3</v>
      </c>
      <c r="AV473" s="19">
        <f t="shared" si="14"/>
        <v>0.26613097327936652</v>
      </c>
      <c r="AW473" s="20" t="str">
        <f t="shared" si="15"/>
        <v>February</v>
      </c>
      <c r="AX473" s="21">
        <f t="shared" si="16"/>
        <v>2024</v>
      </c>
    </row>
    <row r="474" spans="1:50" ht="15.75" customHeight="1">
      <c r="A474" s="10" t="s">
        <v>1546</v>
      </c>
      <c r="B474" s="11">
        <v>45353</v>
      </c>
      <c r="C474" s="11">
        <v>45358</v>
      </c>
      <c r="D474" s="10" t="s">
        <v>1547</v>
      </c>
      <c r="E474" s="10" t="s">
        <v>170</v>
      </c>
      <c r="F474" s="10" t="s">
        <v>119</v>
      </c>
      <c r="G474" s="10" t="s">
        <v>67</v>
      </c>
      <c r="H474" s="10" t="s">
        <v>68</v>
      </c>
      <c r="I474" s="10" t="s">
        <v>69</v>
      </c>
      <c r="J474" s="10" t="s">
        <v>57</v>
      </c>
      <c r="K474" s="10" t="s">
        <v>153</v>
      </c>
      <c r="L474" s="10" t="s">
        <v>1548</v>
      </c>
      <c r="M474" s="10" t="s">
        <v>88</v>
      </c>
      <c r="N474" s="12">
        <v>7</v>
      </c>
      <c r="O474" s="12">
        <v>263.45999999999998</v>
      </c>
      <c r="P474" s="12">
        <v>0</v>
      </c>
      <c r="Q474" s="12">
        <v>1844.22</v>
      </c>
      <c r="R474" s="12">
        <v>1094.21</v>
      </c>
      <c r="S474" s="12">
        <v>750.01</v>
      </c>
      <c r="T474" s="10" t="s">
        <v>61</v>
      </c>
      <c r="U474" s="13" t="s">
        <v>62</v>
      </c>
      <c r="V474" s="14" t="e">
        <f t="shared" ca="1" si="0"/>
        <v>#NAME?</v>
      </c>
      <c r="W474" s="10" t="str">
        <f ca="1">IFERROR(__xludf.DUMMYFUNCTION("IF(COUNTIF($A:$A,A468)=1,
""Unique"",
IF(COUNTUNIQUE(FILTER($V$2:$V$934,$A$2:$A$934=A468))&gt;1,
""Conflicting Duplicate"",
""Exact Duplicate""))"),"Unique")</f>
        <v>Unique</v>
      </c>
      <c r="X474" s="10" t="b">
        <f t="shared" ca="1" si="1"/>
        <v>1</v>
      </c>
      <c r="Y474" s="10" t="str">
        <f t="shared" si="2"/>
        <v>Unique</v>
      </c>
      <c r="Z474" s="10"/>
      <c r="AA474" s="10" t="str">
        <f t="shared" si="3"/>
        <v>Clean</v>
      </c>
      <c r="AB474" s="15" t="str">
        <f t="shared" si="4"/>
        <v>Valid</v>
      </c>
      <c r="AC474" s="15">
        <v>5</v>
      </c>
      <c r="AD474" s="16" t="str">
        <f t="shared" si="5"/>
        <v>Valid</v>
      </c>
      <c r="AE474" s="16" t="str">
        <f t="shared" si="6"/>
        <v>Valid</v>
      </c>
      <c r="AF474" s="16" t="str">
        <f t="shared" ref="AF474:AG474" si="959">IF(ISNUMBER(B474),"Valid","Invalid")</f>
        <v>Valid</v>
      </c>
      <c r="AG474" s="16" t="str">
        <f t="shared" si="959"/>
        <v>Valid</v>
      </c>
      <c r="AH474" s="16" t="str">
        <f t="shared" ref="AH474:AI474" si="960">IF(OR(B474="",ISBLANK(B474)),"Missing","Valid")</f>
        <v>Valid</v>
      </c>
      <c r="AI474" s="16" t="str">
        <f t="shared" si="960"/>
        <v>Valid</v>
      </c>
      <c r="AJ474" s="16" t="b">
        <v>0</v>
      </c>
      <c r="AK474" s="16" t="b">
        <v>0</v>
      </c>
      <c r="AL474" s="16" t="b">
        <v>0</v>
      </c>
      <c r="AM474" s="16" t="b">
        <v>0</v>
      </c>
      <c r="AN474" s="16" t="b">
        <v>0</v>
      </c>
      <c r="AO474" s="16" t="b">
        <v>0</v>
      </c>
      <c r="AP474" s="16" t="b">
        <v>0</v>
      </c>
      <c r="AQ474" s="17">
        <f t="shared" si="9"/>
        <v>0</v>
      </c>
      <c r="AR474" s="12">
        <f t="shared" si="10"/>
        <v>1844.2199999999998</v>
      </c>
      <c r="AS474" s="18">
        <f t="shared" si="11"/>
        <v>0</v>
      </c>
      <c r="AT474" s="12">
        <f t="shared" si="12"/>
        <v>750.00999999999976</v>
      </c>
      <c r="AU474" s="18">
        <f t="shared" si="13"/>
        <v>0</v>
      </c>
      <c r="AV474" s="19">
        <f t="shared" si="14"/>
        <v>0.40668141544934977</v>
      </c>
      <c r="AW474" s="20" t="str">
        <f t="shared" si="15"/>
        <v>March</v>
      </c>
      <c r="AX474" s="21">
        <f t="shared" si="16"/>
        <v>2024</v>
      </c>
    </row>
    <row r="475" spans="1:50" ht="15.75" customHeight="1">
      <c r="A475" s="10" t="s">
        <v>1549</v>
      </c>
      <c r="B475" s="11">
        <v>45609</v>
      </c>
      <c r="C475" s="11">
        <v>45609</v>
      </c>
      <c r="D475" s="10" t="s">
        <v>1550</v>
      </c>
      <c r="E475" s="10" t="s">
        <v>143</v>
      </c>
      <c r="F475" s="10" t="s">
        <v>53</v>
      </c>
      <c r="G475" s="10" t="s">
        <v>92</v>
      </c>
      <c r="H475" s="10" t="s">
        <v>219</v>
      </c>
      <c r="I475" s="10" t="s">
        <v>220</v>
      </c>
      <c r="J475" s="10" t="s">
        <v>103</v>
      </c>
      <c r="K475" s="10" t="s">
        <v>109</v>
      </c>
      <c r="L475" s="10" t="s">
        <v>1551</v>
      </c>
      <c r="M475" s="10" t="s">
        <v>88</v>
      </c>
      <c r="N475" s="12">
        <v>6</v>
      </c>
      <c r="O475" s="12">
        <v>191.45</v>
      </c>
      <c r="P475" s="12">
        <v>0.2</v>
      </c>
      <c r="Q475" s="12">
        <v>918.96</v>
      </c>
      <c r="R475" s="12">
        <v>554.17999999999995</v>
      </c>
      <c r="S475" s="12">
        <v>364.78</v>
      </c>
      <c r="T475" s="10" t="s">
        <v>61</v>
      </c>
      <c r="U475" s="13" t="s">
        <v>62</v>
      </c>
      <c r="V475" s="14" t="e">
        <f t="shared" ca="1" si="0"/>
        <v>#NAME?</v>
      </c>
      <c r="W475" s="10" t="str">
        <f ca="1">IFERROR(__xludf.DUMMYFUNCTION("IF(COUNTIF($A:$A,A469)=1,
""Unique"",
IF(COUNTUNIQUE(FILTER($V$2:$V$934,$A$2:$A$934=A469))&gt;1,
""Conflicting Duplicate"",
""Exact Duplicate""))"),"Unique")</f>
        <v>Unique</v>
      </c>
      <c r="X475" s="10" t="b">
        <f t="shared" ca="1" si="1"/>
        <v>1</v>
      </c>
      <c r="Y475" s="10" t="str">
        <f t="shared" si="2"/>
        <v>Unique</v>
      </c>
      <c r="Z475" s="10"/>
      <c r="AA475" s="10" t="str">
        <f t="shared" si="3"/>
        <v>Clean</v>
      </c>
      <c r="AB475" s="15" t="str">
        <f t="shared" si="4"/>
        <v>Valid</v>
      </c>
      <c r="AC475" s="15">
        <v>0</v>
      </c>
      <c r="AD475" s="16" t="str">
        <f t="shared" si="5"/>
        <v>Valid</v>
      </c>
      <c r="AE475" s="16" t="str">
        <f t="shared" si="6"/>
        <v>Valid</v>
      </c>
      <c r="AF475" s="16" t="str">
        <f t="shared" ref="AF475:AG475" si="961">IF(ISNUMBER(B475),"Valid","Invalid")</f>
        <v>Valid</v>
      </c>
      <c r="AG475" s="16" t="str">
        <f t="shared" si="961"/>
        <v>Valid</v>
      </c>
      <c r="AH475" s="16" t="str">
        <f t="shared" ref="AH475:AI475" si="962">IF(OR(B475="",ISBLANK(B475)),"Missing","Valid")</f>
        <v>Valid</v>
      </c>
      <c r="AI475" s="16" t="str">
        <f t="shared" si="962"/>
        <v>Valid</v>
      </c>
      <c r="AJ475" s="16" t="b">
        <v>0</v>
      </c>
      <c r="AK475" s="16" t="b">
        <v>0</v>
      </c>
      <c r="AL475" s="16" t="b">
        <v>0</v>
      </c>
      <c r="AM475" s="16" t="b">
        <v>0</v>
      </c>
      <c r="AN475" s="16" t="b">
        <v>0</v>
      </c>
      <c r="AO475" s="16" t="b">
        <v>0</v>
      </c>
      <c r="AP475" s="16" t="b">
        <v>0</v>
      </c>
      <c r="AQ475" s="17">
        <f t="shared" si="9"/>
        <v>0.2</v>
      </c>
      <c r="AR475" s="12">
        <f t="shared" si="10"/>
        <v>918.95999999999992</v>
      </c>
      <c r="AS475" s="18">
        <f t="shared" si="11"/>
        <v>0</v>
      </c>
      <c r="AT475" s="12">
        <f t="shared" si="12"/>
        <v>364.78</v>
      </c>
      <c r="AU475" s="18">
        <f t="shared" si="13"/>
        <v>0</v>
      </c>
      <c r="AV475" s="19">
        <f t="shared" si="14"/>
        <v>0.39694872464525116</v>
      </c>
      <c r="AW475" s="20" t="str">
        <f t="shared" si="15"/>
        <v>November</v>
      </c>
      <c r="AX475" s="21">
        <f t="shared" si="16"/>
        <v>2024</v>
      </c>
    </row>
    <row r="476" spans="1:50" ht="15.75" customHeight="1">
      <c r="A476" s="10" t="s">
        <v>1552</v>
      </c>
      <c r="B476" s="11">
        <v>45446</v>
      </c>
      <c r="C476" s="11">
        <v>45453</v>
      </c>
      <c r="D476" s="10" t="s">
        <v>1553</v>
      </c>
      <c r="E476" s="10" t="s">
        <v>191</v>
      </c>
      <c r="F476" s="10" t="s">
        <v>119</v>
      </c>
      <c r="G476" s="10" t="s">
        <v>54</v>
      </c>
      <c r="H476" s="10" t="s">
        <v>151</v>
      </c>
      <c r="I476" s="10" t="s">
        <v>152</v>
      </c>
      <c r="J476" s="10" t="s">
        <v>70</v>
      </c>
      <c r="K476" s="10" t="s">
        <v>86</v>
      </c>
      <c r="L476" s="10" t="s">
        <v>1554</v>
      </c>
      <c r="M476" s="10" t="s">
        <v>88</v>
      </c>
      <c r="N476" s="12">
        <v>3</v>
      </c>
      <c r="O476" s="12">
        <v>1633.57</v>
      </c>
      <c r="P476" s="12">
        <v>0</v>
      </c>
      <c r="Q476" s="12">
        <v>4900.71</v>
      </c>
      <c r="R476" s="12">
        <v>2713.9</v>
      </c>
      <c r="S476" s="12">
        <v>2186.81</v>
      </c>
      <c r="T476" s="10" t="s">
        <v>61</v>
      </c>
      <c r="U476" s="13" t="s">
        <v>62</v>
      </c>
      <c r="V476" s="14" t="e">
        <f t="shared" ca="1" si="0"/>
        <v>#NAME?</v>
      </c>
      <c r="W476" s="10" t="str">
        <f ca="1">IFERROR(__xludf.DUMMYFUNCTION("IF(COUNTIF($A:$A,A470)=1,
""Unique"",
IF(COUNTUNIQUE(FILTER($V$2:$V$934,$A$2:$A$934=A470))&gt;1,
""Conflicting Duplicate"",
""Exact Duplicate""))"),"Unique")</f>
        <v>Unique</v>
      </c>
      <c r="X476" s="10" t="b">
        <f t="shared" ca="1" si="1"/>
        <v>1</v>
      </c>
      <c r="Y476" s="10" t="str">
        <f t="shared" si="2"/>
        <v>Unique</v>
      </c>
      <c r="Z476" s="10"/>
      <c r="AA476" s="10" t="str">
        <f t="shared" si="3"/>
        <v>Clean</v>
      </c>
      <c r="AB476" s="15" t="str">
        <f t="shared" si="4"/>
        <v>Valid</v>
      </c>
      <c r="AC476" s="15">
        <v>7</v>
      </c>
      <c r="AD476" s="16" t="str">
        <f t="shared" si="5"/>
        <v>Valid</v>
      </c>
      <c r="AE476" s="16" t="str">
        <f t="shared" si="6"/>
        <v>Valid</v>
      </c>
      <c r="AF476" s="16" t="str">
        <f t="shared" ref="AF476:AG476" si="963">IF(ISNUMBER(B476),"Valid","Invalid")</f>
        <v>Valid</v>
      </c>
      <c r="AG476" s="16" t="str">
        <f t="shared" si="963"/>
        <v>Valid</v>
      </c>
      <c r="AH476" s="16" t="str">
        <f t="shared" ref="AH476:AI476" si="964">IF(OR(B476="",ISBLANK(B476)),"Missing","Valid")</f>
        <v>Valid</v>
      </c>
      <c r="AI476" s="16" t="str">
        <f t="shared" si="964"/>
        <v>Valid</v>
      </c>
      <c r="AJ476" s="16" t="b">
        <v>0</v>
      </c>
      <c r="AK476" s="16" t="b">
        <v>0</v>
      </c>
      <c r="AL476" s="16" t="b">
        <v>0</v>
      </c>
      <c r="AM476" s="16" t="b">
        <v>0</v>
      </c>
      <c r="AN476" s="16" t="b">
        <v>0</v>
      </c>
      <c r="AO476" s="16" t="b">
        <v>0</v>
      </c>
      <c r="AP476" s="16" t="b">
        <v>0</v>
      </c>
      <c r="AQ476" s="17">
        <f t="shared" si="9"/>
        <v>0</v>
      </c>
      <c r="AR476" s="12">
        <f t="shared" si="10"/>
        <v>4900.71</v>
      </c>
      <c r="AS476" s="18">
        <f t="shared" si="11"/>
        <v>0</v>
      </c>
      <c r="AT476" s="12">
        <f t="shared" si="12"/>
        <v>2186.81</v>
      </c>
      <c r="AU476" s="18">
        <f t="shared" si="13"/>
        <v>0</v>
      </c>
      <c r="AV476" s="19">
        <f t="shared" si="14"/>
        <v>0.44622309828575857</v>
      </c>
      <c r="AW476" s="20" t="str">
        <f t="shared" si="15"/>
        <v>June</v>
      </c>
      <c r="AX476" s="21">
        <f t="shared" si="16"/>
        <v>2024</v>
      </c>
    </row>
    <row r="477" spans="1:50" ht="15.75" customHeight="1">
      <c r="A477" s="10" t="s">
        <v>1555</v>
      </c>
      <c r="B477" s="11">
        <v>45717</v>
      </c>
      <c r="C477" s="11">
        <v>45724</v>
      </c>
      <c r="D477" s="10" t="s">
        <v>1556</v>
      </c>
      <c r="E477" s="10" t="s">
        <v>100</v>
      </c>
      <c r="F477" s="10" t="s">
        <v>53</v>
      </c>
      <c r="G477" s="10" t="s">
        <v>67</v>
      </c>
      <c r="H477" s="10" t="s">
        <v>128</v>
      </c>
      <c r="I477" s="10" t="s">
        <v>129</v>
      </c>
      <c r="J477" s="10" t="s">
        <v>70</v>
      </c>
      <c r="K477" s="10" t="s">
        <v>95</v>
      </c>
      <c r="L477" s="10" t="s">
        <v>1557</v>
      </c>
      <c r="M477" s="10" t="s">
        <v>73</v>
      </c>
      <c r="N477" s="12">
        <v>8</v>
      </c>
      <c r="O477" s="12">
        <v>3378.82</v>
      </c>
      <c r="P477" s="12">
        <v>0.25</v>
      </c>
      <c r="Q477" s="12">
        <v>20272.919999999998</v>
      </c>
      <c r="R477" s="12">
        <v>15873.38</v>
      </c>
      <c r="S477" s="12">
        <v>4399.54</v>
      </c>
      <c r="T477" s="10" t="s">
        <v>140</v>
      </c>
      <c r="U477" s="13" t="s">
        <v>132</v>
      </c>
      <c r="V477" s="14" t="e">
        <f t="shared" ca="1" si="0"/>
        <v>#NAME?</v>
      </c>
      <c r="W477" s="10" t="str">
        <f ca="1">IFERROR(__xludf.DUMMYFUNCTION("IF(COUNTIF($A:$A,A471)=1,
""Unique"",
IF(COUNTUNIQUE(FILTER($V$2:$V$934,$A$2:$A$934=A471))&gt;1,
""Conflicting Duplicate"",
""Exact Duplicate""))"),"Unique")</f>
        <v>Unique</v>
      </c>
      <c r="X477" s="10" t="b">
        <f t="shared" ca="1" si="1"/>
        <v>1</v>
      </c>
      <c r="Y477" s="10" t="str">
        <f t="shared" si="2"/>
        <v>Unique</v>
      </c>
      <c r="Z477" s="10"/>
      <c r="AA477" s="10" t="str">
        <f t="shared" si="3"/>
        <v>Clean</v>
      </c>
      <c r="AB477" s="15" t="str">
        <f t="shared" si="4"/>
        <v>Valid</v>
      </c>
      <c r="AC477" s="15">
        <v>7</v>
      </c>
      <c r="AD477" s="16" t="str">
        <f t="shared" si="5"/>
        <v>Valid</v>
      </c>
      <c r="AE477" s="16" t="str">
        <f t="shared" si="6"/>
        <v>Valid</v>
      </c>
      <c r="AF477" s="16" t="str">
        <f t="shared" ref="AF477:AG477" si="965">IF(ISNUMBER(B477),"Valid","Invalid")</f>
        <v>Valid</v>
      </c>
      <c r="AG477" s="16" t="str">
        <f t="shared" si="965"/>
        <v>Valid</v>
      </c>
      <c r="AH477" s="16" t="str">
        <f t="shared" ref="AH477:AI477" si="966">IF(OR(B477="",ISBLANK(B477)),"Missing","Valid")</f>
        <v>Valid</v>
      </c>
      <c r="AI477" s="16" t="str">
        <f t="shared" si="966"/>
        <v>Valid</v>
      </c>
      <c r="AJ477" s="16" t="b">
        <v>0</v>
      </c>
      <c r="AK477" s="16" t="b">
        <v>0</v>
      </c>
      <c r="AL477" s="16" t="b">
        <v>0</v>
      </c>
      <c r="AM477" s="16" t="b">
        <v>0</v>
      </c>
      <c r="AN477" s="16" t="b">
        <v>0</v>
      </c>
      <c r="AO477" s="16" t="b">
        <v>0</v>
      </c>
      <c r="AP477" s="16" t="b">
        <v>0</v>
      </c>
      <c r="AQ477" s="17">
        <f t="shared" si="9"/>
        <v>0.25</v>
      </c>
      <c r="AR477" s="12">
        <f t="shared" si="10"/>
        <v>20272.920000000002</v>
      </c>
      <c r="AS477" s="18">
        <f t="shared" si="11"/>
        <v>0</v>
      </c>
      <c r="AT477" s="12">
        <f t="shared" si="12"/>
        <v>4399.5400000000027</v>
      </c>
      <c r="AU477" s="18">
        <f t="shared" si="13"/>
        <v>0</v>
      </c>
      <c r="AV477" s="19">
        <f t="shared" si="14"/>
        <v>0.21701560505344086</v>
      </c>
      <c r="AW477" s="20" t="str">
        <f t="shared" si="15"/>
        <v>March</v>
      </c>
      <c r="AX477" s="21">
        <f t="shared" si="16"/>
        <v>2025</v>
      </c>
    </row>
    <row r="478" spans="1:50" ht="15.75" customHeight="1">
      <c r="A478" s="10" t="s">
        <v>1558</v>
      </c>
      <c r="B478" s="11">
        <v>45419</v>
      </c>
      <c r="C478" s="11">
        <v>45426</v>
      </c>
      <c r="D478" s="10" t="s">
        <v>1559</v>
      </c>
      <c r="E478" s="10" t="s">
        <v>161</v>
      </c>
      <c r="F478" s="10" t="s">
        <v>66</v>
      </c>
      <c r="G478" s="10" t="s">
        <v>54</v>
      </c>
      <c r="H478" s="10" t="s">
        <v>55</v>
      </c>
      <c r="I478" s="10" t="s">
        <v>56</v>
      </c>
      <c r="J478" s="10" t="s">
        <v>57</v>
      </c>
      <c r="K478" s="10" t="s">
        <v>153</v>
      </c>
      <c r="L478" s="10" t="s">
        <v>1560</v>
      </c>
      <c r="M478" s="10" t="s">
        <v>79</v>
      </c>
      <c r="N478" s="12">
        <v>3</v>
      </c>
      <c r="O478" s="12">
        <v>383.58</v>
      </c>
      <c r="P478" s="12">
        <v>0.1</v>
      </c>
      <c r="Q478" s="12">
        <v>1035.67</v>
      </c>
      <c r="R478" s="12">
        <v>595.41999999999996</v>
      </c>
      <c r="S478" s="12">
        <v>440.25</v>
      </c>
      <c r="T478" s="10" t="s">
        <v>61</v>
      </c>
      <c r="U478" s="13" t="s">
        <v>62</v>
      </c>
      <c r="V478" s="14" t="e">
        <f t="shared" ca="1" si="0"/>
        <v>#NAME?</v>
      </c>
      <c r="W478" s="10" t="str">
        <f ca="1">IFERROR(__xludf.DUMMYFUNCTION("IF(COUNTIF($A:$A,A472)=1,
""Unique"",
IF(COUNTUNIQUE(FILTER($V$2:$V$934,$A$2:$A$934=A472))&gt;1,
""Conflicting Duplicate"",
""Exact Duplicate""))"),"Unique")</f>
        <v>Unique</v>
      </c>
      <c r="X478" s="10" t="b">
        <f t="shared" ca="1" si="1"/>
        <v>1</v>
      </c>
      <c r="Y478" s="10" t="str">
        <f t="shared" si="2"/>
        <v>Unique</v>
      </c>
      <c r="Z478" s="10"/>
      <c r="AA478" s="10" t="str">
        <f t="shared" si="3"/>
        <v>Clean</v>
      </c>
      <c r="AB478" s="15" t="str">
        <f t="shared" si="4"/>
        <v>Valid</v>
      </c>
      <c r="AC478" s="15">
        <v>7</v>
      </c>
      <c r="AD478" s="16" t="str">
        <f t="shared" si="5"/>
        <v>Valid</v>
      </c>
      <c r="AE478" s="16" t="str">
        <f t="shared" si="6"/>
        <v>Valid</v>
      </c>
      <c r="AF478" s="16" t="str">
        <f t="shared" ref="AF478:AG478" si="967">IF(ISNUMBER(B478),"Valid","Invalid")</f>
        <v>Valid</v>
      </c>
      <c r="AG478" s="16" t="str">
        <f t="shared" si="967"/>
        <v>Valid</v>
      </c>
      <c r="AH478" s="16" t="str">
        <f t="shared" ref="AH478:AI478" si="968">IF(OR(B478="",ISBLANK(B478)),"Missing","Valid")</f>
        <v>Valid</v>
      </c>
      <c r="AI478" s="16" t="str">
        <f t="shared" si="968"/>
        <v>Valid</v>
      </c>
      <c r="AJ478" s="16" t="b">
        <v>0</v>
      </c>
      <c r="AK478" s="16" t="b">
        <v>0</v>
      </c>
      <c r="AL478" s="16" t="b">
        <v>0</v>
      </c>
      <c r="AM478" s="16" t="b">
        <v>0</v>
      </c>
      <c r="AN478" s="16" t="b">
        <v>0</v>
      </c>
      <c r="AO478" s="16" t="b">
        <v>0</v>
      </c>
      <c r="AP478" s="16" t="b">
        <v>0</v>
      </c>
      <c r="AQ478" s="17">
        <f t="shared" si="9"/>
        <v>0.1</v>
      </c>
      <c r="AR478" s="12">
        <f t="shared" si="10"/>
        <v>1035.6659999999999</v>
      </c>
      <c r="AS478" s="18">
        <f t="shared" si="11"/>
        <v>4.0000000001327862E-3</v>
      </c>
      <c r="AT478" s="12">
        <f t="shared" si="12"/>
        <v>440.24599999999998</v>
      </c>
      <c r="AU478" s="18">
        <f t="shared" si="13"/>
        <v>4.0000000000190994E-3</v>
      </c>
      <c r="AV478" s="19">
        <f t="shared" si="14"/>
        <v>0.42508492120046426</v>
      </c>
      <c r="AW478" s="20" t="str">
        <f t="shared" si="15"/>
        <v>May</v>
      </c>
      <c r="AX478" s="21">
        <f t="shared" si="16"/>
        <v>2024</v>
      </c>
    </row>
    <row r="479" spans="1:50" ht="15.75" customHeight="1">
      <c r="A479" s="10" t="s">
        <v>1561</v>
      </c>
      <c r="B479" s="11">
        <v>45892</v>
      </c>
      <c r="C479" s="11">
        <v>45897</v>
      </c>
      <c r="D479" s="10" t="s">
        <v>1562</v>
      </c>
      <c r="E479" s="10" t="s">
        <v>100</v>
      </c>
      <c r="F479" s="10" t="s">
        <v>119</v>
      </c>
      <c r="G479" s="10" t="s">
        <v>92</v>
      </c>
      <c r="H479" s="10" t="s">
        <v>209</v>
      </c>
      <c r="I479" s="10" t="s">
        <v>210</v>
      </c>
      <c r="J479" s="10" t="s">
        <v>70</v>
      </c>
      <c r="K479" s="10" t="s">
        <v>95</v>
      </c>
      <c r="L479" s="10" t="s">
        <v>1563</v>
      </c>
      <c r="M479" s="10" t="s">
        <v>88</v>
      </c>
      <c r="N479" s="12">
        <v>6</v>
      </c>
      <c r="O479" s="12">
        <v>2193.23</v>
      </c>
      <c r="P479" s="12">
        <v>0.1</v>
      </c>
      <c r="Q479" s="12">
        <v>11843.44</v>
      </c>
      <c r="R479" s="12">
        <v>9356.8799999999992</v>
      </c>
      <c r="S479" s="12">
        <v>2486.56</v>
      </c>
      <c r="T479" s="10" t="s">
        <v>61</v>
      </c>
      <c r="U479" s="13" t="s">
        <v>97</v>
      </c>
      <c r="V479" s="14" t="e">
        <f t="shared" ca="1" si="0"/>
        <v>#NAME?</v>
      </c>
      <c r="W479" s="10" t="str">
        <f ca="1">IFERROR(__xludf.DUMMYFUNCTION("IF(COUNTIF($A:$A,A473)=1,
""Unique"",
IF(COUNTUNIQUE(FILTER($V$2:$V$934,$A$2:$A$934=A473))&gt;1,
""Conflicting Duplicate"",
""Exact Duplicate""))"),"Unique")</f>
        <v>Unique</v>
      </c>
      <c r="X479" s="10" t="b">
        <f t="shared" ca="1" si="1"/>
        <v>1</v>
      </c>
      <c r="Y479" s="10" t="str">
        <f t="shared" si="2"/>
        <v>Unique</v>
      </c>
      <c r="Z479" s="10"/>
      <c r="AA479" s="10" t="str">
        <f t="shared" si="3"/>
        <v>Clean</v>
      </c>
      <c r="AB479" s="15" t="str">
        <f t="shared" si="4"/>
        <v>Valid</v>
      </c>
      <c r="AC479" s="15">
        <v>5</v>
      </c>
      <c r="AD479" s="16" t="str">
        <f t="shared" si="5"/>
        <v>Valid</v>
      </c>
      <c r="AE479" s="16" t="str">
        <f t="shared" si="6"/>
        <v>Valid</v>
      </c>
      <c r="AF479" s="16" t="str">
        <f t="shared" ref="AF479:AG479" si="969">IF(ISNUMBER(B479),"Valid","Invalid")</f>
        <v>Valid</v>
      </c>
      <c r="AG479" s="16" t="str">
        <f t="shared" si="969"/>
        <v>Valid</v>
      </c>
      <c r="AH479" s="16" t="str">
        <f t="shared" ref="AH479:AI479" si="970">IF(OR(B479="",ISBLANK(B479)),"Missing","Valid")</f>
        <v>Valid</v>
      </c>
      <c r="AI479" s="16" t="str">
        <f t="shared" si="970"/>
        <v>Valid</v>
      </c>
      <c r="AJ479" s="16" t="b">
        <v>0</v>
      </c>
      <c r="AK479" s="16" t="b">
        <v>0</v>
      </c>
      <c r="AL479" s="16" t="b">
        <v>0</v>
      </c>
      <c r="AM479" s="16" t="b">
        <v>0</v>
      </c>
      <c r="AN479" s="16" t="b">
        <v>0</v>
      </c>
      <c r="AO479" s="16" t="b">
        <v>0</v>
      </c>
      <c r="AP479" s="16" t="b">
        <v>0</v>
      </c>
      <c r="AQ479" s="17">
        <f t="shared" si="9"/>
        <v>0.1</v>
      </c>
      <c r="AR479" s="12">
        <f t="shared" si="10"/>
        <v>11843.442000000001</v>
      </c>
      <c r="AS479" s="18">
        <f t="shared" si="11"/>
        <v>-2.0000000004074536E-3</v>
      </c>
      <c r="AT479" s="12">
        <f t="shared" si="12"/>
        <v>2486.5620000000017</v>
      </c>
      <c r="AU479" s="18">
        <f t="shared" si="13"/>
        <v>-2.0000000017716957E-3</v>
      </c>
      <c r="AV479" s="19">
        <f t="shared" si="14"/>
        <v>0.20995264721184953</v>
      </c>
      <c r="AW479" s="20" t="str">
        <f t="shared" si="15"/>
        <v>August</v>
      </c>
      <c r="AX479" s="21">
        <f t="shared" si="16"/>
        <v>2025</v>
      </c>
    </row>
    <row r="480" spans="1:50" ht="15.75" customHeight="1">
      <c r="A480" s="10" t="s">
        <v>1564</v>
      </c>
      <c r="B480" s="11">
        <v>45452</v>
      </c>
      <c r="C480" s="11">
        <v>45456</v>
      </c>
      <c r="D480" s="10" t="s">
        <v>1565</v>
      </c>
      <c r="E480" s="10" t="s">
        <v>65</v>
      </c>
      <c r="F480" s="10" t="s">
        <v>124</v>
      </c>
      <c r="G480" s="10" t="s">
        <v>234</v>
      </c>
      <c r="H480" s="10" t="s">
        <v>165</v>
      </c>
      <c r="I480" s="10" t="s">
        <v>166</v>
      </c>
      <c r="J480" s="10" t="s">
        <v>103</v>
      </c>
      <c r="K480" s="10" t="s">
        <v>304</v>
      </c>
      <c r="L480" s="10" t="s">
        <v>1566</v>
      </c>
      <c r="M480" s="10" t="s">
        <v>73</v>
      </c>
      <c r="N480" s="12">
        <v>7</v>
      </c>
      <c r="O480" s="12">
        <v>4079.71</v>
      </c>
      <c r="P480" s="12">
        <v>0.1</v>
      </c>
      <c r="Q480" s="12">
        <v>25702.17</v>
      </c>
      <c r="R480" s="12">
        <v>14571.48</v>
      </c>
      <c r="S480" s="12">
        <v>11130.69</v>
      </c>
      <c r="T480" s="10" t="s">
        <v>131</v>
      </c>
      <c r="U480" s="13" t="s">
        <v>132</v>
      </c>
      <c r="V480" s="14" t="e">
        <f t="shared" ca="1" si="0"/>
        <v>#NAME?</v>
      </c>
      <c r="W480" s="10" t="str">
        <f ca="1">IFERROR(__xludf.DUMMYFUNCTION("IF(COUNTIF($A:$A,A474)=1,
""Unique"",
IF(COUNTUNIQUE(FILTER($V$2:$V$934,$A$2:$A$934=A474))&gt;1,
""Conflicting Duplicate"",
""Exact Duplicate""))"),"Unique")</f>
        <v>Unique</v>
      </c>
      <c r="X480" s="10" t="b">
        <f t="shared" ca="1" si="1"/>
        <v>1</v>
      </c>
      <c r="Y480" s="10" t="str">
        <f t="shared" si="2"/>
        <v>Unique</v>
      </c>
      <c r="Z480" s="10"/>
      <c r="AA480" s="10" t="str">
        <f t="shared" si="3"/>
        <v>Warning</v>
      </c>
      <c r="AB480" s="15" t="str">
        <f t="shared" si="4"/>
        <v>Valid</v>
      </c>
      <c r="AC480" s="15">
        <v>4</v>
      </c>
      <c r="AD480" s="16" t="str">
        <f t="shared" si="5"/>
        <v>Valid</v>
      </c>
      <c r="AE480" s="16" t="str">
        <f t="shared" si="6"/>
        <v>Valid</v>
      </c>
      <c r="AF480" s="16" t="str">
        <f t="shared" ref="AF480:AG480" si="971">IF(ISNUMBER(B480),"Valid","Invalid")</f>
        <v>Valid</v>
      </c>
      <c r="AG480" s="16" t="str">
        <f t="shared" si="971"/>
        <v>Valid</v>
      </c>
      <c r="AH480" s="16" t="str">
        <f t="shared" ref="AH480:AI480" si="972">IF(OR(B480="",ISBLANK(B480)),"Missing","Valid")</f>
        <v>Valid</v>
      </c>
      <c r="AI480" s="16" t="str">
        <f t="shared" si="972"/>
        <v>Valid</v>
      </c>
      <c r="AJ480" s="16" t="b">
        <v>1</v>
      </c>
      <c r="AK480" s="16" t="b">
        <v>0</v>
      </c>
      <c r="AL480" s="16" t="b">
        <v>0</v>
      </c>
      <c r="AM480" s="16" t="b">
        <v>0</v>
      </c>
      <c r="AN480" s="16" t="b">
        <v>0</v>
      </c>
      <c r="AO480" s="16" t="b">
        <v>0</v>
      </c>
      <c r="AP480" s="16" t="b">
        <v>1</v>
      </c>
      <c r="AQ480" s="17">
        <f t="shared" si="9"/>
        <v>0.1</v>
      </c>
      <c r="AR480" s="12">
        <f t="shared" si="10"/>
        <v>25702.173000000003</v>
      </c>
      <c r="AS480" s="18">
        <f t="shared" si="11"/>
        <v>-3.0000000042491592E-3</v>
      </c>
      <c r="AT480" s="12">
        <f t="shared" si="12"/>
        <v>11130.693000000003</v>
      </c>
      <c r="AU480" s="18">
        <f t="shared" si="13"/>
        <v>-3.0000000024301698E-3</v>
      </c>
      <c r="AV480" s="19">
        <f t="shared" si="14"/>
        <v>0.43306427826160854</v>
      </c>
      <c r="AW480" s="20" t="str">
        <f t="shared" si="15"/>
        <v>June</v>
      </c>
      <c r="AX480" s="21">
        <f t="shared" si="16"/>
        <v>2024</v>
      </c>
    </row>
    <row r="481" spans="1:50" ht="15.75" customHeight="1">
      <c r="A481" s="10" t="s">
        <v>1567</v>
      </c>
      <c r="B481" s="11">
        <v>45345</v>
      </c>
      <c r="C481" s="11">
        <v>45342</v>
      </c>
      <c r="D481" s="10" t="s">
        <v>1568</v>
      </c>
      <c r="E481" s="10" t="s">
        <v>82</v>
      </c>
      <c r="F481" s="10" t="s">
        <v>119</v>
      </c>
      <c r="G481" s="10" t="s">
        <v>67</v>
      </c>
      <c r="H481" s="10" t="s">
        <v>68</v>
      </c>
      <c r="I481" s="10" t="s">
        <v>69</v>
      </c>
      <c r="J481" s="10" t="s">
        <v>70</v>
      </c>
      <c r="K481" s="10" t="s">
        <v>95</v>
      </c>
      <c r="L481" s="10" t="s">
        <v>1569</v>
      </c>
      <c r="M481" s="10" t="s">
        <v>60</v>
      </c>
      <c r="N481" s="12">
        <v>1</v>
      </c>
      <c r="O481" s="12">
        <v>2202.5500000000002</v>
      </c>
      <c r="P481" s="12">
        <v>0</v>
      </c>
      <c r="Q481" s="12">
        <v>1651.91</v>
      </c>
      <c r="R481" s="12">
        <v>1034.57</v>
      </c>
      <c r="S481" s="12">
        <v>617.34</v>
      </c>
      <c r="T481" s="10" t="s">
        <v>61</v>
      </c>
      <c r="U481" s="13" t="s">
        <v>62</v>
      </c>
      <c r="V481" s="14" t="e">
        <f t="shared" ca="1" si="0"/>
        <v>#NAME?</v>
      </c>
      <c r="W481" s="10" t="str">
        <f ca="1">IFERROR(__xludf.DUMMYFUNCTION("IF(COUNTIF($A:$A,A475)=1,
""Unique"",
IF(COUNTUNIQUE(FILTER($V$2:$V$934,$A$2:$A$934=A475))&gt;1,
""Conflicting Duplicate"",
""Exact Duplicate""))"),"Unique")</f>
        <v>Unique</v>
      </c>
      <c r="X481" s="10" t="b">
        <f t="shared" ca="1" si="1"/>
        <v>1</v>
      </c>
      <c r="Y481" s="10" t="str">
        <f t="shared" si="2"/>
        <v>Unique</v>
      </c>
      <c r="Z481" s="10"/>
      <c r="AA481" s="10" t="str">
        <f t="shared" si="3"/>
        <v>Invalid</v>
      </c>
      <c r="AB481" s="15" t="str">
        <f t="shared" si="4"/>
        <v>Invalid</v>
      </c>
      <c r="AC481" s="15">
        <v>-3</v>
      </c>
      <c r="AD481" s="16" t="str">
        <f t="shared" si="5"/>
        <v>Invalid Shipping Date</v>
      </c>
      <c r="AE481" s="16" t="str">
        <f t="shared" si="6"/>
        <v>Valid</v>
      </c>
      <c r="AF481" s="16" t="str">
        <f t="shared" ref="AF481:AG481" si="973">IF(ISNUMBER(B481),"Valid","Invalid")</f>
        <v>Valid</v>
      </c>
      <c r="AG481" s="16" t="str">
        <f t="shared" si="973"/>
        <v>Valid</v>
      </c>
      <c r="AH481" s="16" t="str">
        <f t="shared" ref="AH481:AI481" si="974">IF(OR(B481="",ISBLANK(B481)),"Missing","Valid")</f>
        <v>Valid</v>
      </c>
      <c r="AI481" s="16" t="str">
        <f t="shared" si="974"/>
        <v>Valid</v>
      </c>
      <c r="AJ481" s="16" t="b">
        <v>0</v>
      </c>
      <c r="AK481" s="16" t="b">
        <v>0</v>
      </c>
      <c r="AL481" s="16" t="b">
        <v>1</v>
      </c>
      <c r="AM481" s="16" t="b">
        <v>0</v>
      </c>
      <c r="AN481" s="16" t="b">
        <v>0</v>
      </c>
      <c r="AO481" s="16" t="b">
        <v>1</v>
      </c>
      <c r="AP481" s="16" t="b">
        <v>1</v>
      </c>
      <c r="AQ481" s="17">
        <f t="shared" si="9"/>
        <v>0</v>
      </c>
      <c r="AR481" s="12">
        <f t="shared" si="10"/>
        <v>2202.5500000000002</v>
      </c>
      <c r="AS481" s="18">
        <f t="shared" si="11"/>
        <v>-550.6400000000001</v>
      </c>
      <c r="AT481" s="12">
        <f t="shared" si="12"/>
        <v>1167.9800000000002</v>
      </c>
      <c r="AU481" s="18">
        <f t="shared" si="13"/>
        <v>-550.64000000000021</v>
      </c>
      <c r="AV481" s="19">
        <f t="shared" si="14"/>
        <v>0.53028535107035035</v>
      </c>
      <c r="AW481" s="20" t="str">
        <f t="shared" si="15"/>
        <v>February</v>
      </c>
      <c r="AX481" s="21">
        <f t="shared" si="16"/>
        <v>2024</v>
      </c>
    </row>
    <row r="482" spans="1:50" ht="15.75" customHeight="1">
      <c r="A482" s="10" t="s">
        <v>1570</v>
      </c>
      <c r="B482" s="11">
        <v>45662</v>
      </c>
      <c r="C482" s="11">
        <v>45666</v>
      </c>
      <c r="D482" s="10" t="s">
        <v>1571</v>
      </c>
      <c r="E482" s="10" t="s">
        <v>108</v>
      </c>
      <c r="F482" s="10" t="s">
        <v>66</v>
      </c>
      <c r="G482" s="10" t="s">
        <v>83</v>
      </c>
      <c r="H482" s="10" t="s">
        <v>277</v>
      </c>
      <c r="I482" s="10" t="s">
        <v>278</v>
      </c>
      <c r="J482" s="10" t="s">
        <v>57</v>
      </c>
      <c r="K482" s="10" t="s">
        <v>153</v>
      </c>
      <c r="L482" s="10" t="s">
        <v>1572</v>
      </c>
      <c r="M482" s="10" t="s">
        <v>234</v>
      </c>
      <c r="N482" s="12">
        <v>5</v>
      </c>
      <c r="O482" s="12">
        <v>905.16</v>
      </c>
      <c r="P482" s="12">
        <v>0</v>
      </c>
      <c r="Q482" s="12">
        <v>4525.8</v>
      </c>
      <c r="R482" s="12">
        <v>2714.51</v>
      </c>
      <c r="S482" s="12">
        <v>1811.29</v>
      </c>
      <c r="T482" s="10" t="s">
        <v>61</v>
      </c>
      <c r="U482" s="13" t="s">
        <v>62</v>
      </c>
      <c r="V482" s="14" t="e">
        <f t="shared" ca="1" si="0"/>
        <v>#NAME?</v>
      </c>
      <c r="W482" s="10" t="str">
        <f ca="1">IFERROR(__xludf.DUMMYFUNCTION("IF(COUNTIF($A:$A,A476)=1,
""Unique"",
IF(COUNTUNIQUE(FILTER($V$2:$V$934,$A$2:$A$934=A476))&gt;1,
""Conflicting Duplicate"",
""Exact Duplicate""))"),"Unique")</f>
        <v>Unique</v>
      </c>
      <c r="X482" s="10" t="b">
        <f t="shared" ca="1" si="1"/>
        <v>1</v>
      </c>
      <c r="Y482" s="10" t="str">
        <f t="shared" si="2"/>
        <v>Unique</v>
      </c>
      <c r="Z482" s="10"/>
      <c r="AA482" s="10" t="str">
        <f t="shared" si="3"/>
        <v>Warning</v>
      </c>
      <c r="AB482" s="15" t="str">
        <f t="shared" si="4"/>
        <v>Valid</v>
      </c>
      <c r="AC482" s="15">
        <v>4</v>
      </c>
      <c r="AD482" s="16" t="str">
        <f t="shared" si="5"/>
        <v>Valid</v>
      </c>
      <c r="AE482" s="16" t="str">
        <f t="shared" si="6"/>
        <v>Valid</v>
      </c>
      <c r="AF482" s="16" t="str">
        <f t="shared" ref="AF482:AG482" si="975">IF(ISNUMBER(B482),"Valid","Invalid")</f>
        <v>Valid</v>
      </c>
      <c r="AG482" s="16" t="str">
        <f t="shared" si="975"/>
        <v>Valid</v>
      </c>
      <c r="AH482" s="16" t="str">
        <f t="shared" ref="AH482:AI482" si="976">IF(OR(B482="",ISBLANK(B482)),"Missing","Valid")</f>
        <v>Valid</v>
      </c>
      <c r="AI482" s="16" t="str">
        <f t="shared" si="976"/>
        <v>Valid</v>
      </c>
      <c r="AJ482" s="16" t="b">
        <v>0</v>
      </c>
      <c r="AK482" s="16" t="b">
        <v>1</v>
      </c>
      <c r="AL482" s="16" t="b">
        <v>0</v>
      </c>
      <c r="AM482" s="16" t="b">
        <v>0</v>
      </c>
      <c r="AN482" s="16" t="b">
        <v>0</v>
      </c>
      <c r="AO482" s="16" t="b">
        <v>0</v>
      </c>
      <c r="AP482" s="16" t="b">
        <v>1</v>
      </c>
      <c r="AQ482" s="17">
        <f t="shared" si="9"/>
        <v>0</v>
      </c>
      <c r="AR482" s="12">
        <f t="shared" si="10"/>
        <v>4525.8</v>
      </c>
      <c r="AS482" s="18">
        <f t="shared" si="11"/>
        <v>0</v>
      </c>
      <c r="AT482" s="12">
        <f t="shared" si="12"/>
        <v>1811.29</v>
      </c>
      <c r="AU482" s="18">
        <f t="shared" si="13"/>
        <v>0</v>
      </c>
      <c r="AV482" s="19">
        <f t="shared" si="14"/>
        <v>0.40021432674886204</v>
      </c>
      <c r="AW482" s="20" t="str">
        <f t="shared" si="15"/>
        <v>January</v>
      </c>
      <c r="AX482" s="21">
        <f t="shared" si="16"/>
        <v>2025</v>
      </c>
    </row>
    <row r="483" spans="1:50" ht="15.75" customHeight="1">
      <c r="A483" s="10" t="s">
        <v>1573</v>
      </c>
      <c r="B483" s="11">
        <v>45813</v>
      </c>
      <c r="C483" s="11">
        <v>45821</v>
      </c>
      <c r="D483" s="10" t="s">
        <v>1574</v>
      </c>
      <c r="E483" s="10" t="s">
        <v>76</v>
      </c>
      <c r="F483" s="10" t="s">
        <v>53</v>
      </c>
      <c r="G483" s="10" t="s">
        <v>54</v>
      </c>
      <c r="H483" s="10" t="s">
        <v>165</v>
      </c>
      <c r="I483" s="10" t="s">
        <v>166</v>
      </c>
      <c r="J483" s="10" t="s">
        <v>103</v>
      </c>
      <c r="K483" s="10" t="s">
        <v>304</v>
      </c>
      <c r="L483" s="10" t="s">
        <v>1575</v>
      </c>
      <c r="M483" s="10" t="s">
        <v>73</v>
      </c>
      <c r="N483" s="12">
        <v>4</v>
      </c>
      <c r="O483" s="12">
        <v>2793.88</v>
      </c>
      <c r="P483" s="10" t="s">
        <v>797</v>
      </c>
      <c r="Q483" s="12">
        <v>10616.74</v>
      </c>
      <c r="R483" s="12">
        <v>6353.59</v>
      </c>
      <c r="S483" s="12">
        <v>4263.1499999999996</v>
      </c>
      <c r="T483" s="10" t="s">
        <v>61</v>
      </c>
      <c r="U483" s="13" t="s">
        <v>62</v>
      </c>
      <c r="V483" s="14" t="e">
        <f t="shared" ca="1" si="0"/>
        <v>#NAME?</v>
      </c>
      <c r="W483" s="10" t="str">
        <f ca="1">IFERROR(__xludf.DUMMYFUNCTION("IF(COUNTIF($A:$A,A477)=1,
""Unique"",
IF(COUNTUNIQUE(FILTER($V$2:$V$934,$A$2:$A$934=A477))&gt;1,
""Conflicting Duplicate"",
""Exact Duplicate""))"),"Unique")</f>
        <v>Unique</v>
      </c>
      <c r="X483" s="10" t="b">
        <f t="shared" ca="1" si="1"/>
        <v>1</v>
      </c>
      <c r="Y483" s="10" t="str">
        <f t="shared" si="2"/>
        <v>Unique</v>
      </c>
      <c r="Z483" s="10"/>
      <c r="AA483" s="10" t="str">
        <f t="shared" si="3"/>
        <v>Invalid</v>
      </c>
      <c r="AB483" s="15" t="str">
        <f t="shared" si="4"/>
        <v>Valid</v>
      </c>
      <c r="AC483" s="15">
        <v>8</v>
      </c>
      <c r="AD483" s="16" t="str">
        <f t="shared" si="5"/>
        <v>Valid</v>
      </c>
      <c r="AE483" s="16" t="str">
        <f t="shared" si="6"/>
        <v>Valid</v>
      </c>
      <c r="AF483" s="16" t="str">
        <f t="shared" ref="AF483:AG483" si="977">IF(ISNUMBER(B483),"Valid","Invalid")</f>
        <v>Valid</v>
      </c>
      <c r="AG483" s="16" t="str">
        <f t="shared" si="977"/>
        <v>Valid</v>
      </c>
      <c r="AH483" s="16" t="str">
        <f t="shared" ref="AH483:AI483" si="978">IF(OR(B483="",ISBLANK(B483)),"Missing","Valid")</f>
        <v>Valid</v>
      </c>
      <c r="AI483" s="16" t="str">
        <f t="shared" si="978"/>
        <v>Valid</v>
      </c>
      <c r="AJ483" s="16" t="b">
        <v>0</v>
      </c>
      <c r="AK483" s="16" t="b">
        <v>0</v>
      </c>
      <c r="AL483" s="16" t="b">
        <v>0</v>
      </c>
      <c r="AM483" s="16" t="b">
        <v>0</v>
      </c>
      <c r="AN483" s="16" t="b">
        <v>0</v>
      </c>
      <c r="AO483" s="16" t="b">
        <v>0</v>
      </c>
      <c r="AP483" s="16" t="b">
        <v>0</v>
      </c>
      <c r="AQ483" s="17" t="str">
        <f t="shared" si="9"/>
        <v>85%</v>
      </c>
      <c r="AR483" s="12">
        <f t="shared" si="10"/>
        <v>1676.3280000000002</v>
      </c>
      <c r="AS483" s="18">
        <f t="shared" si="11"/>
        <v>8940.4120000000003</v>
      </c>
      <c r="AT483" s="12">
        <f t="shared" si="12"/>
        <v>-4677.2619999999997</v>
      </c>
      <c r="AU483" s="18">
        <f t="shared" si="13"/>
        <v>8940.4120000000003</v>
      </c>
      <c r="AV483" s="19">
        <f t="shared" si="14"/>
        <v>-2.7901830667983827</v>
      </c>
      <c r="AW483" s="20" t="str">
        <f t="shared" si="15"/>
        <v>June</v>
      </c>
      <c r="AX483" s="21">
        <f t="shared" si="16"/>
        <v>2025</v>
      </c>
    </row>
    <row r="484" spans="1:50" ht="15.75" customHeight="1">
      <c r="A484" s="10" t="s">
        <v>1576</v>
      </c>
      <c r="B484" s="11">
        <v>45495</v>
      </c>
      <c r="C484" s="11">
        <v>45495</v>
      </c>
      <c r="D484" s="10" t="s">
        <v>1577</v>
      </c>
      <c r="E484" s="10" t="s">
        <v>143</v>
      </c>
      <c r="F484" s="10" t="s">
        <v>53</v>
      </c>
      <c r="G484" s="10" t="s">
        <v>83</v>
      </c>
      <c r="H484" s="10" t="s">
        <v>204</v>
      </c>
      <c r="I484" s="10" t="s">
        <v>205</v>
      </c>
      <c r="J484" s="10" t="s">
        <v>103</v>
      </c>
      <c r="K484" s="10" t="s">
        <v>104</v>
      </c>
      <c r="L484" s="10" t="s">
        <v>1578</v>
      </c>
      <c r="M484" s="10" t="s">
        <v>60</v>
      </c>
      <c r="N484" s="12">
        <v>3</v>
      </c>
      <c r="O484" s="12">
        <v>1286.22</v>
      </c>
      <c r="P484" s="12">
        <v>0.25</v>
      </c>
      <c r="Q484" s="12">
        <v>2893.99</v>
      </c>
      <c r="R484" s="12">
        <v>1856.03</v>
      </c>
      <c r="S484" s="12">
        <v>1037.96</v>
      </c>
      <c r="T484" s="10" t="s">
        <v>61</v>
      </c>
      <c r="U484" s="13" t="s">
        <v>62</v>
      </c>
      <c r="V484" s="14" t="e">
        <f t="shared" ca="1" si="0"/>
        <v>#NAME?</v>
      </c>
      <c r="W484" s="10" t="str">
        <f ca="1">IFERROR(__xludf.DUMMYFUNCTION("IF(COUNTIF($A:$A,A478)=1,
""Unique"",
IF(COUNTUNIQUE(FILTER($V$2:$V$934,$A$2:$A$934=A478))&gt;1,
""Conflicting Duplicate"",
""Exact Duplicate""))"),"Unique")</f>
        <v>Unique</v>
      </c>
      <c r="X484" s="10" t="b">
        <f t="shared" ca="1" si="1"/>
        <v>1</v>
      </c>
      <c r="Y484" s="10" t="str">
        <f t="shared" si="2"/>
        <v>Unique</v>
      </c>
      <c r="Z484" s="10"/>
      <c r="AA484" s="10" t="str">
        <f t="shared" si="3"/>
        <v>Clean</v>
      </c>
      <c r="AB484" s="15" t="str">
        <f t="shared" si="4"/>
        <v>Valid</v>
      </c>
      <c r="AC484" s="15">
        <v>0</v>
      </c>
      <c r="AD484" s="16" t="str">
        <f t="shared" si="5"/>
        <v>Valid</v>
      </c>
      <c r="AE484" s="16" t="str">
        <f t="shared" si="6"/>
        <v>Valid</v>
      </c>
      <c r="AF484" s="16" t="str">
        <f t="shared" ref="AF484:AG484" si="979">IF(ISNUMBER(B484),"Valid","Invalid")</f>
        <v>Valid</v>
      </c>
      <c r="AG484" s="16" t="str">
        <f t="shared" si="979"/>
        <v>Valid</v>
      </c>
      <c r="AH484" s="16" t="str">
        <f t="shared" ref="AH484:AI484" si="980">IF(OR(B484="",ISBLANK(B484)),"Missing","Valid")</f>
        <v>Valid</v>
      </c>
      <c r="AI484" s="16" t="str">
        <f t="shared" si="980"/>
        <v>Valid</v>
      </c>
      <c r="AJ484" s="16" t="b">
        <v>0</v>
      </c>
      <c r="AK484" s="16" t="b">
        <v>0</v>
      </c>
      <c r="AL484" s="16" t="b">
        <v>0</v>
      </c>
      <c r="AM484" s="16" t="b">
        <v>0</v>
      </c>
      <c r="AN484" s="16" t="b">
        <v>0</v>
      </c>
      <c r="AO484" s="16" t="b">
        <v>0</v>
      </c>
      <c r="AP484" s="16" t="b">
        <v>0</v>
      </c>
      <c r="AQ484" s="17">
        <f t="shared" si="9"/>
        <v>0.25</v>
      </c>
      <c r="AR484" s="12">
        <f t="shared" si="10"/>
        <v>2893.9949999999999</v>
      </c>
      <c r="AS484" s="18">
        <f t="shared" si="11"/>
        <v>-5.0000000001091394E-3</v>
      </c>
      <c r="AT484" s="12">
        <f t="shared" si="12"/>
        <v>1037.9649999999999</v>
      </c>
      <c r="AU484" s="18">
        <f t="shared" si="13"/>
        <v>-4.9999999998817657E-3</v>
      </c>
      <c r="AV484" s="19">
        <f t="shared" si="14"/>
        <v>0.35866164247001114</v>
      </c>
      <c r="AW484" s="20" t="str">
        <f t="shared" si="15"/>
        <v>July</v>
      </c>
      <c r="AX484" s="21">
        <f t="shared" si="16"/>
        <v>2024</v>
      </c>
    </row>
    <row r="485" spans="1:50" ht="15.75" customHeight="1">
      <c r="A485" s="10" t="s">
        <v>1579</v>
      </c>
      <c r="B485" s="11">
        <v>45651</v>
      </c>
      <c r="C485" s="11">
        <v>45651</v>
      </c>
      <c r="D485" s="10" t="s">
        <v>1580</v>
      </c>
      <c r="E485" s="10" t="s">
        <v>65</v>
      </c>
      <c r="F485" s="10" t="s">
        <v>119</v>
      </c>
      <c r="G485" s="10" t="s">
        <v>67</v>
      </c>
      <c r="H485" s="10" t="s">
        <v>174</v>
      </c>
      <c r="I485" s="10" t="s">
        <v>175</v>
      </c>
      <c r="J485" s="10" t="s">
        <v>103</v>
      </c>
      <c r="K485" s="10" t="s">
        <v>109</v>
      </c>
      <c r="L485" s="10" t="s">
        <v>1581</v>
      </c>
      <c r="M485" s="10" t="s">
        <v>88</v>
      </c>
      <c r="N485" s="12">
        <v>1</v>
      </c>
      <c r="O485" s="12">
        <v>829.66</v>
      </c>
      <c r="P485" s="12">
        <v>0.15</v>
      </c>
      <c r="Q485" s="12">
        <v>705.21</v>
      </c>
      <c r="R485" s="12">
        <v>438.32</v>
      </c>
      <c r="S485" s="12">
        <v>266.89</v>
      </c>
      <c r="T485" s="10" t="s">
        <v>61</v>
      </c>
      <c r="U485" s="13" t="s">
        <v>62</v>
      </c>
      <c r="V485" s="14" t="e">
        <f t="shared" ca="1" si="0"/>
        <v>#NAME?</v>
      </c>
      <c r="W485" s="10" t="str">
        <f ca="1">IFERROR(__xludf.DUMMYFUNCTION("IF(COUNTIF($A:$A,A479)=1,
""Unique"",
IF(COUNTUNIQUE(FILTER($V$2:$V$934,$A$2:$A$934=A479))&gt;1,
""Conflicting Duplicate"",
""Exact Duplicate""))"),"Unique")</f>
        <v>Unique</v>
      </c>
      <c r="X485" s="10" t="b">
        <f t="shared" ca="1" si="1"/>
        <v>1</v>
      </c>
      <c r="Y485" s="10" t="str">
        <f t="shared" si="2"/>
        <v>Unique</v>
      </c>
      <c r="Z485" s="10"/>
      <c r="AA485" s="10" t="str">
        <f t="shared" si="3"/>
        <v>Clean</v>
      </c>
      <c r="AB485" s="15" t="str">
        <f t="shared" si="4"/>
        <v>Valid</v>
      </c>
      <c r="AC485" s="15">
        <v>0</v>
      </c>
      <c r="AD485" s="16" t="str">
        <f t="shared" si="5"/>
        <v>Valid</v>
      </c>
      <c r="AE485" s="16" t="str">
        <f t="shared" si="6"/>
        <v>Valid</v>
      </c>
      <c r="AF485" s="16" t="str">
        <f t="shared" ref="AF485:AG485" si="981">IF(ISNUMBER(B485),"Valid","Invalid")</f>
        <v>Valid</v>
      </c>
      <c r="AG485" s="16" t="str">
        <f t="shared" si="981"/>
        <v>Valid</v>
      </c>
      <c r="AH485" s="16" t="str">
        <f t="shared" ref="AH485:AI485" si="982">IF(OR(B485="",ISBLANK(B485)),"Missing","Valid")</f>
        <v>Valid</v>
      </c>
      <c r="AI485" s="16" t="str">
        <f t="shared" si="982"/>
        <v>Valid</v>
      </c>
      <c r="AJ485" s="16" t="b">
        <v>0</v>
      </c>
      <c r="AK485" s="16" t="b">
        <v>0</v>
      </c>
      <c r="AL485" s="16" t="b">
        <v>0</v>
      </c>
      <c r="AM485" s="16" t="b">
        <v>0</v>
      </c>
      <c r="AN485" s="16" t="b">
        <v>0</v>
      </c>
      <c r="AO485" s="16" t="b">
        <v>0</v>
      </c>
      <c r="AP485" s="16" t="b">
        <v>0</v>
      </c>
      <c r="AQ485" s="17">
        <f t="shared" si="9"/>
        <v>0.15</v>
      </c>
      <c r="AR485" s="12">
        <f t="shared" si="10"/>
        <v>705.2109999999999</v>
      </c>
      <c r="AS485" s="18">
        <f t="shared" si="11"/>
        <v>-9.999999998626663E-4</v>
      </c>
      <c r="AT485" s="12">
        <f t="shared" si="12"/>
        <v>266.89099999999991</v>
      </c>
      <c r="AU485" s="18">
        <f t="shared" si="13"/>
        <v>-9.9999999991950972E-4</v>
      </c>
      <c r="AV485" s="19">
        <f t="shared" si="14"/>
        <v>0.37845552607659261</v>
      </c>
      <c r="AW485" s="20" t="str">
        <f t="shared" si="15"/>
        <v>December</v>
      </c>
      <c r="AX485" s="21">
        <f t="shared" si="16"/>
        <v>2024</v>
      </c>
    </row>
    <row r="486" spans="1:50" ht="15.75" customHeight="1">
      <c r="A486" s="10" t="s">
        <v>1582</v>
      </c>
      <c r="B486" s="11">
        <v>45654</v>
      </c>
      <c r="C486" s="11">
        <v>45657</v>
      </c>
      <c r="D486" s="10" t="s">
        <v>1583</v>
      </c>
      <c r="E486" s="10" t="s">
        <v>65</v>
      </c>
      <c r="F486" s="10" t="s">
        <v>66</v>
      </c>
      <c r="G486" s="10" t="s">
        <v>83</v>
      </c>
      <c r="H486" s="10" t="s">
        <v>113</v>
      </c>
      <c r="I486" s="10" t="s">
        <v>114</v>
      </c>
      <c r="J486" s="10" t="s">
        <v>70</v>
      </c>
      <c r="K486" s="10" t="s">
        <v>86</v>
      </c>
      <c r="L486" s="10" t="s">
        <v>1584</v>
      </c>
      <c r="M486" s="10" t="s">
        <v>79</v>
      </c>
      <c r="N486" s="12">
        <v>6</v>
      </c>
      <c r="O486" s="12">
        <v>3641.22</v>
      </c>
      <c r="P486" s="12">
        <v>0.25</v>
      </c>
      <c r="Q486" s="12">
        <v>16385.490000000002</v>
      </c>
      <c r="R486" s="12">
        <v>13679.24</v>
      </c>
      <c r="S486" s="12">
        <v>2706.25</v>
      </c>
      <c r="T486" s="10" t="s">
        <v>61</v>
      </c>
      <c r="U486" s="13" t="s">
        <v>62</v>
      </c>
      <c r="V486" s="14" t="e">
        <f t="shared" ca="1" si="0"/>
        <v>#NAME?</v>
      </c>
      <c r="W486" s="10" t="str">
        <f ca="1">IFERROR(__xludf.DUMMYFUNCTION("IF(COUNTIF($A:$A,A480)=1,
""Unique"",
IF(COUNTUNIQUE(FILTER($V$2:$V$934,$A$2:$A$934=A480))&gt;1,
""Conflicting Duplicate"",
""Exact Duplicate""))"),"Unique")</f>
        <v>Unique</v>
      </c>
      <c r="X486" s="10" t="b">
        <f t="shared" ca="1" si="1"/>
        <v>1</v>
      </c>
      <c r="Y486" s="10" t="str">
        <f t="shared" si="2"/>
        <v>Unique</v>
      </c>
      <c r="Z486" s="10"/>
      <c r="AA486" s="10" t="str">
        <f t="shared" si="3"/>
        <v>Clean</v>
      </c>
      <c r="AB486" s="15" t="str">
        <f t="shared" si="4"/>
        <v>Valid</v>
      </c>
      <c r="AC486" s="15">
        <v>3</v>
      </c>
      <c r="AD486" s="16" t="str">
        <f t="shared" si="5"/>
        <v>Valid</v>
      </c>
      <c r="AE486" s="16" t="str">
        <f t="shared" si="6"/>
        <v>Valid</v>
      </c>
      <c r="AF486" s="16" t="str">
        <f t="shared" ref="AF486:AG486" si="983">IF(ISNUMBER(B486),"Valid","Invalid")</f>
        <v>Valid</v>
      </c>
      <c r="AG486" s="16" t="str">
        <f t="shared" si="983"/>
        <v>Valid</v>
      </c>
      <c r="AH486" s="16" t="str">
        <f t="shared" ref="AH486:AI486" si="984">IF(OR(B486="",ISBLANK(B486)),"Missing","Valid")</f>
        <v>Valid</v>
      </c>
      <c r="AI486" s="16" t="str">
        <f t="shared" si="984"/>
        <v>Valid</v>
      </c>
      <c r="AJ486" s="16" t="b">
        <v>0</v>
      </c>
      <c r="AK486" s="16" t="b">
        <v>0</v>
      </c>
      <c r="AL486" s="16" t="b">
        <v>0</v>
      </c>
      <c r="AM486" s="16" t="b">
        <v>0</v>
      </c>
      <c r="AN486" s="16" t="b">
        <v>0</v>
      </c>
      <c r="AO486" s="16" t="b">
        <v>0</v>
      </c>
      <c r="AP486" s="16" t="b">
        <v>0</v>
      </c>
      <c r="AQ486" s="17">
        <f t="shared" si="9"/>
        <v>0.25</v>
      </c>
      <c r="AR486" s="12">
        <f t="shared" si="10"/>
        <v>16385.489999999998</v>
      </c>
      <c r="AS486" s="18">
        <f t="shared" si="11"/>
        <v>0</v>
      </c>
      <c r="AT486" s="12">
        <f t="shared" si="12"/>
        <v>2706.2499999999982</v>
      </c>
      <c r="AU486" s="18">
        <f t="shared" si="13"/>
        <v>0</v>
      </c>
      <c r="AV486" s="19">
        <f t="shared" si="14"/>
        <v>0.16516137143289572</v>
      </c>
      <c r="AW486" s="20" t="str">
        <f t="shared" si="15"/>
        <v>December</v>
      </c>
      <c r="AX486" s="21">
        <f t="shared" si="16"/>
        <v>2024</v>
      </c>
    </row>
    <row r="487" spans="1:50" ht="15.75" customHeight="1">
      <c r="A487" s="10" t="s">
        <v>1585</v>
      </c>
      <c r="B487" s="11">
        <v>45679</v>
      </c>
      <c r="C487" s="11">
        <v>45680</v>
      </c>
      <c r="D487" s="10" t="s">
        <v>1586</v>
      </c>
      <c r="E487" s="10" t="s">
        <v>147</v>
      </c>
      <c r="F487" s="10" t="s">
        <v>119</v>
      </c>
      <c r="G487" s="10" t="s">
        <v>92</v>
      </c>
      <c r="H487" s="10" t="s">
        <v>219</v>
      </c>
      <c r="I487" s="10" t="s">
        <v>220</v>
      </c>
      <c r="J487" s="10" t="s">
        <v>70</v>
      </c>
      <c r="K487" s="10" t="s">
        <v>187</v>
      </c>
      <c r="L487" s="10" t="s">
        <v>1587</v>
      </c>
      <c r="M487" s="10" t="s">
        <v>88</v>
      </c>
      <c r="N487" s="12">
        <v>4</v>
      </c>
      <c r="O487" s="12">
        <v>2555.19</v>
      </c>
      <c r="P487" s="12">
        <v>0.25</v>
      </c>
      <c r="Q487" s="12">
        <v>7665.57</v>
      </c>
      <c r="R487" s="12">
        <v>5595.6</v>
      </c>
      <c r="S487" s="12">
        <v>2069.9699999999998</v>
      </c>
      <c r="T487" s="10" t="s">
        <v>61</v>
      </c>
      <c r="U487" s="13" t="s">
        <v>62</v>
      </c>
      <c r="V487" s="14" t="e">
        <f t="shared" ca="1" si="0"/>
        <v>#NAME?</v>
      </c>
      <c r="W487" s="10" t="str">
        <f ca="1">IFERROR(__xludf.DUMMYFUNCTION("IF(COUNTIF($A:$A,A481)=1,
""Unique"",
IF(COUNTUNIQUE(FILTER($V$2:$V$934,$A$2:$A$934=A481))&gt;1,
""Conflicting Duplicate"",
""Exact Duplicate""))"),"Unique")</f>
        <v>Unique</v>
      </c>
      <c r="X487" s="10" t="b">
        <f t="shared" ca="1" si="1"/>
        <v>1</v>
      </c>
      <c r="Y487" s="10" t="str">
        <f t="shared" si="2"/>
        <v>Unique</v>
      </c>
      <c r="Z487" s="10"/>
      <c r="AA487" s="10" t="str">
        <f t="shared" si="3"/>
        <v>Clean</v>
      </c>
      <c r="AB487" s="15" t="str">
        <f t="shared" si="4"/>
        <v>Valid</v>
      </c>
      <c r="AC487" s="15">
        <v>1</v>
      </c>
      <c r="AD487" s="16" t="str">
        <f t="shared" si="5"/>
        <v>Valid</v>
      </c>
      <c r="AE487" s="16" t="str">
        <f t="shared" si="6"/>
        <v>Valid</v>
      </c>
      <c r="AF487" s="16" t="str">
        <f t="shared" ref="AF487:AG487" si="985">IF(ISNUMBER(B487),"Valid","Invalid")</f>
        <v>Valid</v>
      </c>
      <c r="AG487" s="16" t="str">
        <f t="shared" si="985"/>
        <v>Valid</v>
      </c>
      <c r="AH487" s="16" t="str">
        <f t="shared" ref="AH487:AI487" si="986">IF(OR(B487="",ISBLANK(B487)),"Missing","Valid")</f>
        <v>Valid</v>
      </c>
      <c r="AI487" s="16" t="str">
        <f t="shared" si="986"/>
        <v>Valid</v>
      </c>
      <c r="AJ487" s="16" t="b">
        <v>0</v>
      </c>
      <c r="AK487" s="16" t="b">
        <v>0</v>
      </c>
      <c r="AL487" s="16" t="b">
        <v>0</v>
      </c>
      <c r="AM487" s="16" t="b">
        <v>0</v>
      </c>
      <c r="AN487" s="16" t="b">
        <v>0</v>
      </c>
      <c r="AO487" s="16" t="b">
        <v>0</v>
      </c>
      <c r="AP487" s="16" t="b">
        <v>0</v>
      </c>
      <c r="AQ487" s="17">
        <f t="shared" si="9"/>
        <v>0.25</v>
      </c>
      <c r="AR487" s="12">
        <f t="shared" si="10"/>
        <v>7665.57</v>
      </c>
      <c r="AS487" s="18">
        <f t="shared" si="11"/>
        <v>0</v>
      </c>
      <c r="AT487" s="12">
        <f t="shared" si="12"/>
        <v>2069.9699999999993</v>
      </c>
      <c r="AU487" s="18">
        <f t="shared" si="13"/>
        <v>0</v>
      </c>
      <c r="AV487" s="19">
        <f t="shared" si="14"/>
        <v>0.27003471366121495</v>
      </c>
      <c r="AW487" s="20" t="str">
        <f t="shared" si="15"/>
        <v>January</v>
      </c>
      <c r="AX487" s="21">
        <f t="shared" si="16"/>
        <v>2025</v>
      </c>
    </row>
    <row r="488" spans="1:50" ht="15.75" customHeight="1">
      <c r="A488" s="10" t="s">
        <v>1588</v>
      </c>
      <c r="B488" s="11">
        <v>45830</v>
      </c>
      <c r="C488" s="11">
        <v>45834</v>
      </c>
      <c r="D488" s="10" t="s">
        <v>1589</v>
      </c>
      <c r="E488" s="10" t="s">
        <v>147</v>
      </c>
      <c r="F488" s="10" t="s">
        <v>119</v>
      </c>
      <c r="G488" s="10" t="s">
        <v>92</v>
      </c>
      <c r="H488" s="10" t="s">
        <v>219</v>
      </c>
      <c r="I488" s="10" t="s">
        <v>220</v>
      </c>
      <c r="J488" s="10" t="s">
        <v>70</v>
      </c>
      <c r="K488" s="10" t="s">
        <v>71</v>
      </c>
      <c r="L488" s="10" t="s">
        <v>1590</v>
      </c>
      <c r="M488" s="10" t="s">
        <v>88</v>
      </c>
      <c r="N488" s="12">
        <v>3</v>
      </c>
      <c r="O488" s="12">
        <v>1946.18</v>
      </c>
      <c r="P488" s="12">
        <v>0.2</v>
      </c>
      <c r="Q488" s="12">
        <v>4670.83</v>
      </c>
      <c r="R488" s="12">
        <v>3166.49</v>
      </c>
      <c r="S488" s="12">
        <v>1504.34</v>
      </c>
      <c r="T488" s="10" t="s">
        <v>61</v>
      </c>
      <c r="U488" s="13" t="s">
        <v>62</v>
      </c>
      <c r="V488" s="14" t="e">
        <f t="shared" ca="1" si="0"/>
        <v>#NAME?</v>
      </c>
      <c r="W488" s="10" t="str">
        <f ca="1">IFERROR(__xludf.DUMMYFUNCTION("IF(COUNTIF($A:$A,A482)=1,
""Unique"",
IF(COUNTUNIQUE(FILTER($V$2:$V$934,$A$2:$A$934=A482))&gt;1,
""Conflicting Duplicate"",
""Exact Duplicate""))"),"Unique")</f>
        <v>Unique</v>
      </c>
      <c r="X488" s="10" t="b">
        <f t="shared" ca="1" si="1"/>
        <v>1</v>
      </c>
      <c r="Y488" s="10" t="str">
        <f t="shared" si="2"/>
        <v>Unique</v>
      </c>
      <c r="Z488" s="10"/>
      <c r="AA488" s="10" t="str">
        <f t="shared" si="3"/>
        <v>Clean</v>
      </c>
      <c r="AB488" s="15" t="str">
        <f t="shared" si="4"/>
        <v>Valid</v>
      </c>
      <c r="AC488" s="15">
        <v>4</v>
      </c>
      <c r="AD488" s="16" t="str">
        <f t="shared" si="5"/>
        <v>Valid</v>
      </c>
      <c r="AE488" s="16" t="str">
        <f t="shared" si="6"/>
        <v>Valid</v>
      </c>
      <c r="AF488" s="16" t="str">
        <f t="shared" ref="AF488:AG488" si="987">IF(ISNUMBER(B488),"Valid","Invalid")</f>
        <v>Valid</v>
      </c>
      <c r="AG488" s="16" t="str">
        <f t="shared" si="987"/>
        <v>Valid</v>
      </c>
      <c r="AH488" s="16" t="str">
        <f t="shared" ref="AH488:AI488" si="988">IF(OR(B488="",ISBLANK(B488)),"Missing","Valid")</f>
        <v>Valid</v>
      </c>
      <c r="AI488" s="16" t="str">
        <f t="shared" si="988"/>
        <v>Valid</v>
      </c>
      <c r="AJ488" s="16" t="b">
        <v>0</v>
      </c>
      <c r="AK488" s="16" t="b">
        <v>0</v>
      </c>
      <c r="AL488" s="16" t="b">
        <v>0</v>
      </c>
      <c r="AM488" s="16" t="b">
        <v>0</v>
      </c>
      <c r="AN488" s="16" t="b">
        <v>0</v>
      </c>
      <c r="AO488" s="16" t="b">
        <v>0</v>
      </c>
      <c r="AP488" s="16" t="b">
        <v>0</v>
      </c>
      <c r="AQ488" s="17">
        <f t="shared" si="9"/>
        <v>0.2</v>
      </c>
      <c r="AR488" s="12">
        <f t="shared" si="10"/>
        <v>4670.8320000000003</v>
      </c>
      <c r="AS488" s="18">
        <f t="shared" si="11"/>
        <v>-2.0000000004074536E-3</v>
      </c>
      <c r="AT488" s="12">
        <f t="shared" si="12"/>
        <v>1504.3420000000006</v>
      </c>
      <c r="AU488" s="18">
        <f t="shared" si="13"/>
        <v>-2.0000000006348273E-3</v>
      </c>
      <c r="AV488" s="19">
        <f t="shared" si="14"/>
        <v>0.3220715281560117</v>
      </c>
      <c r="AW488" s="20" t="str">
        <f t="shared" si="15"/>
        <v>June</v>
      </c>
      <c r="AX488" s="21">
        <f t="shared" si="16"/>
        <v>2025</v>
      </c>
    </row>
    <row r="489" spans="1:50" ht="15.75" customHeight="1">
      <c r="A489" s="10" t="s">
        <v>1591</v>
      </c>
      <c r="B489" s="11">
        <v>45818</v>
      </c>
      <c r="C489" s="11">
        <v>45825</v>
      </c>
      <c r="D489" s="10" t="s">
        <v>1592</v>
      </c>
      <c r="E489" s="10" t="s">
        <v>147</v>
      </c>
      <c r="F489" s="10" t="s">
        <v>119</v>
      </c>
      <c r="G489" s="10" t="s">
        <v>83</v>
      </c>
      <c r="H489" s="10" t="s">
        <v>84</v>
      </c>
      <c r="I489" s="10" t="s">
        <v>85</v>
      </c>
      <c r="J489" s="10" t="s">
        <v>70</v>
      </c>
      <c r="K489" s="10" t="s">
        <v>86</v>
      </c>
      <c r="L489" s="10" t="s">
        <v>1593</v>
      </c>
      <c r="M489" s="10" t="s">
        <v>88</v>
      </c>
      <c r="N489" s="12">
        <v>5</v>
      </c>
      <c r="O489" s="12">
        <v>1231.0999999999999</v>
      </c>
      <c r="P489" s="12">
        <v>0</v>
      </c>
      <c r="Q489" s="12">
        <v>6155.5</v>
      </c>
      <c r="R489" s="12">
        <v>4282.09</v>
      </c>
      <c r="S489" s="12">
        <v>1873.41</v>
      </c>
      <c r="T489" s="10" t="s">
        <v>131</v>
      </c>
      <c r="U489" s="13" t="s">
        <v>132</v>
      </c>
      <c r="V489" s="14" t="e">
        <f t="shared" ca="1" si="0"/>
        <v>#NAME?</v>
      </c>
      <c r="W489" s="10" t="str">
        <f ca="1">IFERROR(__xludf.DUMMYFUNCTION("IF(COUNTIF($A:$A,A483)=1,
""Unique"",
IF(COUNTUNIQUE(FILTER($V$2:$V$934,$A$2:$A$934=A483))&gt;1,
""Conflicting Duplicate"",
""Exact Duplicate""))"),"Unique")</f>
        <v>Unique</v>
      </c>
      <c r="X489" s="10" t="b">
        <f t="shared" ca="1" si="1"/>
        <v>1</v>
      </c>
      <c r="Y489" s="10" t="str">
        <f t="shared" si="2"/>
        <v>Unique</v>
      </c>
      <c r="Z489" s="10"/>
      <c r="AA489" s="10" t="str">
        <f t="shared" si="3"/>
        <v>Clean</v>
      </c>
      <c r="AB489" s="15" t="str">
        <f t="shared" si="4"/>
        <v>Valid</v>
      </c>
      <c r="AC489" s="15">
        <v>7</v>
      </c>
      <c r="AD489" s="16" t="str">
        <f t="shared" si="5"/>
        <v>Valid</v>
      </c>
      <c r="AE489" s="16" t="str">
        <f t="shared" si="6"/>
        <v>Valid</v>
      </c>
      <c r="AF489" s="16" t="str">
        <f t="shared" ref="AF489:AG489" si="989">IF(ISNUMBER(B489),"Valid","Invalid")</f>
        <v>Valid</v>
      </c>
      <c r="AG489" s="16" t="str">
        <f t="shared" si="989"/>
        <v>Valid</v>
      </c>
      <c r="AH489" s="16" t="str">
        <f t="shared" ref="AH489:AI489" si="990">IF(OR(B489="",ISBLANK(B489)),"Missing","Valid")</f>
        <v>Valid</v>
      </c>
      <c r="AI489" s="16" t="str">
        <f t="shared" si="990"/>
        <v>Valid</v>
      </c>
      <c r="AJ489" s="16" t="b">
        <v>0</v>
      </c>
      <c r="AK489" s="16" t="b">
        <v>0</v>
      </c>
      <c r="AL489" s="16" t="b">
        <v>0</v>
      </c>
      <c r="AM489" s="16" t="b">
        <v>0</v>
      </c>
      <c r="AN489" s="16" t="b">
        <v>0</v>
      </c>
      <c r="AO489" s="16" t="b">
        <v>0</v>
      </c>
      <c r="AP489" s="16" t="b">
        <v>0</v>
      </c>
      <c r="AQ489" s="17">
        <f t="shared" si="9"/>
        <v>0</v>
      </c>
      <c r="AR489" s="12">
        <f t="shared" si="10"/>
        <v>6155.5</v>
      </c>
      <c r="AS489" s="18">
        <f t="shared" si="11"/>
        <v>0</v>
      </c>
      <c r="AT489" s="12">
        <f t="shared" si="12"/>
        <v>1873.4099999999999</v>
      </c>
      <c r="AU489" s="18">
        <f t="shared" si="13"/>
        <v>0</v>
      </c>
      <c r="AV489" s="19">
        <f t="shared" si="14"/>
        <v>0.3043473316546178</v>
      </c>
      <c r="AW489" s="20" t="str">
        <f t="shared" si="15"/>
        <v>June</v>
      </c>
      <c r="AX489" s="21">
        <f t="shared" si="16"/>
        <v>2025</v>
      </c>
    </row>
    <row r="490" spans="1:50" ht="15.75" customHeight="1">
      <c r="A490" s="10" t="s">
        <v>1594</v>
      </c>
      <c r="B490" s="11">
        <v>45579</v>
      </c>
      <c r="C490" s="11">
        <v>45585</v>
      </c>
      <c r="D490" s="10" t="s">
        <v>1595</v>
      </c>
      <c r="E490" s="10" t="s">
        <v>118</v>
      </c>
      <c r="F490" s="10" t="s">
        <v>66</v>
      </c>
      <c r="G490" s="10" t="s">
        <v>54</v>
      </c>
      <c r="H490" s="10" t="s">
        <v>55</v>
      </c>
      <c r="I490" s="10" t="s">
        <v>56</v>
      </c>
      <c r="J490" s="10" t="s">
        <v>70</v>
      </c>
      <c r="K490" s="10" t="s">
        <v>71</v>
      </c>
      <c r="L490" s="10" t="s">
        <v>1596</v>
      </c>
      <c r="M490" s="10" t="s">
        <v>73</v>
      </c>
      <c r="N490" s="12">
        <v>7</v>
      </c>
      <c r="O490" s="12">
        <v>1547.6</v>
      </c>
      <c r="P490" s="12">
        <v>0.2</v>
      </c>
      <c r="Q490" s="12">
        <v>8666.56</v>
      </c>
      <c r="R490" s="12">
        <v>5967.44</v>
      </c>
      <c r="S490" s="12">
        <v>2699.12</v>
      </c>
      <c r="T490" s="10" t="s">
        <v>61</v>
      </c>
      <c r="U490" s="13" t="s">
        <v>62</v>
      </c>
      <c r="V490" s="14" t="e">
        <f t="shared" ca="1" si="0"/>
        <v>#NAME?</v>
      </c>
      <c r="W490" s="10" t="str">
        <f ca="1">IFERROR(__xludf.DUMMYFUNCTION("IF(COUNTIF($A:$A,A484)=1,
""Unique"",
IF(COUNTUNIQUE(FILTER($V$2:$V$934,$A$2:$A$934=A484))&gt;1,
""Conflicting Duplicate"",
""Exact Duplicate""))"),"Unique")</f>
        <v>Unique</v>
      </c>
      <c r="X490" s="10" t="b">
        <f t="shared" ca="1" si="1"/>
        <v>1</v>
      </c>
      <c r="Y490" s="10" t="str">
        <f t="shared" si="2"/>
        <v>Unique</v>
      </c>
      <c r="Z490" s="10"/>
      <c r="AA490" s="10" t="str">
        <f t="shared" si="3"/>
        <v>Clean</v>
      </c>
      <c r="AB490" s="15" t="str">
        <f t="shared" si="4"/>
        <v>Valid</v>
      </c>
      <c r="AC490" s="15">
        <v>6</v>
      </c>
      <c r="AD490" s="16" t="str">
        <f t="shared" si="5"/>
        <v>Valid</v>
      </c>
      <c r="AE490" s="16" t="str">
        <f t="shared" si="6"/>
        <v>Valid</v>
      </c>
      <c r="AF490" s="16" t="str">
        <f t="shared" ref="AF490:AG490" si="991">IF(ISNUMBER(B490),"Valid","Invalid")</f>
        <v>Valid</v>
      </c>
      <c r="AG490" s="16" t="str">
        <f t="shared" si="991"/>
        <v>Valid</v>
      </c>
      <c r="AH490" s="16" t="str">
        <f t="shared" ref="AH490:AI490" si="992">IF(OR(B490="",ISBLANK(B490)),"Missing","Valid")</f>
        <v>Valid</v>
      </c>
      <c r="AI490" s="16" t="str">
        <f t="shared" si="992"/>
        <v>Valid</v>
      </c>
      <c r="AJ490" s="16" t="b">
        <v>0</v>
      </c>
      <c r="AK490" s="16" t="b">
        <v>0</v>
      </c>
      <c r="AL490" s="16" t="b">
        <v>0</v>
      </c>
      <c r="AM490" s="16" t="b">
        <v>0</v>
      </c>
      <c r="AN490" s="16" t="b">
        <v>0</v>
      </c>
      <c r="AO490" s="16" t="b">
        <v>0</v>
      </c>
      <c r="AP490" s="16" t="b">
        <v>0</v>
      </c>
      <c r="AQ490" s="17">
        <f t="shared" si="9"/>
        <v>0.2</v>
      </c>
      <c r="AR490" s="12">
        <f t="shared" si="10"/>
        <v>8666.56</v>
      </c>
      <c r="AS490" s="18">
        <f t="shared" si="11"/>
        <v>0</v>
      </c>
      <c r="AT490" s="12">
        <f t="shared" si="12"/>
        <v>2699.12</v>
      </c>
      <c r="AU490" s="18">
        <f t="shared" si="13"/>
        <v>0</v>
      </c>
      <c r="AV490" s="19">
        <f t="shared" si="14"/>
        <v>0.31144075619392242</v>
      </c>
      <c r="AW490" s="20" t="str">
        <f t="shared" si="15"/>
        <v>October</v>
      </c>
      <c r="AX490" s="21">
        <f t="shared" si="16"/>
        <v>2024</v>
      </c>
    </row>
    <row r="491" spans="1:50" ht="15.75" customHeight="1">
      <c r="A491" s="10" t="s">
        <v>1597</v>
      </c>
      <c r="B491" s="11">
        <v>45329</v>
      </c>
      <c r="C491" s="11">
        <v>45334</v>
      </c>
      <c r="D491" s="10" t="s">
        <v>1598</v>
      </c>
      <c r="E491" s="10" t="s">
        <v>82</v>
      </c>
      <c r="F491" s="10" t="s">
        <v>124</v>
      </c>
      <c r="G491" s="10" t="s">
        <v>67</v>
      </c>
      <c r="H491" s="10" t="s">
        <v>128</v>
      </c>
      <c r="I491" s="10" t="s">
        <v>129</v>
      </c>
      <c r="J491" s="10" t="s">
        <v>103</v>
      </c>
      <c r="K491" s="10" t="s">
        <v>104</v>
      </c>
      <c r="L491" s="10" t="s">
        <v>1599</v>
      </c>
      <c r="M491" s="10" t="s">
        <v>60</v>
      </c>
      <c r="N491" s="12">
        <v>1</v>
      </c>
      <c r="O491" s="12">
        <v>452.19</v>
      </c>
      <c r="P491" s="12">
        <v>0.2</v>
      </c>
      <c r="Q491" s="12">
        <v>361.75</v>
      </c>
      <c r="R491" s="12">
        <v>262.52999999999997</v>
      </c>
      <c r="S491" s="12">
        <v>99.22</v>
      </c>
      <c r="T491" s="10" t="s">
        <v>61</v>
      </c>
      <c r="U491" s="13" t="s">
        <v>62</v>
      </c>
      <c r="V491" s="14" t="e">
        <f t="shared" ca="1" si="0"/>
        <v>#NAME?</v>
      </c>
      <c r="W491" s="10" t="str">
        <f ca="1">IFERROR(__xludf.DUMMYFUNCTION("IF(COUNTIF($A:$A,A485)=1,
""Unique"",
IF(COUNTUNIQUE(FILTER($V$2:$V$934,$A$2:$A$934=A485))&gt;1,
""Conflicting Duplicate"",
""Exact Duplicate""))"),"Unique")</f>
        <v>Unique</v>
      </c>
      <c r="X491" s="10" t="b">
        <f t="shared" ca="1" si="1"/>
        <v>1</v>
      </c>
      <c r="Y491" s="10" t="str">
        <f t="shared" si="2"/>
        <v>Unique</v>
      </c>
      <c r="Z491" s="10"/>
      <c r="AA491" s="10" t="str">
        <f t="shared" si="3"/>
        <v>Clean</v>
      </c>
      <c r="AB491" s="15" t="str">
        <f t="shared" si="4"/>
        <v>Valid</v>
      </c>
      <c r="AC491" s="15">
        <v>5</v>
      </c>
      <c r="AD491" s="16" t="str">
        <f t="shared" si="5"/>
        <v>Valid</v>
      </c>
      <c r="AE491" s="16" t="str">
        <f t="shared" si="6"/>
        <v>Valid</v>
      </c>
      <c r="AF491" s="16" t="str">
        <f t="shared" ref="AF491:AG491" si="993">IF(ISNUMBER(B491),"Valid","Invalid")</f>
        <v>Valid</v>
      </c>
      <c r="AG491" s="16" t="str">
        <f t="shared" si="993"/>
        <v>Valid</v>
      </c>
      <c r="AH491" s="16" t="str">
        <f t="shared" ref="AH491:AI491" si="994">IF(OR(B491="",ISBLANK(B491)),"Missing","Valid")</f>
        <v>Valid</v>
      </c>
      <c r="AI491" s="16" t="str">
        <f t="shared" si="994"/>
        <v>Valid</v>
      </c>
      <c r="AJ491" s="16" t="b">
        <v>0</v>
      </c>
      <c r="AK491" s="16" t="b">
        <v>0</v>
      </c>
      <c r="AL491" s="16" t="b">
        <v>0</v>
      </c>
      <c r="AM491" s="16" t="b">
        <v>0</v>
      </c>
      <c r="AN491" s="16" t="b">
        <v>0</v>
      </c>
      <c r="AO491" s="16" t="b">
        <v>0</v>
      </c>
      <c r="AP491" s="16" t="b">
        <v>0</v>
      </c>
      <c r="AQ491" s="17">
        <f t="shared" si="9"/>
        <v>0.2</v>
      </c>
      <c r="AR491" s="12">
        <f t="shared" si="10"/>
        <v>361.75200000000001</v>
      </c>
      <c r="AS491" s="18">
        <f t="shared" si="11"/>
        <v>-2.0000000000095497E-3</v>
      </c>
      <c r="AT491" s="12">
        <f t="shared" si="12"/>
        <v>99.222000000000037</v>
      </c>
      <c r="AU491" s="18">
        <f t="shared" si="13"/>
        <v>-2.0000000000379714E-3</v>
      </c>
      <c r="AV491" s="19">
        <f t="shared" si="14"/>
        <v>0.27428182843495003</v>
      </c>
      <c r="AW491" s="20" t="str">
        <f t="shared" si="15"/>
        <v>February</v>
      </c>
      <c r="AX491" s="21">
        <f t="shared" si="16"/>
        <v>2024</v>
      </c>
    </row>
    <row r="492" spans="1:50" ht="15.75" customHeight="1">
      <c r="A492" s="10" t="s">
        <v>1600</v>
      </c>
      <c r="B492" s="11">
        <v>45551</v>
      </c>
      <c r="C492" s="11">
        <v>45554</v>
      </c>
      <c r="D492" s="10" t="s">
        <v>1601</v>
      </c>
      <c r="E492" s="10" t="s">
        <v>118</v>
      </c>
      <c r="F492" s="10" t="s">
        <v>53</v>
      </c>
      <c r="G492" s="10" t="s">
        <v>92</v>
      </c>
      <c r="H492" s="10" t="s">
        <v>55</v>
      </c>
      <c r="I492" s="10" t="s">
        <v>138</v>
      </c>
      <c r="J492" s="10" t="s">
        <v>57</v>
      </c>
      <c r="K492" s="10" t="s">
        <v>182</v>
      </c>
      <c r="L492" s="10" t="s">
        <v>1602</v>
      </c>
      <c r="M492" s="10" t="s">
        <v>79</v>
      </c>
      <c r="N492" s="12">
        <v>7</v>
      </c>
      <c r="O492" s="12">
        <v>406.42</v>
      </c>
      <c r="P492" s="12">
        <v>0.15</v>
      </c>
      <c r="Q492" s="12">
        <v>2418.1999999999998</v>
      </c>
      <c r="R492" s="12">
        <v>1613.82</v>
      </c>
      <c r="S492" s="12">
        <v>804.38</v>
      </c>
      <c r="T492" s="10" t="s">
        <v>61</v>
      </c>
      <c r="U492" s="13" t="s">
        <v>62</v>
      </c>
      <c r="V492" s="14" t="e">
        <f t="shared" ca="1" si="0"/>
        <v>#NAME?</v>
      </c>
      <c r="W492" s="10" t="str">
        <f ca="1">IFERROR(__xludf.DUMMYFUNCTION("IF(COUNTIF($A:$A,A486)=1,
""Unique"",
IF(COUNTUNIQUE(FILTER($V$2:$V$934,$A$2:$A$934=A486))&gt;1,
""Conflicting Duplicate"",
""Exact Duplicate""))"),"Unique")</f>
        <v>Unique</v>
      </c>
      <c r="X492" s="10" t="b">
        <f t="shared" ca="1" si="1"/>
        <v>1</v>
      </c>
      <c r="Y492" s="10" t="str">
        <f t="shared" si="2"/>
        <v>Unique</v>
      </c>
      <c r="Z492" s="10"/>
      <c r="AA492" s="10" t="str">
        <f t="shared" si="3"/>
        <v>Clean</v>
      </c>
      <c r="AB492" s="15" t="str">
        <f t="shared" si="4"/>
        <v>Valid</v>
      </c>
      <c r="AC492" s="15">
        <v>3</v>
      </c>
      <c r="AD492" s="16" t="str">
        <f t="shared" si="5"/>
        <v>Valid</v>
      </c>
      <c r="AE492" s="16" t="str">
        <f t="shared" si="6"/>
        <v>Valid</v>
      </c>
      <c r="AF492" s="16" t="str">
        <f t="shared" ref="AF492:AG492" si="995">IF(ISNUMBER(B492),"Valid","Invalid")</f>
        <v>Valid</v>
      </c>
      <c r="AG492" s="16" t="str">
        <f t="shared" si="995"/>
        <v>Valid</v>
      </c>
      <c r="AH492" s="16" t="str">
        <f t="shared" ref="AH492:AI492" si="996">IF(OR(B492="",ISBLANK(B492)),"Missing","Valid")</f>
        <v>Valid</v>
      </c>
      <c r="AI492" s="16" t="str">
        <f t="shared" si="996"/>
        <v>Valid</v>
      </c>
      <c r="AJ492" s="16" t="b">
        <v>0</v>
      </c>
      <c r="AK492" s="16" t="b">
        <v>0</v>
      </c>
      <c r="AL492" s="16" t="b">
        <v>0</v>
      </c>
      <c r="AM492" s="16" t="b">
        <v>0</v>
      </c>
      <c r="AN492" s="16" t="b">
        <v>0</v>
      </c>
      <c r="AO492" s="16" t="b">
        <v>0</v>
      </c>
      <c r="AP492" s="16" t="b">
        <v>0</v>
      </c>
      <c r="AQ492" s="17">
        <f t="shared" si="9"/>
        <v>0.15</v>
      </c>
      <c r="AR492" s="12">
        <f t="shared" si="10"/>
        <v>2418.1990000000001</v>
      </c>
      <c r="AS492" s="18">
        <f t="shared" si="11"/>
        <v>9.9999999974897946E-4</v>
      </c>
      <c r="AT492" s="12">
        <f t="shared" si="12"/>
        <v>804.37900000000013</v>
      </c>
      <c r="AU492" s="18">
        <f t="shared" si="13"/>
        <v>9.999999998626663E-4</v>
      </c>
      <c r="AV492" s="19">
        <f t="shared" si="14"/>
        <v>0.33263556886757462</v>
      </c>
      <c r="AW492" s="20" t="str">
        <f t="shared" si="15"/>
        <v>September</v>
      </c>
      <c r="AX492" s="21">
        <f t="shared" si="16"/>
        <v>2024</v>
      </c>
    </row>
    <row r="493" spans="1:50" ht="15.75" customHeight="1">
      <c r="A493" s="10" t="s">
        <v>1603</v>
      </c>
      <c r="B493" s="11">
        <v>45776</v>
      </c>
      <c r="C493" s="11">
        <v>45777</v>
      </c>
      <c r="D493" s="10" t="s">
        <v>1604</v>
      </c>
      <c r="E493" s="10" t="s">
        <v>65</v>
      </c>
      <c r="F493" s="10" t="s">
        <v>119</v>
      </c>
      <c r="G493" s="10" t="s">
        <v>83</v>
      </c>
      <c r="H493" s="10" t="s">
        <v>214</v>
      </c>
      <c r="I493" s="10" t="s">
        <v>215</v>
      </c>
      <c r="J493" s="10" t="s">
        <v>103</v>
      </c>
      <c r="K493" s="10" t="s">
        <v>104</v>
      </c>
      <c r="L493" s="10" t="s">
        <v>1605</v>
      </c>
      <c r="M493" s="10" t="s">
        <v>88</v>
      </c>
      <c r="N493" s="12">
        <v>4</v>
      </c>
      <c r="O493" s="12">
        <v>606.58000000000004</v>
      </c>
      <c r="P493" s="12">
        <v>0.2</v>
      </c>
      <c r="Q493" s="12">
        <v>1941.06</v>
      </c>
      <c r="R493" s="12">
        <v>1207.42</v>
      </c>
      <c r="S493" s="12">
        <v>733.64</v>
      </c>
      <c r="T493" s="10" t="s">
        <v>61</v>
      </c>
      <c r="U493" s="13" t="s">
        <v>62</v>
      </c>
      <c r="V493" s="14" t="e">
        <f t="shared" ca="1" si="0"/>
        <v>#NAME?</v>
      </c>
      <c r="W493" s="10" t="str">
        <f ca="1">IFERROR(__xludf.DUMMYFUNCTION("IF(COUNTIF($A:$A,A487)=1,
""Unique"",
IF(COUNTUNIQUE(FILTER($V$2:$V$934,$A$2:$A$934=A487))&gt;1,
""Conflicting Duplicate"",
""Exact Duplicate""))"),"Unique")</f>
        <v>Unique</v>
      </c>
      <c r="X493" s="10" t="b">
        <f t="shared" ca="1" si="1"/>
        <v>1</v>
      </c>
      <c r="Y493" s="10" t="str">
        <f t="shared" si="2"/>
        <v>Unique</v>
      </c>
      <c r="Z493" s="10"/>
      <c r="AA493" s="10" t="str">
        <f t="shared" si="3"/>
        <v>Clean</v>
      </c>
      <c r="AB493" s="15" t="str">
        <f t="shared" si="4"/>
        <v>Valid</v>
      </c>
      <c r="AC493" s="15">
        <v>1</v>
      </c>
      <c r="AD493" s="16" t="str">
        <f t="shared" si="5"/>
        <v>Valid</v>
      </c>
      <c r="AE493" s="16" t="str">
        <f t="shared" si="6"/>
        <v>Valid</v>
      </c>
      <c r="AF493" s="16" t="str">
        <f t="shared" ref="AF493:AG493" si="997">IF(ISNUMBER(B493),"Valid","Invalid")</f>
        <v>Valid</v>
      </c>
      <c r="AG493" s="16" t="str">
        <f t="shared" si="997"/>
        <v>Valid</v>
      </c>
      <c r="AH493" s="16" t="str">
        <f t="shared" ref="AH493:AI493" si="998">IF(OR(B493="",ISBLANK(B493)),"Missing","Valid")</f>
        <v>Valid</v>
      </c>
      <c r="AI493" s="16" t="str">
        <f t="shared" si="998"/>
        <v>Valid</v>
      </c>
      <c r="AJ493" s="16" t="b">
        <v>0</v>
      </c>
      <c r="AK493" s="16" t="b">
        <v>0</v>
      </c>
      <c r="AL493" s="16" t="b">
        <v>0</v>
      </c>
      <c r="AM493" s="16" t="b">
        <v>0</v>
      </c>
      <c r="AN493" s="16" t="b">
        <v>0</v>
      </c>
      <c r="AO493" s="16" t="b">
        <v>0</v>
      </c>
      <c r="AP493" s="16" t="b">
        <v>0</v>
      </c>
      <c r="AQ493" s="17">
        <f t="shared" si="9"/>
        <v>0.2</v>
      </c>
      <c r="AR493" s="12">
        <f t="shared" si="10"/>
        <v>1941.0560000000003</v>
      </c>
      <c r="AS493" s="18">
        <f t="shared" si="11"/>
        <v>3.9999999996780389E-3</v>
      </c>
      <c r="AT493" s="12">
        <f t="shared" si="12"/>
        <v>733.63600000000019</v>
      </c>
      <c r="AU493" s="18">
        <f t="shared" si="13"/>
        <v>3.9999999997917257E-3</v>
      </c>
      <c r="AV493" s="19">
        <f t="shared" si="14"/>
        <v>0.37795715321969076</v>
      </c>
      <c r="AW493" s="20" t="str">
        <f t="shared" si="15"/>
        <v>April</v>
      </c>
      <c r="AX493" s="21">
        <f t="shared" si="16"/>
        <v>2025</v>
      </c>
    </row>
    <row r="494" spans="1:50" ht="15.75" customHeight="1">
      <c r="A494" s="10" t="s">
        <v>1606</v>
      </c>
      <c r="B494" s="11">
        <v>45836</v>
      </c>
      <c r="C494" s="11">
        <v>45840</v>
      </c>
      <c r="D494" s="10" t="s">
        <v>1607</v>
      </c>
      <c r="E494" s="10" t="s">
        <v>91</v>
      </c>
      <c r="F494" s="10" t="s">
        <v>119</v>
      </c>
      <c r="G494" s="10" t="s">
        <v>83</v>
      </c>
      <c r="H494" s="10" t="s">
        <v>113</v>
      </c>
      <c r="I494" s="10" t="s">
        <v>114</v>
      </c>
      <c r="J494" s="10" t="s">
        <v>57</v>
      </c>
      <c r="K494" s="10" t="s">
        <v>153</v>
      </c>
      <c r="L494" s="10" t="s">
        <v>1608</v>
      </c>
      <c r="M494" s="10" t="s">
        <v>60</v>
      </c>
      <c r="N494" s="12">
        <v>2</v>
      </c>
      <c r="O494" s="12">
        <v>2725.44</v>
      </c>
      <c r="P494" s="12">
        <v>0.25</v>
      </c>
      <c r="Q494" s="12">
        <v>4088.16</v>
      </c>
      <c r="R494" s="12">
        <v>3205.68</v>
      </c>
      <c r="S494" s="12">
        <v>882.48</v>
      </c>
      <c r="T494" s="10" t="s">
        <v>61</v>
      </c>
      <c r="U494" s="13" t="s">
        <v>62</v>
      </c>
      <c r="V494" s="14" t="e">
        <f t="shared" ca="1" si="0"/>
        <v>#NAME?</v>
      </c>
      <c r="W494" s="10" t="str">
        <f ca="1">IFERROR(__xludf.DUMMYFUNCTION("IF(COUNTIF($A:$A,A488)=1,
""Unique"",
IF(COUNTUNIQUE(FILTER($V$2:$V$934,$A$2:$A$934=A488))&gt;1,
""Conflicting Duplicate"",
""Exact Duplicate""))"),"Unique")</f>
        <v>Unique</v>
      </c>
      <c r="X494" s="10" t="b">
        <f t="shared" ca="1" si="1"/>
        <v>1</v>
      </c>
      <c r="Y494" s="10" t="str">
        <f t="shared" si="2"/>
        <v>Unique</v>
      </c>
      <c r="Z494" s="10"/>
      <c r="AA494" s="10" t="str">
        <f t="shared" si="3"/>
        <v>Clean</v>
      </c>
      <c r="AB494" s="15" t="str">
        <f t="shared" si="4"/>
        <v>Valid</v>
      </c>
      <c r="AC494" s="15">
        <v>4</v>
      </c>
      <c r="AD494" s="16" t="str">
        <f t="shared" si="5"/>
        <v>Valid</v>
      </c>
      <c r="AE494" s="16" t="str">
        <f t="shared" si="6"/>
        <v>Valid</v>
      </c>
      <c r="AF494" s="16" t="str">
        <f t="shared" ref="AF494:AG494" si="999">IF(ISNUMBER(B494),"Valid","Invalid")</f>
        <v>Valid</v>
      </c>
      <c r="AG494" s="16" t="str">
        <f t="shared" si="999"/>
        <v>Valid</v>
      </c>
      <c r="AH494" s="16" t="str">
        <f t="shared" ref="AH494:AI494" si="1000">IF(OR(B494="",ISBLANK(B494)),"Missing","Valid")</f>
        <v>Valid</v>
      </c>
      <c r="AI494" s="16" t="str">
        <f t="shared" si="1000"/>
        <v>Valid</v>
      </c>
      <c r="AJ494" s="16" t="b">
        <v>0</v>
      </c>
      <c r="AK494" s="16" t="b">
        <v>0</v>
      </c>
      <c r="AL494" s="16" t="b">
        <v>0</v>
      </c>
      <c r="AM494" s="16" t="b">
        <v>0</v>
      </c>
      <c r="AN494" s="16" t="b">
        <v>0</v>
      </c>
      <c r="AO494" s="16" t="b">
        <v>0</v>
      </c>
      <c r="AP494" s="16" t="b">
        <v>0</v>
      </c>
      <c r="AQ494" s="17">
        <f t="shared" si="9"/>
        <v>0.25</v>
      </c>
      <c r="AR494" s="12">
        <f t="shared" si="10"/>
        <v>4088.16</v>
      </c>
      <c r="AS494" s="18">
        <f t="shared" si="11"/>
        <v>0</v>
      </c>
      <c r="AT494" s="12">
        <f t="shared" si="12"/>
        <v>882.48</v>
      </c>
      <c r="AU494" s="18">
        <f t="shared" si="13"/>
        <v>0</v>
      </c>
      <c r="AV494" s="19">
        <f t="shared" si="14"/>
        <v>0.21586239286133616</v>
      </c>
      <c r="AW494" s="20" t="str">
        <f t="shared" si="15"/>
        <v>June</v>
      </c>
      <c r="AX494" s="21">
        <f t="shared" si="16"/>
        <v>2025</v>
      </c>
    </row>
    <row r="495" spans="1:50" ht="15.75" customHeight="1">
      <c r="A495" s="10" t="s">
        <v>1609</v>
      </c>
      <c r="B495" s="11">
        <v>45701</v>
      </c>
      <c r="C495" s="11">
        <v>45701</v>
      </c>
      <c r="D495" s="10" t="s">
        <v>1610</v>
      </c>
      <c r="E495" s="10" t="s">
        <v>294</v>
      </c>
      <c r="F495" s="10" t="s">
        <v>119</v>
      </c>
      <c r="G495" s="10" t="s">
        <v>67</v>
      </c>
      <c r="H495" s="10" t="s">
        <v>68</v>
      </c>
      <c r="I495" s="10" t="s">
        <v>69</v>
      </c>
      <c r="J495" s="10" t="s">
        <v>57</v>
      </c>
      <c r="K495" s="10" t="s">
        <v>58</v>
      </c>
      <c r="L495" s="10" t="s">
        <v>1611</v>
      </c>
      <c r="M495" s="10" t="s">
        <v>60</v>
      </c>
      <c r="N495" s="12">
        <v>7</v>
      </c>
      <c r="O495" s="12">
        <v>2296.6999999999998</v>
      </c>
      <c r="P495" s="12">
        <v>0.05</v>
      </c>
      <c r="Q495" s="12">
        <v>15273.05</v>
      </c>
      <c r="R495" s="12">
        <v>11088.76</v>
      </c>
      <c r="S495" s="12">
        <v>4184.29</v>
      </c>
      <c r="T495" s="10" t="s">
        <v>61</v>
      </c>
      <c r="U495" s="13" t="s">
        <v>62</v>
      </c>
      <c r="V495" s="14" t="e">
        <f t="shared" ca="1" si="0"/>
        <v>#NAME?</v>
      </c>
      <c r="W495" s="10" t="str">
        <f ca="1">IFERROR(__xludf.DUMMYFUNCTION("IF(COUNTIF($A:$A,A489)=1,
""Unique"",
IF(COUNTUNIQUE(FILTER($V$2:$V$934,$A$2:$A$934=A489))&gt;1,
""Conflicting Duplicate"",
""Exact Duplicate""))"),"Unique")</f>
        <v>Unique</v>
      </c>
      <c r="X495" s="10" t="b">
        <f t="shared" ca="1" si="1"/>
        <v>1</v>
      </c>
      <c r="Y495" s="10" t="str">
        <f t="shared" si="2"/>
        <v>Unique</v>
      </c>
      <c r="Z495" s="10"/>
      <c r="AA495" s="10" t="str">
        <f t="shared" si="3"/>
        <v>Clean</v>
      </c>
      <c r="AB495" s="15" t="str">
        <f t="shared" si="4"/>
        <v>Valid</v>
      </c>
      <c r="AC495" s="15">
        <v>0</v>
      </c>
      <c r="AD495" s="16" t="str">
        <f t="shared" si="5"/>
        <v>Valid</v>
      </c>
      <c r="AE495" s="16" t="str">
        <f t="shared" si="6"/>
        <v>Valid</v>
      </c>
      <c r="AF495" s="16" t="str">
        <f t="shared" ref="AF495:AG495" si="1001">IF(ISNUMBER(B495),"Valid","Invalid")</f>
        <v>Valid</v>
      </c>
      <c r="AG495" s="16" t="str">
        <f t="shared" si="1001"/>
        <v>Valid</v>
      </c>
      <c r="AH495" s="16" t="str">
        <f t="shared" ref="AH495:AI495" si="1002">IF(OR(B495="",ISBLANK(B495)),"Missing","Valid")</f>
        <v>Valid</v>
      </c>
      <c r="AI495" s="16" t="str">
        <f t="shared" si="1002"/>
        <v>Valid</v>
      </c>
      <c r="AJ495" s="16" t="b">
        <v>0</v>
      </c>
      <c r="AK495" s="16" t="b">
        <v>0</v>
      </c>
      <c r="AL495" s="16" t="b">
        <v>0</v>
      </c>
      <c r="AM495" s="16" t="b">
        <v>0</v>
      </c>
      <c r="AN495" s="16" t="b">
        <v>0</v>
      </c>
      <c r="AO495" s="16" t="b">
        <v>0</v>
      </c>
      <c r="AP495" s="16" t="b">
        <v>0</v>
      </c>
      <c r="AQ495" s="17">
        <f t="shared" si="9"/>
        <v>0.05</v>
      </c>
      <c r="AR495" s="12">
        <f t="shared" si="10"/>
        <v>15273.054999999997</v>
      </c>
      <c r="AS495" s="18">
        <f t="shared" si="11"/>
        <v>-4.9999999973806553E-3</v>
      </c>
      <c r="AT495" s="12">
        <f t="shared" si="12"/>
        <v>4184.2949999999964</v>
      </c>
      <c r="AU495" s="18">
        <f t="shared" si="13"/>
        <v>-4.9999999964711606E-3</v>
      </c>
      <c r="AV495" s="19">
        <f t="shared" si="14"/>
        <v>0.27396581757873573</v>
      </c>
      <c r="AW495" s="20" t="str">
        <f t="shared" si="15"/>
        <v>February</v>
      </c>
      <c r="AX495" s="21">
        <f t="shared" si="16"/>
        <v>2025</v>
      </c>
    </row>
    <row r="496" spans="1:50" ht="15.75" customHeight="1">
      <c r="A496" s="10" t="s">
        <v>1612</v>
      </c>
      <c r="B496" s="11">
        <v>45610</v>
      </c>
      <c r="C496" s="11">
        <v>45618</v>
      </c>
      <c r="D496" s="10" t="s">
        <v>1613</v>
      </c>
      <c r="E496" s="10" t="s">
        <v>76</v>
      </c>
      <c r="F496" s="10" t="s">
        <v>53</v>
      </c>
      <c r="G496" s="10" t="s">
        <v>92</v>
      </c>
      <c r="H496" s="10" t="s">
        <v>101</v>
      </c>
      <c r="I496" s="10" t="s">
        <v>102</v>
      </c>
      <c r="J496" s="10" t="s">
        <v>103</v>
      </c>
      <c r="K496" s="10" t="s">
        <v>200</v>
      </c>
      <c r="L496" s="10" t="s">
        <v>1614</v>
      </c>
      <c r="M496" s="10" t="s">
        <v>88</v>
      </c>
      <c r="N496" s="12">
        <v>3</v>
      </c>
      <c r="O496" s="12">
        <v>671.68</v>
      </c>
      <c r="P496" s="12">
        <v>-0.13</v>
      </c>
      <c r="Q496" s="12">
        <v>1712.78</v>
      </c>
      <c r="R496" s="12">
        <v>1569.38</v>
      </c>
      <c r="S496" s="12">
        <v>360.66</v>
      </c>
      <c r="T496" s="10" t="s">
        <v>184</v>
      </c>
      <c r="U496" s="13" t="s">
        <v>97</v>
      </c>
      <c r="V496" s="14" t="e">
        <f t="shared" ca="1" si="0"/>
        <v>#NAME?</v>
      </c>
      <c r="W496" s="10" t="str">
        <f ca="1">IFERROR(__xludf.DUMMYFUNCTION("IF(COUNTIF($A:$A,A490)=1,
""Unique"",
IF(COUNTUNIQUE(FILTER($V$2:$V$934,$A$2:$A$934=A490))&gt;1,
""Conflicting Duplicate"",
""Exact Duplicate""))"),"Unique")</f>
        <v>Unique</v>
      </c>
      <c r="X496" s="10" t="b">
        <f t="shared" ca="1" si="1"/>
        <v>1</v>
      </c>
      <c r="Y496" s="10" t="str">
        <f t="shared" si="2"/>
        <v>Unique</v>
      </c>
      <c r="Z496" s="10"/>
      <c r="AA496" s="10" t="str">
        <f t="shared" si="3"/>
        <v>Invalid</v>
      </c>
      <c r="AB496" s="15" t="str">
        <f t="shared" si="4"/>
        <v>Valid</v>
      </c>
      <c r="AC496" s="15">
        <v>8</v>
      </c>
      <c r="AD496" s="16" t="str">
        <f t="shared" si="5"/>
        <v>Valid</v>
      </c>
      <c r="AE496" s="16" t="str">
        <f t="shared" si="6"/>
        <v>Valid</v>
      </c>
      <c r="AF496" s="16" t="str">
        <f t="shared" ref="AF496:AG496" si="1003">IF(ISNUMBER(B496),"Valid","Invalid")</f>
        <v>Valid</v>
      </c>
      <c r="AG496" s="16" t="str">
        <f t="shared" si="1003"/>
        <v>Valid</v>
      </c>
      <c r="AH496" s="16" t="str">
        <f t="shared" ref="AH496:AI496" si="1004">IF(OR(B496="",ISBLANK(B496)),"Missing","Valid")</f>
        <v>Valid</v>
      </c>
      <c r="AI496" s="16" t="str">
        <f t="shared" si="1004"/>
        <v>Valid</v>
      </c>
      <c r="AJ496" s="16" t="b">
        <v>0</v>
      </c>
      <c r="AK496" s="16" t="b">
        <v>0</v>
      </c>
      <c r="AL496" s="16" t="b">
        <v>0</v>
      </c>
      <c r="AM496" s="16" t="b">
        <v>1</v>
      </c>
      <c r="AN496" s="16" t="b">
        <v>0</v>
      </c>
      <c r="AO496" s="16" t="b">
        <v>0</v>
      </c>
      <c r="AP496" s="16" t="b">
        <v>1</v>
      </c>
      <c r="AQ496" s="17">
        <f t="shared" si="9"/>
        <v>-0.13</v>
      </c>
      <c r="AR496" s="12">
        <f t="shared" si="10"/>
        <v>2276.9951999999998</v>
      </c>
      <c r="AS496" s="18">
        <f t="shared" si="11"/>
        <v>-564.21519999999987</v>
      </c>
      <c r="AT496" s="12">
        <f t="shared" si="12"/>
        <v>707.61519999999973</v>
      </c>
      <c r="AU496" s="18">
        <f t="shared" si="13"/>
        <v>-346.95519999999971</v>
      </c>
      <c r="AV496" s="19">
        <f t="shared" si="14"/>
        <v>0.31076710218800629</v>
      </c>
      <c r="AW496" s="20" t="str">
        <f t="shared" si="15"/>
        <v>November</v>
      </c>
      <c r="AX496" s="21">
        <f t="shared" si="16"/>
        <v>2024</v>
      </c>
    </row>
    <row r="497" spans="1:50" ht="15.75" customHeight="1">
      <c r="A497" s="10" t="s">
        <v>1615</v>
      </c>
      <c r="B497" s="11">
        <v>45421</v>
      </c>
      <c r="C497" s="11">
        <v>45427</v>
      </c>
      <c r="D497" s="10" t="s">
        <v>1616</v>
      </c>
      <c r="E497" s="10" t="s">
        <v>65</v>
      </c>
      <c r="F497" s="10" t="s">
        <v>66</v>
      </c>
      <c r="G497" s="10" t="s">
        <v>67</v>
      </c>
      <c r="H497" s="10" t="s">
        <v>195</v>
      </c>
      <c r="I497" s="10" t="s">
        <v>196</v>
      </c>
      <c r="J497" s="10" t="s">
        <v>103</v>
      </c>
      <c r="K497" s="10" t="s">
        <v>200</v>
      </c>
      <c r="L497" s="10" t="s">
        <v>1617</v>
      </c>
      <c r="M497" s="10" t="s">
        <v>60</v>
      </c>
      <c r="N497" s="12">
        <v>4</v>
      </c>
      <c r="O497" s="12">
        <v>995.98</v>
      </c>
      <c r="P497" s="12">
        <v>0.05</v>
      </c>
      <c r="Q497" s="12">
        <v>3784.72</v>
      </c>
      <c r="R497" s="12">
        <v>2419.2399999999998</v>
      </c>
      <c r="S497" s="12">
        <v>1365.48</v>
      </c>
      <c r="T497" s="10" t="s">
        <v>131</v>
      </c>
      <c r="U497" s="13" t="s">
        <v>132</v>
      </c>
      <c r="V497" s="14" t="e">
        <f t="shared" ca="1" si="0"/>
        <v>#NAME?</v>
      </c>
      <c r="W497" s="10" t="str">
        <f ca="1">IFERROR(__xludf.DUMMYFUNCTION("IF(COUNTIF($A:$A,A491)=1,
""Unique"",
IF(COUNTUNIQUE(FILTER($V$2:$V$934,$A$2:$A$934=A491))&gt;1,
""Conflicting Duplicate"",
""Exact Duplicate""))"),"Unique")</f>
        <v>Unique</v>
      </c>
      <c r="X497" s="10" t="b">
        <f t="shared" ca="1" si="1"/>
        <v>1</v>
      </c>
      <c r="Y497" s="10" t="str">
        <f t="shared" si="2"/>
        <v>Unique</v>
      </c>
      <c r="Z497" s="10"/>
      <c r="AA497" s="10" t="str">
        <f t="shared" si="3"/>
        <v>Clean</v>
      </c>
      <c r="AB497" s="15" t="str">
        <f t="shared" si="4"/>
        <v>Valid</v>
      </c>
      <c r="AC497" s="15">
        <v>6</v>
      </c>
      <c r="AD497" s="16" t="str">
        <f t="shared" si="5"/>
        <v>Valid</v>
      </c>
      <c r="AE497" s="16" t="str">
        <f t="shared" si="6"/>
        <v>Valid</v>
      </c>
      <c r="AF497" s="16" t="str">
        <f t="shared" ref="AF497:AG497" si="1005">IF(ISNUMBER(B497),"Valid","Invalid")</f>
        <v>Valid</v>
      </c>
      <c r="AG497" s="16" t="str">
        <f t="shared" si="1005"/>
        <v>Valid</v>
      </c>
      <c r="AH497" s="16" t="str">
        <f t="shared" ref="AH497:AI497" si="1006">IF(OR(B497="",ISBLANK(B497)),"Missing","Valid")</f>
        <v>Valid</v>
      </c>
      <c r="AI497" s="16" t="str">
        <f t="shared" si="1006"/>
        <v>Valid</v>
      </c>
      <c r="AJ497" s="16" t="b">
        <v>0</v>
      </c>
      <c r="AK497" s="16" t="b">
        <v>0</v>
      </c>
      <c r="AL497" s="16" t="b">
        <v>0</v>
      </c>
      <c r="AM497" s="16" t="b">
        <v>0</v>
      </c>
      <c r="AN497" s="16" t="b">
        <v>0</v>
      </c>
      <c r="AO497" s="16" t="b">
        <v>0</v>
      </c>
      <c r="AP497" s="16" t="b">
        <v>0</v>
      </c>
      <c r="AQ497" s="17">
        <f t="shared" si="9"/>
        <v>0.05</v>
      </c>
      <c r="AR497" s="12">
        <f t="shared" si="10"/>
        <v>3784.7239999999997</v>
      </c>
      <c r="AS497" s="18">
        <f t="shared" si="11"/>
        <v>-3.9999999999054126E-3</v>
      </c>
      <c r="AT497" s="12">
        <f t="shared" si="12"/>
        <v>1365.4839999999999</v>
      </c>
      <c r="AU497" s="18">
        <f t="shared" si="13"/>
        <v>-3.9999999999054126E-3</v>
      </c>
      <c r="AV497" s="19">
        <f t="shared" si="14"/>
        <v>0.36078826355633858</v>
      </c>
      <c r="AW497" s="20" t="str">
        <f t="shared" si="15"/>
        <v>May</v>
      </c>
      <c r="AX497" s="21">
        <f t="shared" si="16"/>
        <v>2024</v>
      </c>
    </row>
    <row r="498" spans="1:50" ht="15.75" customHeight="1">
      <c r="A498" s="10" t="s">
        <v>1618</v>
      </c>
      <c r="B498" s="11">
        <v>45842</v>
      </c>
      <c r="C498" s="11">
        <v>45844</v>
      </c>
      <c r="D498" s="10" t="s">
        <v>1619</v>
      </c>
      <c r="E498" s="10" t="s">
        <v>294</v>
      </c>
      <c r="F498" s="10" t="s">
        <v>66</v>
      </c>
      <c r="G498" s="10" t="s">
        <v>67</v>
      </c>
      <c r="H498" s="10" t="s">
        <v>258</v>
      </c>
      <c r="I498" s="10" t="s">
        <v>259</v>
      </c>
      <c r="J498" s="10" t="s">
        <v>70</v>
      </c>
      <c r="K498" s="10" t="s">
        <v>95</v>
      </c>
      <c r="L498" s="10" t="s">
        <v>1620</v>
      </c>
      <c r="M498" s="10" t="s">
        <v>60</v>
      </c>
      <c r="N498" s="12">
        <v>2</v>
      </c>
      <c r="O498" s="12">
        <v>3686.42</v>
      </c>
      <c r="P498" s="12">
        <v>0.1</v>
      </c>
      <c r="Q498" s="12">
        <v>6635.56</v>
      </c>
      <c r="R498" s="12">
        <v>3652.91</v>
      </c>
      <c r="S498" s="12">
        <v>2982.65</v>
      </c>
      <c r="T498" s="10" t="s">
        <v>61</v>
      </c>
      <c r="U498" s="13" t="s">
        <v>62</v>
      </c>
      <c r="V498" s="14" t="e">
        <f t="shared" ca="1" si="0"/>
        <v>#NAME?</v>
      </c>
      <c r="W498" s="10" t="str">
        <f ca="1">IFERROR(__xludf.DUMMYFUNCTION("IF(COUNTIF($A:$A,A492)=1,
""Unique"",
IF(COUNTUNIQUE(FILTER($V$2:$V$934,$A$2:$A$934=A492))&gt;1,
""Conflicting Duplicate"",
""Exact Duplicate""))"),"Unique")</f>
        <v>Unique</v>
      </c>
      <c r="X498" s="10" t="b">
        <f t="shared" ca="1" si="1"/>
        <v>1</v>
      </c>
      <c r="Y498" s="10" t="str">
        <f t="shared" si="2"/>
        <v>Unique</v>
      </c>
      <c r="Z498" s="10"/>
      <c r="AA498" s="10" t="str">
        <f t="shared" si="3"/>
        <v>Clean</v>
      </c>
      <c r="AB498" s="15" t="str">
        <f t="shared" si="4"/>
        <v>Valid</v>
      </c>
      <c r="AC498" s="15">
        <v>2</v>
      </c>
      <c r="AD498" s="16" t="str">
        <f t="shared" si="5"/>
        <v>Valid</v>
      </c>
      <c r="AE498" s="16" t="str">
        <f t="shared" si="6"/>
        <v>Valid</v>
      </c>
      <c r="AF498" s="16" t="str">
        <f t="shared" ref="AF498:AG498" si="1007">IF(ISNUMBER(B498),"Valid","Invalid")</f>
        <v>Valid</v>
      </c>
      <c r="AG498" s="16" t="str">
        <f t="shared" si="1007"/>
        <v>Valid</v>
      </c>
      <c r="AH498" s="16" t="str">
        <f t="shared" ref="AH498:AI498" si="1008">IF(OR(B498="",ISBLANK(B498)),"Missing","Valid")</f>
        <v>Valid</v>
      </c>
      <c r="AI498" s="16" t="str">
        <f t="shared" si="1008"/>
        <v>Valid</v>
      </c>
      <c r="AJ498" s="16" t="b">
        <v>0</v>
      </c>
      <c r="AK498" s="16" t="b">
        <v>0</v>
      </c>
      <c r="AL498" s="16" t="b">
        <v>0</v>
      </c>
      <c r="AM498" s="16" t="b">
        <v>0</v>
      </c>
      <c r="AN498" s="16" t="b">
        <v>0</v>
      </c>
      <c r="AO498" s="16" t="b">
        <v>0</v>
      </c>
      <c r="AP498" s="16" t="b">
        <v>0</v>
      </c>
      <c r="AQ498" s="17">
        <f t="shared" si="9"/>
        <v>0.1</v>
      </c>
      <c r="AR498" s="12">
        <f t="shared" si="10"/>
        <v>6635.5560000000005</v>
      </c>
      <c r="AS498" s="18">
        <f t="shared" si="11"/>
        <v>3.9999999999054126E-3</v>
      </c>
      <c r="AT498" s="12">
        <f t="shared" si="12"/>
        <v>2982.6460000000006</v>
      </c>
      <c r="AU498" s="18">
        <f t="shared" si="13"/>
        <v>3.9999999994506652E-3</v>
      </c>
      <c r="AV498" s="19">
        <f t="shared" si="14"/>
        <v>0.44949451108543131</v>
      </c>
      <c r="AW498" s="20" t="str">
        <f t="shared" si="15"/>
        <v>July</v>
      </c>
      <c r="AX498" s="21">
        <f t="shared" si="16"/>
        <v>2025</v>
      </c>
    </row>
    <row r="499" spans="1:50" ht="15.75" customHeight="1">
      <c r="A499" s="10" t="s">
        <v>1621</v>
      </c>
      <c r="B499" s="11">
        <v>45533</v>
      </c>
      <c r="C499" s="11">
        <v>45533</v>
      </c>
      <c r="D499" s="10" t="s">
        <v>1622</v>
      </c>
      <c r="E499" s="10" t="s">
        <v>161</v>
      </c>
      <c r="F499" s="10" t="s">
        <v>66</v>
      </c>
      <c r="G499" s="10" t="s">
        <v>54</v>
      </c>
      <c r="H499" s="10" t="s">
        <v>165</v>
      </c>
      <c r="I499" s="10" t="s">
        <v>166</v>
      </c>
      <c r="J499" s="10" t="s">
        <v>103</v>
      </c>
      <c r="K499" s="10" t="s">
        <v>104</v>
      </c>
      <c r="L499" s="10" t="s">
        <v>1623</v>
      </c>
      <c r="M499" s="10" t="s">
        <v>60</v>
      </c>
      <c r="N499" s="12">
        <v>1</v>
      </c>
      <c r="O499" s="12">
        <v>3106.88</v>
      </c>
      <c r="P499" s="12">
        <v>0.2</v>
      </c>
      <c r="Q499" s="12">
        <v>2485.5</v>
      </c>
      <c r="R499" s="12">
        <v>2028.43</v>
      </c>
      <c r="S499" s="12">
        <v>457.07</v>
      </c>
      <c r="T499" s="10" t="s">
        <v>61</v>
      </c>
      <c r="U499" s="13" t="s">
        <v>97</v>
      </c>
      <c r="V499" s="14" t="e">
        <f t="shared" ca="1" si="0"/>
        <v>#NAME?</v>
      </c>
      <c r="W499" s="10" t="str">
        <f ca="1">IFERROR(__xludf.DUMMYFUNCTION("IF(COUNTIF($A:$A,A493)=1,
""Unique"",
IF(COUNTUNIQUE(FILTER($V$2:$V$934,$A$2:$A$934=A493))&gt;1,
""Conflicting Duplicate"",
""Exact Duplicate""))"),"Unique")</f>
        <v>Unique</v>
      </c>
      <c r="X499" s="10" t="b">
        <f t="shared" ca="1" si="1"/>
        <v>1</v>
      </c>
      <c r="Y499" s="10" t="str">
        <f t="shared" si="2"/>
        <v>Unique</v>
      </c>
      <c r="Z499" s="10"/>
      <c r="AA499" s="10" t="str">
        <f t="shared" si="3"/>
        <v>Clean</v>
      </c>
      <c r="AB499" s="15" t="str">
        <f t="shared" si="4"/>
        <v>Valid</v>
      </c>
      <c r="AC499" s="15">
        <v>0</v>
      </c>
      <c r="AD499" s="16" t="str">
        <f t="shared" si="5"/>
        <v>Valid</v>
      </c>
      <c r="AE499" s="16" t="str">
        <f t="shared" si="6"/>
        <v>Valid</v>
      </c>
      <c r="AF499" s="16" t="str">
        <f t="shared" ref="AF499:AG499" si="1009">IF(ISNUMBER(B499),"Valid","Invalid")</f>
        <v>Valid</v>
      </c>
      <c r="AG499" s="16" t="str">
        <f t="shared" si="1009"/>
        <v>Valid</v>
      </c>
      <c r="AH499" s="16" t="str">
        <f t="shared" ref="AH499:AI499" si="1010">IF(OR(B499="",ISBLANK(B499)),"Missing","Valid")</f>
        <v>Valid</v>
      </c>
      <c r="AI499" s="16" t="str">
        <f t="shared" si="1010"/>
        <v>Valid</v>
      </c>
      <c r="AJ499" s="16" t="b">
        <v>0</v>
      </c>
      <c r="AK499" s="16" t="b">
        <v>0</v>
      </c>
      <c r="AL499" s="16" t="b">
        <v>0</v>
      </c>
      <c r="AM499" s="16" t="b">
        <v>0</v>
      </c>
      <c r="AN499" s="16" t="b">
        <v>0</v>
      </c>
      <c r="AO499" s="16" t="b">
        <v>0</v>
      </c>
      <c r="AP499" s="16" t="b">
        <v>0</v>
      </c>
      <c r="AQ499" s="17">
        <f t="shared" si="9"/>
        <v>0.2</v>
      </c>
      <c r="AR499" s="12">
        <f t="shared" si="10"/>
        <v>2485.5040000000004</v>
      </c>
      <c r="AS499" s="18">
        <f t="shared" si="11"/>
        <v>-4.0000000003601599E-3</v>
      </c>
      <c r="AT499" s="12">
        <f t="shared" si="12"/>
        <v>457.0740000000003</v>
      </c>
      <c r="AU499" s="18">
        <f t="shared" si="13"/>
        <v>-4.0000000003033165E-3</v>
      </c>
      <c r="AV499" s="19">
        <f t="shared" si="14"/>
        <v>0.18389590199814615</v>
      </c>
      <c r="AW499" s="20" t="str">
        <f t="shared" si="15"/>
        <v>August</v>
      </c>
      <c r="AX499" s="21">
        <f t="shared" si="16"/>
        <v>2024</v>
      </c>
    </row>
    <row r="500" spans="1:50" ht="15.75" customHeight="1">
      <c r="A500" s="10" t="s">
        <v>1624</v>
      </c>
      <c r="B500" s="11">
        <v>45907</v>
      </c>
      <c r="C500" s="11">
        <v>45910</v>
      </c>
      <c r="D500" s="10" t="s">
        <v>1625</v>
      </c>
      <c r="E500" s="10" t="s">
        <v>52</v>
      </c>
      <c r="F500" s="10" t="s">
        <v>53</v>
      </c>
      <c r="G500" s="10" t="s">
        <v>54</v>
      </c>
      <c r="H500" s="10" t="s">
        <v>151</v>
      </c>
      <c r="I500" s="10" t="s">
        <v>152</v>
      </c>
      <c r="J500" s="10" t="s">
        <v>70</v>
      </c>
      <c r="K500" s="10" t="s">
        <v>95</v>
      </c>
      <c r="L500" s="10" t="s">
        <v>1626</v>
      </c>
      <c r="M500" s="10" t="s">
        <v>73</v>
      </c>
      <c r="N500" s="12">
        <v>2</v>
      </c>
      <c r="O500" s="12">
        <v>447.55</v>
      </c>
      <c r="P500" s="12">
        <v>0.05</v>
      </c>
      <c r="Q500" s="12">
        <v>850.35</v>
      </c>
      <c r="R500" s="12">
        <v>600.98</v>
      </c>
      <c r="S500" s="12">
        <v>249.37</v>
      </c>
      <c r="T500" s="10" t="s">
        <v>131</v>
      </c>
      <c r="U500" s="13" t="s">
        <v>97</v>
      </c>
      <c r="V500" s="14" t="e">
        <f t="shared" ca="1" si="0"/>
        <v>#NAME?</v>
      </c>
      <c r="W500" s="10" t="str">
        <f ca="1">IFERROR(__xludf.DUMMYFUNCTION("IF(COUNTIF($A:$A,A494)=1,
""Unique"",
IF(COUNTUNIQUE(FILTER($V$2:$V$934,$A$2:$A$934=A494))&gt;1,
""Conflicting Duplicate"",
""Exact Duplicate""))"),"Unique")</f>
        <v>Unique</v>
      </c>
      <c r="X500" s="10" t="b">
        <f t="shared" ca="1" si="1"/>
        <v>1</v>
      </c>
      <c r="Y500" s="10" t="str">
        <f t="shared" si="2"/>
        <v>Unique</v>
      </c>
      <c r="Z500" s="10"/>
      <c r="AA500" s="10" t="str">
        <f t="shared" si="3"/>
        <v>Clean</v>
      </c>
      <c r="AB500" s="15" t="str">
        <f t="shared" si="4"/>
        <v>Valid</v>
      </c>
      <c r="AC500" s="15">
        <v>3</v>
      </c>
      <c r="AD500" s="16" t="str">
        <f t="shared" si="5"/>
        <v>Valid</v>
      </c>
      <c r="AE500" s="16" t="str">
        <f t="shared" si="6"/>
        <v>Valid</v>
      </c>
      <c r="AF500" s="16" t="str">
        <f t="shared" ref="AF500:AG500" si="1011">IF(ISNUMBER(B500),"Valid","Invalid")</f>
        <v>Valid</v>
      </c>
      <c r="AG500" s="16" t="str">
        <f t="shared" si="1011"/>
        <v>Valid</v>
      </c>
      <c r="AH500" s="16" t="str">
        <f t="shared" ref="AH500:AI500" si="1012">IF(OR(B500="",ISBLANK(B500)),"Missing","Valid")</f>
        <v>Valid</v>
      </c>
      <c r="AI500" s="16" t="str">
        <f t="shared" si="1012"/>
        <v>Valid</v>
      </c>
      <c r="AJ500" s="16" t="b">
        <v>0</v>
      </c>
      <c r="AK500" s="16" t="b">
        <v>0</v>
      </c>
      <c r="AL500" s="16" t="b">
        <v>0</v>
      </c>
      <c r="AM500" s="16" t="b">
        <v>0</v>
      </c>
      <c r="AN500" s="16" t="b">
        <v>0</v>
      </c>
      <c r="AO500" s="16" t="b">
        <v>0</v>
      </c>
      <c r="AP500" s="16" t="b">
        <v>0</v>
      </c>
      <c r="AQ500" s="17">
        <f t="shared" si="9"/>
        <v>0.05</v>
      </c>
      <c r="AR500" s="12">
        <f t="shared" si="10"/>
        <v>850.34500000000003</v>
      </c>
      <c r="AS500" s="18">
        <f t="shared" si="11"/>
        <v>4.9999999999954525E-3</v>
      </c>
      <c r="AT500" s="12">
        <f t="shared" si="12"/>
        <v>249.36500000000001</v>
      </c>
      <c r="AU500" s="18">
        <f t="shared" si="13"/>
        <v>4.9999999999954525E-3</v>
      </c>
      <c r="AV500" s="19">
        <f t="shared" si="14"/>
        <v>0.29325156260106194</v>
      </c>
      <c r="AW500" s="20" t="str">
        <f t="shared" si="15"/>
        <v>September</v>
      </c>
      <c r="AX500" s="21">
        <f t="shared" si="16"/>
        <v>2025</v>
      </c>
    </row>
    <row r="501" spans="1:50" ht="15.75" customHeight="1">
      <c r="A501" s="10" t="s">
        <v>1627</v>
      </c>
      <c r="B501" s="11">
        <v>45648</v>
      </c>
      <c r="C501" s="11">
        <v>45652</v>
      </c>
      <c r="D501" s="10" t="s">
        <v>1628</v>
      </c>
      <c r="E501" s="10" t="s">
        <v>147</v>
      </c>
      <c r="F501" s="10" t="s">
        <v>124</v>
      </c>
      <c r="G501" s="10" t="s">
        <v>54</v>
      </c>
      <c r="H501" s="10" t="s">
        <v>165</v>
      </c>
      <c r="I501" s="10" t="s">
        <v>166</v>
      </c>
      <c r="J501" s="10" t="s">
        <v>70</v>
      </c>
      <c r="K501" s="10" t="s">
        <v>95</v>
      </c>
      <c r="L501" s="10" t="s">
        <v>1629</v>
      </c>
      <c r="M501" s="10" t="s">
        <v>88</v>
      </c>
      <c r="N501" s="12">
        <v>9</v>
      </c>
      <c r="O501" s="12">
        <v>1110.8699999999999</v>
      </c>
      <c r="P501" s="12">
        <v>0</v>
      </c>
      <c r="Q501" s="12">
        <v>7498.37</v>
      </c>
      <c r="R501" s="12">
        <v>6059.07</v>
      </c>
      <c r="S501" s="12">
        <v>1439.3</v>
      </c>
      <c r="T501" s="10" t="s">
        <v>61</v>
      </c>
      <c r="U501" s="13" t="s">
        <v>97</v>
      </c>
      <c r="V501" s="14" t="e">
        <f t="shared" ca="1" si="0"/>
        <v>#NAME?</v>
      </c>
      <c r="W501" s="10" t="str">
        <f ca="1">IFERROR(__xludf.DUMMYFUNCTION("IF(COUNTIF($A:$A,A495)=1,
""Unique"",
IF(COUNTUNIQUE(FILTER($V$2:$V$934,$A$2:$A$934=A495))&gt;1,
""Conflicting Duplicate"",
""Exact Duplicate""))"),"Unique")</f>
        <v>Unique</v>
      </c>
      <c r="X501" s="10" t="b">
        <f t="shared" ca="1" si="1"/>
        <v>1</v>
      </c>
      <c r="Y501" s="10" t="str">
        <f t="shared" si="2"/>
        <v>Unique</v>
      </c>
      <c r="Z501" s="10"/>
      <c r="AA501" s="10" t="str">
        <f t="shared" si="3"/>
        <v>Clean</v>
      </c>
      <c r="AB501" s="15" t="str">
        <f t="shared" si="4"/>
        <v>Valid</v>
      </c>
      <c r="AC501" s="15">
        <v>4</v>
      </c>
      <c r="AD501" s="16" t="str">
        <f t="shared" si="5"/>
        <v>Valid</v>
      </c>
      <c r="AE501" s="16" t="str">
        <f t="shared" si="6"/>
        <v>Valid</v>
      </c>
      <c r="AF501" s="16" t="str">
        <f t="shared" ref="AF501:AG501" si="1013">IF(ISNUMBER(B501),"Valid","Invalid")</f>
        <v>Valid</v>
      </c>
      <c r="AG501" s="16" t="str">
        <f t="shared" si="1013"/>
        <v>Valid</v>
      </c>
      <c r="AH501" s="16" t="str">
        <f t="shared" ref="AH501:AI501" si="1014">IF(OR(B501="",ISBLANK(B501)),"Missing","Valid")</f>
        <v>Valid</v>
      </c>
      <c r="AI501" s="16" t="str">
        <f t="shared" si="1014"/>
        <v>Valid</v>
      </c>
      <c r="AJ501" s="16" t="b">
        <v>0</v>
      </c>
      <c r="AK501" s="16" t="b">
        <v>0</v>
      </c>
      <c r="AL501" s="16" t="b">
        <v>1</v>
      </c>
      <c r="AM501" s="16" t="b">
        <v>0</v>
      </c>
      <c r="AN501" s="16" t="b">
        <v>0</v>
      </c>
      <c r="AO501" s="16" t="b">
        <v>0</v>
      </c>
      <c r="AP501" s="16" t="b">
        <v>1</v>
      </c>
      <c r="AQ501" s="17">
        <f t="shared" si="9"/>
        <v>0</v>
      </c>
      <c r="AR501" s="12">
        <f t="shared" si="10"/>
        <v>9997.8299999999981</v>
      </c>
      <c r="AS501" s="18">
        <f t="shared" si="11"/>
        <v>-2499.4599999999982</v>
      </c>
      <c r="AT501" s="12">
        <f t="shared" si="12"/>
        <v>3938.7599999999984</v>
      </c>
      <c r="AU501" s="18">
        <f t="shared" si="13"/>
        <v>-2499.4599999999982</v>
      </c>
      <c r="AV501" s="19">
        <f t="shared" si="14"/>
        <v>0.3939614896432525</v>
      </c>
      <c r="AW501" s="20" t="str">
        <f t="shared" si="15"/>
        <v>December</v>
      </c>
      <c r="AX501" s="21">
        <f t="shared" si="16"/>
        <v>2024</v>
      </c>
    </row>
    <row r="502" spans="1:50" ht="15.75" customHeight="1">
      <c r="A502" s="10" t="s">
        <v>1630</v>
      </c>
      <c r="B502" s="11">
        <v>45429</v>
      </c>
      <c r="C502" s="11">
        <v>45434</v>
      </c>
      <c r="D502" s="10" t="s">
        <v>1631</v>
      </c>
      <c r="E502" s="10" t="s">
        <v>161</v>
      </c>
      <c r="F502" s="10" t="s">
        <v>53</v>
      </c>
      <c r="G502" s="10" t="s">
        <v>83</v>
      </c>
      <c r="H502" s="10" t="s">
        <v>214</v>
      </c>
      <c r="I502" s="10" t="s">
        <v>215</v>
      </c>
      <c r="J502" s="10" t="s">
        <v>103</v>
      </c>
      <c r="K502" s="10" t="s">
        <v>200</v>
      </c>
      <c r="L502" s="10" t="s">
        <v>1632</v>
      </c>
      <c r="M502" s="10" t="s">
        <v>73</v>
      </c>
      <c r="N502" s="12">
        <v>9</v>
      </c>
      <c r="O502" s="12">
        <v>3795.99</v>
      </c>
      <c r="P502" s="10" t="s">
        <v>797</v>
      </c>
      <c r="Q502" s="12">
        <v>34163.910000000003</v>
      </c>
      <c r="R502" s="12">
        <v>28577.15</v>
      </c>
      <c r="S502" s="12">
        <v>5586.76</v>
      </c>
      <c r="T502" s="10" t="s">
        <v>61</v>
      </c>
      <c r="U502" s="13" t="s">
        <v>62</v>
      </c>
      <c r="V502" s="14" t="e">
        <f t="shared" ca="1" si="0"/>
        <v>#NAME?</v>
      </c>
      <c r="W502" s="10" t="str">
        <f ca="1">IFERROR(__xludf.DUMMYFUNCTION("IF(COUNTIF($A:$A,A496)=1,
""Unique"",
IF(COUNTUNIQUE(FILTER($V$2:$V$934,$A$2:$A$934=A496))&gt;1,
""Conflicting Duplicate"",
""Exact Duplicate""))"),"Unique")</f>
        <v>Unique</v>
      </c>
      <c r="X502" s="10" t="b">
        <f t="shared" ca="1" si="1"/>
        <v>1</v>
      </c>
      <c r="Y502" s="10" t="str">
        <f t="shared" si="2"/>
        <v>Unique</v>
      </c>
      <c r="Z502" s="10"/>
      <c r="AA502" s="10" t="str">
        <f t="shared" si="3"/>
        <v>Invalid</v>
      </c>
      <c r="AB502" s="15" t="str">
        <f t="shared" si="4"/>
        <v>Valid</v>
      </c>
      <c r="AC502" s="15">
        <v>5</v>
      </c>
      <c r="AD502" s="16" t="str">
        <f t="shared" si="5"/>
        <v>Valid</v>
      </c>
      <c r="AE502" s="16" t="str">
        <f t="shared" si="6"/>
        <v>Valid</v>
      </c>
      <c r="AF502" s="16" t="str">
        <f t="shared" ref="AF502:AG502" si="1015">IF(ISNUMBER(B502),"Valid","Invalid")</f>
        <v>Valid</v>
      </c>
      <c r="AG502" s="16" t="str">
        <f t="shared" si="1015"/>
        <v>Valid</v>
      </c>
      <c r="AH502" s="16" t="str">
        <f t="shared" ref="AH502:AI502" si="1016">IF(OR(B502="",ISBLANK(B502)),"Missing","Valid")</f>
        <v>Valid</v>
      </c>
      <c r="AI502" s="16" t="str">
        <f t="shared" si="1016"/>
        <v>Valid</v>
      </c>
      <c r="AJ502" s="16" t="b">
        <v>0</v>
      </c>
      <c r="AK502" s="16" t="b">
        <v>0</v>
      </c>
      <c r="AL502" s="16" t="b">
        <v>0</v>
      </c>
      <c r="AM502" s="16" t="b">
        <v>0</v>
      </c>
      <c r="AN502" s="16" t="b">
        <v>0</v>
      </c>
      <c r="AO502" s="16" t="b">
        <v>0</v>
      </c>
      <c r="AP502" s="16" t="b">
        <v>0</v>
      </c>
      <c r="AQ502" s="17" t="str">
        <f t="shared" si="9"/>
        <v>85%</v>
      </c>
      <c r="AR502" s="12">
        <f t="shared" si="10"/>
        <v>5124.5865000000003</v>
      </c>
      <c r="AS502" s="18">
        <f t="shared" si="11"/>
        <v>29039.323500000002</v>
      </c>
      <c r="AT502" s="12">
        <f t="shared" si="12"/>
        <v>-23452.5635</v>
      </c>
      <c r="AU502" s="18">
        <f t="shared" si="13"/>
        <v>29039.323499999999</v>
      </c>
      <c r="AV502" s="19">
        <f t="shared" si="14"/>
        <v>-4.5764791949555343</v>
      </c>
      <c r="AW502" s="20" t="str">
        <f t="shared" si="15"/>
        <v>May</v>
      </c>
      <c r="AX502" s="21">
        <f t="shared" si="16"/>
        <v>2024</v>
      </c>
    </row>
    <row r="503" spans="1:50" ht="15.75" customHeight="1">
      <c r="A503" s="10" t="s">
        <v>1633</v>
      </c>
      <c r="B503" s="11">
        <v>45515</v>
      </c>
      <c r="C503" s="11">
        <v>45521</v>
      </c>
      <c r="D503" s="10" t="s">
        <v>838</v>
      </c>
      <c r="E503" s="10" t="s">
        <v>108</v>
      </c>
      <c r="F503" s="10" t="s">
        <v>53</v>
      </c>
      <c r="G503" s="10" t="s">
        <v>67</v>
      </c>
      <c r="H503" s="10" t="s">
        <v>258</v>
      </c>
      <c r="I503" s="10" t="s">
        <v>259</v>
      </c>
      <c r="J503" s="10" t="s">
        <v>57</v>
      </c>
      <c r="K503" s="10" t="s">
        <v>77</v>
      </c>
      <c r="L503" s="10" t="s">
        <v>1634</v>
      </c>
      <c r="M503" s="10" t="s">
        <v>60</v>
      </c>
      <c r="N503" s="12">
        <v>6</v>
      </c>
      <c r="O503" s="12">
        <v>3497.54</v>
      </c>
      <c r="P503" s="12">
        <v>0.15</v>
      </c>
      <c r="Q503" s="12">
        <v>17837.45</v>
      </c>
      <c r="R503" s="12">
        <v>13627.02</v>
      </c>
      <c r="S503" s="12">
        <v>4210.43</v>
      </c>
      <c r="T503" s="10" t="s">
        <v>61</v>
      </c>
      <c r="U503" s="13" t="s">
        <v>62</v>
      </c>
      <c r="V503" s="14" t="e">
        <f t="shared" ca="1" si="0"/>
        <v>#NAME?</v>
      </c>
      <c r="W503" s="10" t="str">
        <f ca="1">IFERROR(__xludf.DUMMYFUNCTION("IF(COUNTIF($A:$A,A497)=1,
""Unique"",
IF(COUNTUNIQUE(FILTER($V$2:$V$934,$A$2:$A$934=A497))&gt;1,
""Conflicting Duplicate"",
""Exact Duplicate""))"),"Unique")</f>
        <v>Unique</v>
      </c>
      <c r="X503" s="10" t="b">
        <f t="shared" ca="1" si="1"/>
        <v>1</v>
      </c>
      <c r="Y503" s="10" t="str">
        <f t="shared" si="2"/>
        <v>Unique</v>
      </c>
      <c r="Z503" s="10"/>
      <c r="AA503" s="10" t="str">
        <f t="shared" si="3"/>
        <v>Clean</v>
      </c>
      <c r="AB503" s="15" t="str">
        <f t="shared" si="4"/>
        <v>Valid</v>
      </c>
      <c r="AC503" s="15">
        <v>6</v>
      </c>
      <c r="AD503" s="16" t="str">
        <f t="shared" si="5"/>
        <v>Valid</v>
      </c>
      <c r="AE503" s="16" t="str">
        <f t="shared" si="6"/>
        <v>Valid</v>
      </c>
      <c r="AF503" s="16" t="str">
        <f t="shared" ref="AF503:AG503" si="1017">IF(ISNUMBER(B503),"Valid","Invalid")</f>
        <v>Valid</v>
      </c>
      <c r="AG503" s="16" t="str">
        <f t="shared" si="1017"/>
        <v>Valid</v>
      </c>
      <c r="AH503" s="16" t="str">
        <f t="shared" ref="AH503:AI503" si="1018">IF(OR(B503="",ISBLANK(B503)),"Missing","Valid")</f>
        <v>Valid</v>
      </c>
      <c r="AI503" s="16" t="str">
        <f t="shared" si="1018"/>
        <v>Valid</v>
      </c>
      <c r="AJ503" s="16" t="b">
        <v>0</v>
      </c>
      <c r="AK503" s="16" t="b">
        <v>0</v>
      </c>
      <c r="AL503" s="16" t="b">
        <v>0</v>
      </c>
      <c r="AM503" s="16" t="b">
        <v>0</v>
      </c>
      <c r="AN503" s="16" t="b">
        <v>0</v>
      </c>
      <c r="AO503" s="16" t="b">
        <v>0</v>
      </c>
      <c r="AP503" s="16" t="b">
        <v>0</v>
      </c>
      <c r="AQ503" s="17">
        <f t="shared" si="9"/>
        <v>0.15</v>
      </c>
      <c r="AR503" s="12">
        <f t="shared" si="10"/>
        <v>17837.453999999998</v>
      </c>
      <c r="AS503" s="18">
        <f t="shared" si="11"/>
        <v>-3.9999999971769284E-3</v>
      </c>
      <c r="AT503" s="12">
        <f t="shared" si="12"/>
        <v>4210.4339999999975</v>
      </c>
      <c r="AU503" s="18">
        <f t="shared" si="13"/>
        <v>-3.9999999971769284E-3</v>
      </c>
      <c r="AV503" s="19">
        <f t="shared" si="14"/>
        <v>0.23604456106796395</v>
      </c>
      <c r="AW503" s="20" t="str">
        <f t="shared" si="15"/>
        <v>August</v>
      </c>
      <c r="AX503" s="21">
        <f t="shared" si="16"/>
        <v>2024</v>
      </c>
    </row>
    <row r="504" spans="1:50" ht="15.75" customHeight="1">
      <c r="A504" s="10" t="s">
        <v>1635</v>
      </c>
      <c r="B504" s="11">
        <v>45383</v>
      </c>
      <c r="C504" s="11">
        <v>45391</v>
      </c>
      <c r="D504" s="10" t="s">
        <v>1636</v>
      </c>
      <c r="E504" s="10" t="s">
        <v>143</v>
      </c>
      <c r="F504" s="10" t="s">
        <v>66</v>
      </c>
      <c r="G504" s="10" t="s">
        <v>67</v>
      </c>
      <c r="H504" s="10" t="s">
        <v>68</v>
      </c>
      <c r="I504" s="10" t="s">
        <v>69</v>
      </c>
      <c r="J504" s="10" t="s">
        <v>103</v>
      </c>
      <c r="K504" s="10" t="s">
        <v>109</v>
      </c>
      <c r="L504" s="10" t="s">
        <v>1637</v>
      </c>
      <c r="M504" s="10" t="s">
        <v>60</v>
      </c>
      <c r="N504" s="12">
        <v>6</v>
      </c>
      <c r="O504" s="12">
        <v>826.93</v>
      </c>
      <c r="P504" s="12">
        <v>0.1</v>
      </c>
      <c r="Q504" s="12">
        <v>4465.42</v>
      </c>
      <c r="R504" s="12">
        <v>3377.1</v>
      </c>
      <c r="S504" s="12">
        <v>1088.32</v>
      </c>
      <c r="T504" s="10" t="s">
        <v>61</v>
      </c>
      <c r="U504" s="13" t="s">
        <v>62</v>
      </c>
      <c r="V504" s="14" t="e">
        <f t="shared" ca="1" si="0"/>
        <v>#NAME?</v>
      </c>
      <c r="W504" s="10" t="str">
        <f ca="1">IFERROR(__xludf.DUMMYFUNCTION("IF(COUNTIF($A:$A,A498)=1,
""Unique"",
IF(COUNTUNIQUE(FILTER($V$2:$V$934,$A$2:$A$934=A498))&gt;1,
""Conflicting Duplicate"",
""Exact Duplicate""))"),"Unique")</f>
        <v>Unique</v>
      </c>
      <c r="X504" s="10" t="b">
        <f t="shared" ca="1" si="1"/>
        <v>1</v>
      </c>
      <c r="Y504" s="10" t="str">
        <f t="shared" si="2"/>
        <v>Duplicate Order ID</v>
      </c>
      <c r="Z504" s="10"/>
      <c r="AA504" s="10" t="str">
        <f t="shared" si="3"/>
        <v>Clean</v>
      </c>
      <c r="AB504" s="15" t="str">
        <f t="shared" si="4"/>
        <v>Valid</v>
      </c>
      <c r="AC504" s="15">
        <v>8</v>
      </c>
      <c r="AD504" s="16" t="str">
        <f t="shared" si="5"/>
        <v>Valid</v>
      </c>
      <c r="AE504" s="16" t="str">
        <f t="shared" si="6"/>
        <v>Valid</v>
      </c>
      <c r="AF504" s="16" t="str">
        <f t="shared" ref="AF504:AG504" si="1019">IF(ISNUMBER(B504),"Valid","Invalid")</f>
        <v>Valid</v>
      </c>
      <c r="AG504" s="16" t="str">
        <f t="shared" si="1019"/>
        <v>Valid</v>
      </c>
      <c r="AH504" s="16" t="str">
        <f t="shared" ref="AH504:AI504" si="1020">IF(OR(B504="",ISBLANK(B504)),"Missing","Valid")</f>
        <v>Valid</v>
      </c>
      <c r="AI504" s="16" t="str">
        <f t="shared" si="1020"/>
        <v>Valid</v>
      </c>
      <c r="AJ504" s="16" t="b">
        <v>0</v>
      </c>
      <c r="AK504" s="16" t="b">
        <v>0</v>
      </c>
      <c r="AL504" s="16" t="b">
        <v>0</v>
      </c>
      <c r="AM504" s="16" t="b">
        <v>0</v>
      </c>
      <c r="AN504" s="16" t="b">
        <v>0</v>
      </c>
      <c r="AO504" s="16" t="b">
        <v>0</v>
      </c>
      <c r="AP504" s="16" t="b">
        <v>0</v>
      </c>
      <c r="AQ504" s="17">
        <f t="shared" si="9"/>
        <v>0.1</v>
      </c>
      <c r="AR504" s="12">
        <f t="shared" si="10"/>
        <v>4465.4220000000005</v>
      </c>
      <c r="AS504" s="18">
        <f t="shared" si="11"/>
        <v>-2.0000000004074536E-3</v>
      </c>
      <c r="AT504" s="12">
        <f t="shared" si="12"/>
        <v>1088.3220000000006</v>
      </c>
      <c r="AU504" s="18">
        <f t="shared" si="13"/>
        <v>-2.0000000006348273E-3</v>
      </c>
      <c r="AV504" s="19">
        <f t="shared" si="14"/>
        <v>0.24372209390288319</v>
      </c>
      <c r="AW504" s="20" t="str">
        <f t="shared" si="15"/>
        <v>April</v>
      </c>
      <c r="AX504" s="21">
        <f t="shared" si="16"/>
        <v>2024</v>
      </c>
    </row>
    <row r="505" spans="1:50" ht="15.75" customHeight="1">
      <c r="A505" s="10" t="s">
        <v>1638</v>
      </c>
      <c r="B505" s="11">
        <v>45563</v>
      </c>
      <c r="C505" s="11">
        <v>45570</v>
      </c>
      <c r="D505" s="10" t="s">
        <v>1639</v>
      </c>
      <c r="E505" s="10" t="s">
        <v>157</v>
      </c>
      <c r="F505" s="10" t="s">
        <v>53</v>
      </c>
      <c r="G505" s="10" t="s">
        <v>83</v>
      </c>
      <c r="H505" s="10" t="s">
        <v>277</v>
      </c>
      <c r="I505" s="10" t="s">
        <v>278</v>
      </c>
      <c r="J505" s="10" t="s">
        <v>103</v>
      </c>
      <c r="K505" s="10" t="s">
        <v>200</v>
      </c>
      <c r="L505" s="10" t="s">
        <v>1640</v>
      </c>
      <c r="M505" s="10" t="s">
        <v>88</v>
      </c>
      <c r="N505" s="12">
        <v>7</v>
      </c>
      <c r="O505" s="12">
        <v>1681.6</v>
      </c>
      <c r="P505" s="12">
        <v>0.1</v>
      </c>
      <c r="Q505" s="12">
        <v>10594.08</v>
      </c>
      <c r="R505" s="12">
        <v>7160.31</v>
      </c>
      <c r="S505" s="12">
        <v>3433.77</v>
      </c>
      <c r="T505" s="10" t="s">
        <v>61</v>
      </c>
      <c r="U505" s="13" t="s">
        <v>62</v>
      </c>
      <c r="V505" s="14" t="e">
        <f t="shared" ca="1" si="0"/>
        <v>#NAME?</v>
      </c>
      <c r="W505" s="10" t="str">
        <f ca="1">IFERROR(__xludf.DUMMYFUNCTION("IF(COUNTIF($A:$A,A499)=1,
""Unique"",
IF(COUNTUNIQUE(FILTER($V$2:$V$934,$A$2:$A$934=A499))&gt;1,
""Conflicting Duplicate"",
""Exact Duplicate""))"),"Unique")</f>
        <v>Unique</v>
      </c>
      <c r="X505" s="10" t="b">
        <f t="shared" ca="1" si="1"/>
        <v>1</v>
      </c>
      <c r="Y505" s="10" t="str">
        <f t="shared" si="2"/>
        <v>Unique</v>
      </c>
      <c r="Z505" s="10"/>
      <c r="AA505" s="10" t="str">
        <f t="shared" si="3"/>
        <v>Clean</v>
      </c>
      <c r="AB505" s="15" t="str">
        <f t="shared" si="4"/>
        <v>Valid</v>
      </c>
      <c r="AC505" s="15">
        <v>7</v>
      </c>
      <c r="AD505" s="16" t="str">
        <f t="shared" si="5"/>
        <v>Valid</v>
      </c>
      <c r="AE505" s="16" t="str">
        <f t="shared" si="6"/>
        <v>Valid</v>
      </c>
      <c r="AF505" s="16" t="str">
        <f t="shared" ref="AF505:AG505" si="1021">IF(ISNUMBER(B505),"Valid","Invalid")</f>
        <v>Valid</v>
      </c>
      <c r="AG505" s="16" t="str">
        <f t="shared" si="1021"/>
        <v>Valid</v>
      </c>
      <c r="AH505" s="16" t="str">
        <f t="shared" ref="AH505:AI505" si="1022">IF(OR(B505="",ISBLANK(B505)),"Missing","Valid")</f>
        <v>Valid</v>
      </c>
      <c r="AI505" s="16" t="str">
        <f t="shared" si="1022"/>
        <v>Valid</v>
      </c>
      <c r="AJ505" s="16" t="b">
        <v>0</v>
      </c>
      <c r="AK505" s="16" t="b">
        <v>0</v>
      </c>
      <c r="AL505" s="16" t="b">
        <v>0</v>
      </c>
      <c r="AM505" s="16" t="b">
        <v>0</v>
      </c>
      <c r="AN505" s="16" t="b">
        <v>0</v>
      </c>
      <c r="AO505" s="16" t="b">
        <v>0</v>
      </c>
      <c r="AP505" s="16" t="b">
        <v>0</v>
      </c>
      <c r="AQ505" s="17">
        <f t="shared" si="9"/>
        <v>0.1</v>
      </c>
      <c r="AR505" s="12">
        <f t="shared" si="10"/>
        <v>10594.08</v>
      </c>
      <c r="AS505" s="18">
        <f t="shared" si="11"/>
        <v>0</v>
      </c>
      <c r="AT505" s="12">
        <f t="shared" si="12"/>
        <v>3433.7699999999995</v>
      </c>
      <c r="AU505" s="18">
        <f t="shared" si="13"/>
        <v>0</v>
      </c>
      <c r="AV505" s="19">
        <f t="shared" si="14"/>
        <v>0.32412158488514337</v>
      </c>
      <c r="AW505" s="20" t="str">
        <f t="shared" si="15"/>
        <v>September</v>
      </c>
      <c r="AX505" s="21">
        <f t="shared" si="16"/>
        <v>2024</v>
      </c>
    </row>
    <row r="506" spans="1:50" ht="15.75" customHeight="1">
      <c r="A506" s="10" t="s">
        <v>1641</v>
      </c>
      <c r="B506" s="11">
        <v>45700</v>
      </c>
      <c r="C506" s="11">
        <v>45705</v>
      </c>
      <c r="D506" s="10" t="s">
        <v>1642</v>
      </c>
      <c r="E506" s="10" t="s">
        <v>82</v>
      </c>
      <c r="F506" s="10" t="s">
        <v>119</v>
      </c>
      <c r="G506" s="10" t="s">
        <v>92</v>
      </c>
      <c r="H506" s="10" t="s">
        <v>209</v>
      </c>
      <c r="I506" s="10" t="s">
        <v>210</v>
      </c>
      <c r="J506" s="10" t="s">
        <v>57</v>
      </c>
      <c r="K506" s="10" t="s">
        <v>77</v>
      </c>
      <c r="L506" s="10" t="s">
        <v>1643</v>
      </c>
      <c r="M506" s="10" t="s">
        <v>88</v>
      </c>
      <c r="N506" s="12">
        <v>4</v>
      </c>
      <c r="O506" s="12">
        <v>4328.12</v>
      </c>
      <c r="P506" s="12">
        <v>0</v>
      </c>
      <c r="Q506" s="12">
        <v>17312.48</v>
      </c>
      <c r="R506" s="12">
        <v>14424.22</v>
      </c>
      <c r="S506" s="12">
        <v>2888.26</v>
      </c>
      <c r="T506" s="10" t="s">
        <v>61</v>
      </c>
      <c r="U506" s="13" t="s">
        <v>62</v>
      </c>
      <c r="V506" s="14" t="e">
        <f t="shared" ca="1" si="0"/>
        <v>#NAME?</v>
      </c>
      <c r="W506" s="10" t="str">
        <f ca="1">IFERROR(__xludf.DUMMYFUNCTION("IF(COUNTIF($A:$A,A500)=1,
""Unique"",
IF(COUNTUNIQUE(FILTER($V$2:$V$934,$A$2:$A$934=A500))&gt;1,
""Conflicting Duplicate"",
""Exact Duplicate""))"),"Unique")</f>
        <v>Unique</v>
      </c>
      <c r="X506" s="10" t="b">
        <f t="shared" ca="1" si="1"/>
        <v>1</v>
      </c>
      <c r="Y506" s="10" t="str">
        <f t="shared" si="2"/>
        <v>Unique</v>
      </c>
      <c r="Z506" s="10"/>
      <c r="AA506" s="10" t="str">
        <f t="shared" si="3"/>
        <v>Clean</v>
      </c>
      <c r="AB506" s="15" t="str">
        <f t="shared" si="4"/>
        <v>Valid</v>
      </c>
      <c r="AC506" s="15">
        <v>5</v>
      </c>
      <c r="AD506" s="16" t="str">
        <f t="shared" si="5"/>
        <v>Valid</v>
      </c>
      <c r="AE506" s="16" t="str">
        <f t="shared" si="6"/>
        <v>Valid</v>
      </c>
      <c r="AF506" s="16" t="str">
        <f t="shared" ref="AF506:AG506" si="1023">IF(ISNUMBER(B506),"Valid","Invalid")</f>
        <v>Valid</v>
      </c>
      <c r="AG506" s="16" t="str">
        <f t="shared" si="1023"/>
        <v>Valid</v>
      </c>
      <c r="AH506" s="16" t="str">
        <f t="shared" ref="AH506:AI506" si="1024">IF(OR(B506="",ISBLANK(B506)),"Missing","Valid")</f>
        <v>Valid</v>
      </c>
      <c r="AI506" s="16" t="str">
        <f t="shared" si="1024"/>
        <v>Valid</v>
      </c>
      <c r="AJ506" s="16" t="b">
        <v>0</v>
      </c>
      <c r="AK506" s="16" t="b">
        <v>0</v>
      </c>
      <c r="AL506" s="16" t="b">
        <v>0</v>
      </c>
      <c r="AM506" s="16" t="b">
        <v>0</v>
      </c>
      <c r="AN506" s="16" t="b">
        <v>0</v>
      </c>
      <c r="AO506" s="16" t="b">
        <v>0</v>
      </c>
      <c r="AP506" s="16" t="b">
        <v>0</v>
      </c>
      <c r="AQ506" s="17">
        <f t="shared" si="9"/>
        <v>0</v>
      </c>
      <c r="AR506" s="12">
        <f t="shared" si="10"/>
        <v>17312.48</v>
      </c>
      <c r="AS506" s="18">
        <f t="shared" si="11"/>
        <v>0</v>
      </c>
      <c r="AT506" s="12">
        <f t="shared" si="12"/>
        <v>2888.26</v>
      </c>
      <c r="AU506" s="18">
        <f t="shared" si="13"/>
        <v>0</v>
      </c>
      <c r="AV506" s="19">
        <f t="shared" si="14"/>
        <v>0.16683109525613893</v>
      </c>
      <c r="AW506" s="20" t="str">
        <f t="shared" si="15"/>
        <v>February</v>
      </c>
      <c r="AX506" s="21">
        <f t="shared" si="16"/>
        <v>2025</v>
      </c>
    </row>
    <row r="507" spans="1:50" ht="15.75" customHeight="1">
      <c r="A507" s="10" t="s">
        <v>1644</v>
      </c>
      <c r="B507" s="11">
        <v>45605</v>
      </c>
      <c r="C507" s="11">
        <v>45610</v>
      </c>
      <c r="D507" s="10" t="s">
        <v>1645</v>
      </c>
      <c r="E507" s="10" t="s">
        <v>108</v>
      </c>
      <c r="F507" s="10" t="s">
        <v>119</v>
      </c>
      <c r="G507" s="10" t="s">
        <v>92</v>
      </c>
      <c r="H507" s="10" t="s">
        <v>101</v>
      </c>
      <c r="I507" s="10" t="s">
        <v>102</v>
      </c>
      <c r="J507" s="10" t="s">
        <v>57</v>
      </c>
      <c r="K507" s="10" t="s">
        <v>77</v>
      </c>
      <c r="L507" s="10" t="s">
        <v>1646</v>
      </c>
      <c r="M507" s="10" t="s">
        <v>79</v>
      </c>
      <c r="N507" s="12">
        <v>9</v>
      </c>
      <c r="O507" s="12">
        <v>2438.29</v>
      </c>
      <c r="P507" s="12">
        <v>0.2</v>
      </c>
      <c r="Q507" s="12">
        <v>17555.689999999999</v>
      </c>
      <c r="R507" s="12">
        <v>13293.2</v>
      </c>
      <c r="S507" s="12">
        <v>4262.49</v>
      </c>
      <c r="T507" s="10" t="s">
        <v>61</v>
      </c>
      <c r="U507" s="13" t="s">
        <v>97</v>
      </c>
      <c r="V507" s="14" t="e">
        <f t="shared" ca="1" si="0"/>
        <v>#NAME?</v>
      </c>
      <c r="W507" s="10" t="str">
        <f ca="1">IFERROR(__xludf.DUMMYFUNCTION("IF(COUNTIF($A:$A,A501)=1,
""Unique"",
IF(COUNTUNIQUE(FILTER($V$2:$V$934,$A$2:$A$934=A501))&gt;1,
""Conflicting Duplicate"",
""Exact Duplicate""))"),"Unique")</f>
        <v>Unique</v>
      </c>
      <c r="X507" s="10" t="b">
        <f t="shared" ca="1" si="1"/>
        <v>1</v>
      </c>
      <c r="Y507" s="10" t="str">
        <f t="shared" si="2"/>
        <v>Unique</v>
      </c>
      <c r="Z507" s="10"/>
      <c r="AA507" s="10" t="str">
        <f t="shared" si="3"/>
        <v>Clean</v>
      </c>
      <c r="AB507" s="15" t="str">
        <f t="shared" si="4"/>
        <v>Valid</v>
      </c>
      <c r="AC507" s="15">
        <v>5</v>
      </c>
      <c r="AD507" s="16" t="str">
        <f t="shared" si="5"/>
        <v>Valid</v>
      </c>
      <c r="AE507" s="16" t="str">
        <f t="shared" si="6"/>
        <v>Valid</v>
      </c>
      <c r="AF507" s="16" t="str">
        <f t="shared" ref="AF507:AG507" si="1025">IF(ISNUMBER(B507),"Valid","Invalid")</f>
        <v>Valid</v>
      </c>
      <c r="AG507" s="16" t="str">
        <f t="shared" si="1025"/>
        <v>Valid</v>
      </c>
      <c r="AH507" s="16" t="str">
        <f t="shared" ref="AH507:AI507" si="1026">IF(OR(B507="",ISBLANK(B507)),"Missing","Valid")</f>
        <v>Valid</v>
      </c>
      <c r="AI507" s="16" t="str">
        <f t="shared" si="1026"/>
        <v>Valid</v>
      </c>
      <c r="AJ507" s="16" t="b">
        <v>0</v>
      </c>
      <c r="AK507" s="16" t="b">
        <v>0</v>
      </c>
      <c r="AL507" s="16" t="b">
        <v>0</v>
      </c>
      <c r="AM507" s="16" t="b">
        <v>0</v>
      </c>
      <c r="AN507" s="16" t="b">
        <v>0</v>
      </c>
      <c r="AO507" s="16" t="b">
        <v>0</v>
      </c>
      <c r="AP507" s="16" t="b">
        <v>0</v>
      </c>
      <c r="AQ507" s="17">
        <f t="shared" si="9"/>
        <v>0.2</v>
      </c>
      <c r="AR507" s="12">
        <f t="shared" si="10"/>
        <v>17555.688000000002</v>
      </c>
      <c r="AS507" s="18">
        <f t="shared" si="11"/>
        <v>1.9999999967694748E-3</v>
      </c>
      <c r="AT507" s="12">
        <f t="shared" si="12"/>
        <v>4262.4880000000012</v>
      </c>
      <c r="AU507" s="18">
        <f t="shared" si="13"/>
        <v>1.9999999985884642E-3</v>
      </c>
      <c r="AV507" s="19">
        <f t="shared" si="14"/>
        <v>0.24279811762432785</v>
      </c>
      <c r="AW507" s="20" t="str">
        <f t="shared" si="15"/>
        <v>November</v>
      </c>
      <c r="AX507" s="21">
        <f t="shared" si="16"/>
        <v>2024</v>
      </c>
    </row>
    <row r="508" spans="1:50" ht="15.75" customHeight="1">
      <c r="A508" s="10" t="s">
        <v>1647</v>
      </c>
      <c r="B508" s="11">
        <v>45641</v>
      </c>
      <c r="C508" s="11">
        <v>45641</v>
      </c>
      <c r="D508" s="10" t="s">
        <v>1648</v>
      </c>
      <c r="E508" s="10" t="s">
        <v>157</v>
      </c>
      <c r="F508" s="10" t="s">
        <v>66</v>
      </c>
      <c r="G508" s="10" t="s">
        <v>54</v>
      </c>
      <c r="H508" s="10" t="s">
        <v>151</v>
      </c>
      <c r="I508" s="10" t="s">
        <v>152</v>
      </c>
      <c r="J508" s="10" t="s">
        <v>70</v>
      </c>
      <c r="K508" s="10" t="s">
        <v>86</v>
      </c>
      <c r="L508" s="10" t="s">
        <v>1649</v>
      </c>
      <c r="M508" s="10" t="s">
        <v>79</v>
      </c>
      <c r="N508" s="12">
        <v>2</v>
      </c>
      <c r="O508" s="12">
        <v>669.8</v>
      </c>
      <c r="P508" s="12">
        <v>0.1</v>
      </c>
      <c r="Q508" s="12">
        <v>1205.6400000000001</v>
      </c>
      <c r="R508" s="12">
        <v>842.07</v>
      </c>
      <c r="S508" s="12">
        <v>363.57</v>
      </c>
      <c r="T508" s="10" t="s">
        <v>131</v>
      </c>
      <c r="U508" s="13" t="s">
        <v>132</v>
      </c>
      <c r="V508" s="14" t="e">
        <f t="shared" ca="1" si="0"/>
        <v>#NAME?</v>
      </c>
      <c r="W508" s="10" t="str">
        <f ca="1">IFERROR(__xludf.DUMMYFUNCTION("IF(COUNTIF($A:$A,A502)=1,
""Unique"",
IF(COUNTUNIQUE(FILTER($V$2:$V$934,$A$2:$A$934=A502))&gt;1,
""Conflicting Duplicate"",
""Exact Duplicate""))"),"Unique")</f>
        <v>Unique</v>
      </c>
      <c r="X508" s="10" t="b">
        <f t="shared" ca="1" si="1"/>
        <v>1</v>
      </c>
      <c r="Y508" s="10" t="str">
        <f t="shared" si="2"/>
        <v>Unique</v>
      </c>
      <c r="Z508" s="10"/>
      <c r="AA508" s="10" t="str">
        <f t="shared" si="3"/>
        <v>Clean</v>
      </c>
      <c r="AB508" s="15" t="str">
        <f t="shared" si="4"/>
        <v>Valid</v>
      </c>
      <c r="AC508" s="15">
        <v>0</v>
      </c>
      <c r="AD508" s="16" t="str">
        <f t="shared" si="5"/>
        <v>Valid</v>
      </c>
      <c r="AE508" s="16" t="str">
        <f t="shared" si="6"/>
        <v>Valid</v>
      </c>
      <c r="AF508" s="16" t="str">
        <f t="shared" ref="AF508:AG508" si="1027">IF(ISNUMBER(B508),"Valid","Invalid")</f>
        <v>Valid</v>
      </c>
      <c r="AG508" s="16" t="str">
        <f t="shared" si="1027"/>
        <v>Valid</v>
      </c>
      <c r="AH508" s="16" t="str">
        <f t="shared" ref="AH508:AI508" si="1028">IF(OR(B508="",ISBLANK(B508)),"Missing","Valid")</f>
        <v>Valid</v>
      </c>
      <c r="AI508" s="16" t="str">
        <f t="shared" si="1028"/>
        <v>Valid</v>
      </c>
      <c r="AJ508" s="16" t="b">
        <v>0</v>
      </c>
      <c r="AK508" s="16" t="b">
        <v>0</v>
      </c>
      <c r="AL508" s="16" t="b">
        <v>0</v>
      </c>
      <c r="AM508" s="16" t="b">
        <v>0</v>
      </c>
      <c r="AN508" s="16" t="b">
        <v>0</v>
      </c>
      <c r="AO508" s="16" t="b">
        <v>0</v>
      </c>
      <c r="AP508" s="16" t="b">
        <v>0</v>
      </c>
      <c r="AQ508" s="17">
        <f t="shared" si="9"/>
        <v>0.1</v>
      </c>
      <c r="AR508" s="12">
        <f t="shared" si="10"/>
        <v>1205.6399999999999</v>
      </c>
      <c r="AS508" s="18">
        <f t="shared" si="11"/>
        <v>0</v>
      </c>
      <c r="AT508" s="12">
        <f t="shared" si="12"/>
        <v>363.56999999999982</v>
      </c>
      <c r="AU508" s="18">
        <f t="shared" si="13"/>
        <v>0</v>
      </c>
      <c r="AV508" s="19">
        <f t="shared" si="14"/>
        <v>0.30155767890912699</v>
      </c>
      <c r="AW508" s="20" t="str">
        <f t="shared" si="15"/>
        <v>December</v>
      </c>
      <c r="AX508" s="21">
        <f t="shared" si="16"/>
        <v>2024</v>
      </c>
    </row>
    <row r="509" spans="1:50" ht="15.75" customHeight="1">
      <c r="A509" s="10" t="s">
        <v>1650</v>
      </c>
      <c r="B509" s="11">
        <v>45762</v>
      </c>
      <c r="C509" s="11">
        <v>45769</v>
      </c>
      <c r="D509" s="10" t="s">
        <v>1651</v>
      </c>
      <c r="E509" s="10" t="s">
        <v>76</v>
      </c>
      <c r="F509" s="10" t="s">
        <v>66</v>
      </c>
      <c r="G509" s="10" t="s">
        <v>54</v>
      </c>
      <c r="H509" s="10" t="s">
        <v>266</v>
      </c>
      <c r="I509" s="10" t="s">
        <v>267</v>
      </c>
      <c r="J509" s="10" t="s">
        <v>57</v>
      </c>
      <c r="K509" s="10" t="s">
        <v>182</v>
      </c>
      <c r="L509" s="10" t="s">
        <v>1652</v>
      </c>
      <c r="M509" s="10" t="s">
        <v>73</v>
      </c>
      <c r="N509" s="12">
        <v>4</v>
      </c>
      <c r="O509" s="12">
        <v>2990.42</v>
      </c>
      <c r="P509" s="12">
        <v>0.25</v>
      </c>
      <c r="Q509" s="12">
        <v>8971.26</v>
      </c>
      <c r="R509" s="12">
        <v>6814.35</v>
      </c>
      <c r="S509" s="12">
        <v>2156.91</v>
      </c>
      <c r="T509" s="10" t="s">
        <v>61</v>
      </c>
      <c r="U509" s="13" t="s">
        <v>62</v>
      </c>
      <c r="V509" s="14" t="e">
        <f t="shared" ca="1" si="0"/>
        <v>#NAME?</v>
      </c>
      <c r="W509" s="10" t="str">
        <f ca="1">IFERROR(__xludf.DUMMYFUNCTION("IF(COUNTIF($A:$A,A503)=1,
""Unique"",
IF(COUNTUNIQUE(FILTER($V$2:$V$934,$A$2:$A$934=A503))&gt;1,
""Conflicting Duplicate"",
""Exact Duplicate""))"),"Unique")</f>
        <v>Unique</v>
      </c>
      <c r="X509" s="10" t="b">
        <f t="shared" ca="1" si="1"/>
        <v>1</v>
      </c>
      <c r="Y509" s="10" t="str">
        <f t="shared" si="2"/>
        <v>Unique</v>
      </c>
      <c r="Z509" s="10"/>
      <c r="AA509" s="10" t="str">
        <f t="shared" si="3"/>
        <v>Clean</v>
      </c>
      <c r="AB509" s="15" t="str">
        <f t="shared" si="4"/>
        <v>Valid</v>
      </c>
      <c r="AC509" s="15">
        <v>7</v>
      </c>
      <c r="AD509" s="16" t="str">
        <f t="shared" si="5"/>
        <v>Valid</v>
      </c>
      <c r="AE509" s="16" t="str">
        <f t="shared" si="6"/>
        <v>Valid</v>
      </c>
      <c r="AF509" s="16" t="str">
        <f t="shared" ref="AF509:AG509" si="1029">IF(ISNUMBER(B509),"Valid","Invalid")</f>
        <v>Valid</v>
      </c>
      <c r="AG509" s="16" t="str">
        <f t="shared" si="1029"/>
        <v>Valid</v>
      </c>
      <c r="AH509" s="16" t="str">
        <f t="shared" ref="AH509:AI509" si="1030">IF(OR(B509="",ISBLANK(B509)),"Missing","Valid")</f>
        <v>Valid</v>
      </c>
      <c r="AI509" s="16" t="str">
        <f t="shared" si="1030"/>
        <v>Valid</v>
      </c>
      <c r="AJ509" s="16" t="b">
        <v>0</v>
      </c>
      <c r="AK509" s="16" t="b">
        <v>0</v>
      </c>
      <c r="AL509" s="16" t="b">
        <v>0</v>
      </c>
      <c r="AM509" s="16" t="b">
        <v>0</v>
      </c>
      <c r="AN509" s="16" t="b">
        <v>0</v>
      </c>
      <c r="AO509" s="16" t="b">
        <v>0</v>
      </c>
      <c r="AP509" s="16" t="b">
        <v>0</v>
      </c>
      <c r="AQ509" s="17">
        <f t="shared" si="9"/>
        <v>0.25</v>
      </c>
      <c r="AR509" s="12">
        <f t="shared" si="10"/>
        <v>8971.26</v>
      </c>
      <c r="AS509" s="18">
        <f t="shared" si="11"/>
        <v>0</v>
      </c>
      <c r="AT509" s="12">
        <f t="shared" si="12"/>
        <v>2156.91</v>
      </c>
      <c r="AU509" s="18">
        <f t="shared" si="13"/>
        <v>0</v>
      </c>
      <c r="AV509" s="19">
        <f t="shared" si="14"/>
        <v>0.24042442198754688</v>
      </c>
      <c r="AW509" s="20" t="str">
        <f t="shared" si="15"/>
        <v>April</v>
      </c>
      <c r="AX509" s="21">
        <f t="shared" si="16"/>
        <v>2025</v>
      </c>
    </row>
    <row r="510" spans="1:50" ht="15.75" customHeight="1">
      <c r="A510" s="10" t="s">
        <v>1653</v>
      </c>
      <c r="B510" s="11">
        <v>45382</v>
      </c>
      <c r="C510" s="11">
        <v>45389</v>
      </c>
      <c r="D510" s="10" t="s">
        <v>1654</v>
      </c>
      <c r="E510" s="10" t="s">
        <v>76</v>
      </c>
      <c r="F510" s="10" t="s">
        <v>66</v>
      </c>
      <c r="G510" s="10" t="s">
        <v>54</v>
      </c>
      <c r="H510" s="10" t="s">
        <v>266</v>
      </c>
      <c r="I510" s="10" t="s">
        <v>267</v>
      </c>
      <c r="J510" s="10" t="s">
        <v>103</v>
      </c>
      <c r="K510" s="10" t="s">
        <v>304</v>
      </c>
      <c r="L510" s="10" t="s">
        <v>1655</v>
      </c>
      <c r="M510" s="10" t="s">
        <v>60</v>
      </c>
      <c r="N510" s="12">
        <v>4</v>
      </c>
      <c r="O510" s="12">
        <v>1831</v>
      </c>
      <c r="P510" s="12">
        <v>0</v>
      </c>
      <c r="Q510" s="12">
        <v>7324</v>
      </c>
      <c r="R510" s="12">
        <v>4179.63</v>
      </c>
      <c r="S510" s="12">
        <v>3144.37</v>
      </c>
      <c r="T510" s="10" t="s">
        <v>61</v>
      </c>
      <c r="U510" s="13" t="s">
        <v>62</v>
      </c>
      <c r="V510" s="14" t="e">
        <f t="shared" ca="1" si="0"/>
        <v>#NAME?</v>
      </c>
      <c r="W510" s="10" t="str">
        <f ca="1">IFERROR(__xludf.DUMMYFUNCTION("IF(COUNTIF($A:$A,A504)=1,
""Unique"",
IF(COUNTUNIQUE(FILTER($V$2:$V$934,$A$2:$A$934=A504))&gt;1,
""Conflicting Duplicate"",
""Exact Duplicate""))"),"Exact Duplicate")</f>
        <v>Exact Duplicate</v>
      </c>
      <c r="X510" s="10" t="b">
        <f t="shared" ca="1" si="1"/>
        <v>1</v>
      </c>
      <c r="Y510" s="10" t="str">
        <f t="shared" si="2"/>
        <v>Unique</v>
      </c>
      <c r="Z510" s="10"/>
      <c r="AA510" s="10" t="str">
        <f t="shared" si="3"/>
        <v>Clean</v>
      </c>
      <c r="AB510" s="15" t="str">
        <f t="shared" si="4"/>
        <v>Valid</v>
      </c>
      <c r="AC510" s="15">
        <v>7</v>
      </c>
      <c r="AD510" s="16" t="str">
        <f t="shared" si="5"/>
        <v>Valid</v>
      </c>
      <c r="AE510" s="16" t="str">
        <f t="shared" si="6"/>
        <v>Valid</v>
      </c>
      <c r="AF510" s="16" t="str">
        <f t="shared" ref="AF510:AG510" si="1031">IF(ISNUMBER(B510),"Valid","Invalid")</f>
        <v>Valid</v>
      </c>
      <c r="AG510" s="16" t="str">
        <f t="shared" si="1031"/>
        <v>Valid</v>
      </c>
      <c r="AH510" s="16" t="str">
        <f t="shared" ref="AH510:AI510" si="1032">IF(OR(B510="",ISBLANK(B510)),"Missing","Valid")</f>
        <v>Valid</v>
      </c>
      <c r="AI510" s="16" t="str">
        <f t="shared" si="1032"/>
        <v>Valid</v>
      </c>
      <c r="AJ510" s="16" t="b">
        <v>0</v>
      </c>
      <c r="AK510" s="16" t="b">
        <v>0</v>
      </c>
      <c r="AL510" s="16" t="b">
        <v>0</v>
      </c>
      <c r="AM510" s="16" t="b">
        <v>0</v>
      </c>
      <c r="AN510" s="16" t="b">
        <v>0</v>
      </c>
      <c r="AO510" s="16" t="b">
        <v>0</v>
      </c>
      <c r="AP510" s="16" t="b">
        <v>0</v>
      </c>
      <c r="AQ510" s="17">
        <f t="shared" si="9"/>
        <v>0</v>
      </c>
      <c r="AR510" s="12">
        <f t="shared" si="10"/>
        <v>7324</v>
      </c>
      <c r="AS510" s="18">
        <f t="shared" si="11"/>
        <v>0</v>
      </c>
      <c r="AT510" s="12">
        <f t="shared" si="12"/>
        <v>3144.37</v>
      </c>
      <c r="AU510" s="18">
        <f t="shared" si="13"/>
        <v>0</v>
      </c>
      <c r="AV510" s="19">
        <f t="shared" si="14"/>
        <v>0.42932413981430911</v>
      </c>
      <c r="AW510" s="20" t="str">
        <f t="shared" si="15"/>
        <v>March</v>
      </c>
      <c r="AX510" s="21">
        <f t="shared" si="16"/>
        <v>2024</v>
      </c>
    </row>
    <row r="511" spans="1:50" ht="15.75" customHeight="1">
      <c r="A511" s="10" t="s">
        <v>1656</v>
      </c>
      <c r="B511" s="11">
        <v>45789</v>
      </c>
      <c r="C511" s="11">
        <v>45791</v>
      </c>
      <c r="D511" s="10" t="s">
        <v>1657</v>
      </c>
      <c r="E511" s="10" t="s">
        <v>108</v>
      </c>
      <c r="F511" s="10" t="s">
        <v>53</v>
      </c>
      <c r="G511" s="10" t="s">
        <v>92</v>
      </c>
      <c r="H511" s="10" t="s">
        <v>209</v>
      </c>
      <c r="I511" s="10" t="s">
        <v>210</v>
      </c>
      <c r="J511" s="10" t="s">
        <v>103</v>
      </c>
      <c r="K511" s="10" t="s">
        <v>304</v>
      </c>
      <c r="L511" s="10" t="s">
        <v>1658</v>
      </c>
      <c r="M511" s="10" t="s">
        <v>73</v>
      </c>
      <c r="N511" s="12">
        <v>8</v>
      </c>
      <c r="O511" s="12">
        <v>3631.44</v>
      </c>
      <c r="P511" s="12">
        <v>0.2</v>
      </c>
      <c r="Q511" s="12">
        <v>23241.22</v>
      </c>
      <c r="R511" s="12">
        <v>17220.900000000001</v>
      </c>
      <c r="S511" s="12">
        <v>6020.32</v>
      </c>
      <c r="T511" s="10" t="s">
        <v>61</v>
      </c>
      <c r="U511" s="13" t="s">
        <v>62</v>
      </c>
      <c r="V511" s="14" t="e">
        <f t="shared" ca="1" si="0"/>
        <v>#NAME?</v>
      </c>
      <c r="W511" s="10" t="str">
        <f ca="1">IFERROR(__xludf.DUMMYFUNCTION("IF(COUNTIF($A:$A,A505)=1,
""Unique"",
IF(COUNTUNIQUE(FILTER($V$2:$V$934,$A$2:$A$934=A505))&gt;1,
""Conflicting Duplicate"",
""Exact Duplicate""))"),"Unique")</f>
        <v>Unique</v>
      </c>
      <c r="X511" s="10" t="b">
        <f t="shared" ca="1" si="1"/>
        <v>1</v>
      </c>
      <c r="Y511" s="10" t="str">
        <f t="shared" si="2"/>
        <v>Unique</v>
      </c>
      <c r="Z511" s="10"/>
      <c r="AA511" s="10" t="str">
        <f t="shared" si="3"/>
        <v>Clean</v>
      </c>
      <c r="AB511" s="15" t="str">
        <f t="shared" si="4"/>
        <v>Valid</v>
      </c>
      <c r="AC511" s="15">
        <v>2</v>
      </c>
      <c r="AD511" s="16" t="str">
        <f t="shared" si="5"/>
        <v>Valid</v>
      </c>
      <c r="AE511" s="16" t="str">
        <f t="shared" si="6"/>
        <v>Valid</v>
      </c>
      <c r="AF511" s="16" t="str">
        <f t="shared" ref="AF511:AG511" si="1033">IF(ISNUMBER(B511),"Valid","Invalid")</f>
        <v>Valid</v>
      </c>
      <c r="AG511" s="16" t="str">
        <f t="shared" si="1033"/>
        <v>Valid</v>
      </c>
      <c r="AH511" s="16" t="str">
        <f t="shared" ref="AH511:AI511" si="1034">IF(OR(B511="",ISBLANK(B511)),"Missing","Valid")</f>
        <v>Valid</v>
      </c>
      <c r="AI511" s="16" t="str">
        <f t="shared" si="1034"/>
        <v>Valid</v>
      </c>
      <c r="AJ511" s="16" t="b">
        <v>0</v>
      </c>
      <c r="AK511" s="16" t="b">
        <v>0</v>
      </c>
      <c r="AL511" s="16" t="b">
        <v>0</v>
      </c>
      <c r="AM511" s="16" t="b">
        <v>0</v>
      </c>
      <c r="AN511" s="16" t="b">
        <v>0</v>
      </c>
      <c r="AO511" s="16" t="b">
        <v>0</v>
      </c>
      <c r="AP511" s="16" t="b">
        <v>0</v>
      </c>
      <c r="AQ511" s="17">
        <f t="shared" si="9"/>
        <v>0.2</v>
      </c>
      <c r="AR511" s="12">
        <f t="shared" si="10"/>
        <v>23241.216</v>
      </c>
      <c r="AS511" s="18">
        <f t="shared" si="11"/>
        <v>4.0000000008149073E-3</v>
      </c>
      <c r="AT511" s="12">
        <f t="shared" si="12"/>
        <v>6020.3159999999989</v>
      </c>
      <c r="AU511" s="18">
        <f t="shared" si="13"/>
        <v>4.0000000008149073E-3</v>
      </c>
      <c r="AV511" s="19">
        <f t="shared" si="14"/>
        <v>0.25903618812371948</v>
      </c>
      <c r="AW511" s="20" t="str">
        <f t="shared" si="15"/>
        <v>May</v>
      </c>
      <c r="AX511" s="21">
        <f t="shared" si="16"/>
        <v>2025</v>
      </c>
    </row>
    <row r="512" spans="1:50" ht="15.75" customHeight="1">
      <c r="A512" s="10" t="s">
        <v>1659</v>
      </c>
      <c r="B512" s="11">
        <v>45583</v>
      </c>
      <c r="C512" s="11">
        <v>45586</v>
      </c>
      <c r="D512" s="10" t="s">
        <v>1660</v>
      </c>
      <c r="E512" s="10" t="s">
        <v>157</v>
      </c>
      <c r="F512" s="10" t="s">
        <v>53</v>
      </c>
      <c r="G512" s="10" t="s">
        <v>83</v>
      </c>
      <c r="H512" s="10" t="s">
        <v>204</v>
      </c>
      <c r="I512" s="10" t="s">
        <v>205</v>
      </c>
      <c r="J512" s="10" t="s">
        <v>57</v>
      </c>
      <c r="K512" s="10" t="s">
        <v>153</v>
      </c>
      <c r="L512" s="10" t="s">
        <v>1661</v>
      </c>
      <c r="M512" s="10" t="s">
        <v>60</v>
      </c>
      <c r="N512" s="12">
        <v>2</v>
      </c>
      <c r="O512" s="12">
        <v>4238.51</v>
      </c>
      <c r="P512" s="12">
        <v>0</v>
      </c>
      <c r="Q512" s="12">
        <v>8477.02</v>
      </c>
      <c r="R512" s="12">
        <v>6884.96</v>
      </c>
      <c r="S512" s="12">
        <v>1592.06</v>
      </c>
      <c r="T512" s="10" t="s">
        <v>61</v>
      </c>
      <c r="U512" s="13" t="s">
        <v>62</v>
      </c>
      <c r="V512" s="14" t="e">
        <f t="shared" ca="1" si="0"/>
        <v>#NAME?</v>
      </c>
      <c r="W512" s="10" t="str">
        <f ca="1">IFERROR(__xludf.DUMMYFUNCTION("IF(COUNTIF($A:$A,A506)=1,
""Unique"",
IF(COUNTUNIQUE(FILTER($V$2:$V$934,$A$2:$A$934=A506))&gt;1,
""Conflicting Duplicate"",
""Exact Duplicate""))"),"Unique")</f>
        <v>Unique</v>
      </c>
      <c r="X512" s="10" t="b">
        <f t="shared" ca="1" si="1"/>
        <v>1</v>
      </c>
      <c r="Y512" s="10" t="str">
        <f t="shared" si="2"/>
        <v>Unique</v>
      </c>
      <c r="Z512" s="10"/>
      <c r="AA512" s="10" t="str">
        <f t="shared" si="3"/>
        <v>Clean</v>
      </c>
      <c r="AB512" s="15" t="str">
        <f t="shared" si="4"/>
        <v>Valid</v>
      </c>
      <c r="AC512" s="15">
        <v>3</v>
      </c>
      <c r="AD512" s="16" t="str">
        <f t="shared" si="5"/>
        <v>Valid</v>
      </c>
      <c r="AE512" s="16" t="str">
        <f t="shared" si="6"/>
        <v>Valid</v>
      </c>
      <c r="AF512" s="16" t="str">
        <f t="shared" ref="AF512:AG512" si="1035">IF(ISNUMBER(B512),"Valid","Invalid")</f>
        <v>Valid</v>
      </c>
      <c r="AG512" s="16" t="str">
        <f t="shared" si="1035"/>
        <v>Valid</v>
      </c>
      <c r="AH512" s="16" t="str">
        <f t="shared" ref="AH512:AI512" si="1036">IF(OR(B512="",ISBLANK(B512)),"Missing","Valid")</f>
        <v>Valid</v>
      </c>
      <c r="AI512" s="16" t="str">
        <f t="shared" si="1036"/>
        <v>Valid</v>
      </c>
      <c r="AJ512" s="16" t="b">
        <v>0</v>
      </c>
      <c r="AK512" s="16" t="b">
        <v>0</v>
      </c>
      <c r="AL512" s="16" t="b">
        <v>0</v>
      </c>
      <c r="AM512" s="16" t="b">
        <v>0</v>
      </c>
      <c r="AN512" s="16" t="b">
        <v>0</v>
      </c>
      <c r="AO512" s="16" t="b">
        <v>0</v>
      </c>
      <c r="AP512" s="16" t="b">
        <v>0</v>
      </c>
      <c r="AQ512" s="17">
        <f t="shared" si="9"/>
        <v>0</v>
      </c>
      <c r="AR512" s="12">
        <f t="shared" si="10"/>
        <v>8477.02</v>
      </c>
      <c r="AS512" s="18">
        <f t="shared" si="11"/>
        <v>0</v>
      </c>
      <c r="AT512" s="12">
        <f t="shared" si="12"/>
        <v>1592.0600000000004</v>
      </c>
      <c r="AU512" s="18">
        <f t="shared" si="13"/>
        <v>0</v>
      </c>
      <c r="AV512" s="19">
        <f t="shared" si="14"/>
        <v>0.18780892341884298</v>
      </c>
      <c r="AW512" s="20" t="str">
        <f t="shared" si="15"/>
        <v>October</v>
      </c>
      <c r="AX512" s="21">
        <f t="shared" si="16"/>
        <v>2024</v>
      </c>
    </row>
    <row r="513" spans="1:50" ht="15.75" customHeight="1">
      <c r="A513" s="10" t="s">
        <v>1662</v>
      </c>
      <c r="B513" s="11">
        <v>45588</v>
      </c>
      <c r="C513" s="11">
        <v>45591</v>
      </c>
      <c r="D513" s="10" t="s">
        <v>1663</v>
      </c>
      <c r="E513" s="10" t="s">
        <v>161</v>
      </c>
      <c r="F513" s="10" t="s">
        <v>53</v>
      </c>
      <c r="G513" s="10" t="s">
        <v>92</v>
      </c>
      <c r="H513" s="10" t="s">
        <v>101</v>
      </c>
      <c r="I513" s="10" t="s">
        <v>102</v>
      </c>
      <c r="J513" s="10" t="s">
        <v>70</v>
      </c>
      <c r="K513" s="10" t="s">
        <v>187</v>
      </c>
      <c r="L513" s="10" t="s">
        <v>1664</v>
      </c>
      <c r="M513" s="10" t="s">
        <v>88</v>
      </c>
      <c r="N513" s="12">
        <v>9</v>
      </c>
      <c r="O513" s="12">
        <v>544.27</v>
      </c>
      <c r="P513" s="12">
        <v>0.25</v>
      </c>
      <c r="Q513" s="12">
        <v>3673.82</v>
      </c>
      <c r="R513" s="12">
        <v>2088.15</v>
      </c>
      <c r="S513" s="12">
        <v>1585.67</v>
      </c>
      <c r="T513" s="10" t="s">
        <v>61</v>
      </c>
      <c r="U513" s="13" t="s">
        <v>62</v>
      </c>
      <c r="V513" s="14" t="e">
        <f t="shared" ca="1" si="0"/>
        <v>#NAME?</v>
      </c>
      <c r="W513" s="10" t="str">
        <f ca="1">IFERROR(__xludf.DUMMYFUNCTION("IF(COUNTIF($A:$A,A507)=1,
""Unique"",
IF(COUNTUNIQUE(FILTER($V$2:$V$934,$A$2:$A$934=A507))&gt;1,
""Conflicting Duplicate"",
""Exact Duplicate""))"),"Unique")</f>
        <v>Unique</v>
      </c>
      <c r="X513" s="10" t="b">
        <f t="shared" ca="1" si="1"/>
        <v>1</v>
      </c>
      <c r="Y513" s="10" t="str">
        <f t="shared" si="2"/>
        <v>Unique</v>
      </c>
      <c r="Z513" s="10"/>
      <c r="AA513" s="10" t="str">
        <f t="shared" si="3"/>
        <v>Clean</v>
      </c>
      <c r="AB513" s="15" t="str">
        <f t="shared" si="4"/>
        <v>Valid</v>
      </c>
      <c r="AC513" s="15">
        <v>3</v>
      </c>
      <c r="AD513" s="16" t="str">
        <f t="shared" si="5"/>
        <v>Valid</v>
      </c>
      <c r="AE513" s="16" t="str">
        <f t="shared" si="6"/>
        <v>Valid</v>
      </c>
      <c r="AF513" s="16" t="str">
        <f t="shared" ref="AF513:AG513" si="1037">IF(ISNUMBER(B513),"Valid","Invalid")</f>
        <v>Valid</v>
      </c>
      <c r="AG513" s="16" t="str">
        <f t="shared" si="1037"/>
        <v>Valid</v>
      </c>
      <c r="AH513" s="16" t="str">
        <f t="shared" ref="AH513:AI513" si="1038">IF(OR(B513="",ISBLANK(B513)),"Missing","Valid")</f>
        <v>Valid</v>
      </c>
      <c r="AI513" s="16" t="str">
        <f t="shared" si="1038"/>
        <v>Valid</v>
      </c>
      <c r="AJ513" s="16" t="b">
        <v>0</v>
      </c>
      <c r="AK513" s="16" t="b">
        <v>0</v>
      </c>
      <c r="AL513" s="16" t="b">
        <v>0</v>
      </c>
      <c r="AM513" s="16" t="b">
        <v>0</v>
      </c>
      <c r="AN513" s="16" t="b">
        <v>0</v>
      </c>
      <c r="AO513" s="16" t="b">
        <v>0</v>
      </c>
      <c r="AP513" s="16" t="b">
        <v>0</v>
      </c>
      <c r="AQ513" s="17">
        <f t="shared" si="9"/>
        <v>0.25</v>
      </c>
      <c r="AR513" s="12">
        <f t="shared" si="10"/>
        <v>3673.8225000000002</v>
      </c>
      <c r="AS513" s="18">
        <f t="shared" si="11"/>
        <v>-2.5000000000545697E-3</v>
      </c>
      <c r="AT513" s="12">
        <f t="shared" si="12"/>
        <v>1585.6725000000001</v>
      </c>
      <c r="AU513" s="18">
        <f t="shared" si="13"/>
        <v>-2.5000000000545697E-3</v>
      </c>
      <c r="AV513" s="19">
        <f t="shared" si="14"/>
        <v>0.43161380278987349</v>
      </c>
      <c r="AW513" s="20" t="str">
        <f t="shared" si="15"/>
        <v>October</v>
      </c>
      <c r="AX513" s="21">
        <f t="shared" si="16"/>
        <v>2024</v>
      </c>
    </row>
    <row r="514" spans="1:50" ht="15.75" customHeight="1">
      <c r="A514" s="10" t="s">
        <v>1665</v>
      </c>
      <c r="B514" s="11">
        <v>45718</v>
      </c>
      <c r="C514" s="11">
        <v>45719</v>
      </c>
      <c r="D514" s="10" t="s">
        <v>1277</v>
      </c>
      <c r="E514" s="10" t="s">
        <v>76</v>
      </c>
      <c r="F514" s="10" t="s">
        <v>119</v>
      </c>
      <c r="G514" s="10" t="s">
        <v>83</v>
      </c>
      <c r="H514" s="10" t="s">
        <v>214</v>
      </c>
      <c r="I514" s="10" t="s">
        <v>215</v>
      </c>
      <c r="J514" s="10" t="s">
        <v>57</v>
      </c>
      <c r="K514" s="10" t="s">
        <v>120</v>
      </c>
      <c r="L514" s="10" t="s">
        <v>1666</v>
      </c>
      <c r="M514" s="10" t="s">
        <v>60</v>
      </c>
      <c r="N514" s="12">
        <v>2</v>
      </c>
      <c r="O514" s="12">
        <v>4031.45</v>
      </c>
      <c r="P514" s="12">
        <v>0.25</v>
      </c>
      <c r="Q514" s="12">
        <v>6047.17</v>
      </c>
      <c r="R514" s="12">
        <v>3368.79</v>
      </c>
      <c r="S514" s="12">
        <v>2678.38</v>
      </c>
      <c r="T514" s="10" t="s">
        <v>61</v>
      </c>
      <c r="U514" s="13" t="s">
        <v>62</v>
      </c>
      <c r="V514" s="14" t="e">
        <f t="shared" ca="1" si="0"/>
        <v>#NAME?</v>
      </c>
      <c r="W514" s="10" t="str">
        <f ca="1">IFERROR(__xludf.DUMMYFUNCTION("IF(COUNTIF($A:$A,A508)=1,
""Unique"",
IF(COUNTUNIQUE(FILTER($V$2:$V$934,$A$2:$A$934=A508))&gt;1,
""Conflicting Duplicate"",
""Exact Duplicate""))"),"Unique")</f>
        <v>Unique</v>
      </c>
      <c r="X514" s="10" t="b">
        <f t="shared" ca="1" si="1"/>
        <v>1</v>
      </c>
      <c r="Y514" s="10" t="str">
        <f t="shared" si="2"/>
        <v>Unique</v>
      </c>
      <c r="Z514" s="10"/>
      <c r="AA514" s="10" t="str">
        <f t="shared" si="3"/>
        <v>Clean</v>
      </c>
      <c r="AB514" s="15" t="str">
        <f t="shared" si="4"/>
        <v>Valid</v>
      </c>
      <c r="AC514" s="15">
        <v>1</v>
      </c>
      <c r="AD514" s="16" t="str">
        <f t="shared" si="5"/>
        <v>Valid</v>
      </c>
      <c r="AE514" s="16" t="str">
        <f t="shared" si="6"/>
        <v>Valid</v>
      </c>
      <c r="AF514" s="16" t="str">
        <f t="shared" ref="AF514:AG514" si="1039">IF(ISNUMBER(B514),"Valid","Invalid")</f>
        <v>Valid</v>
      </c>
      <c r="AG514" s="16" t="str">
        <f t="shared" si="1039"/>
        <v>Valid</v>
      </c>
      <c r="AH514" s="16" t="str">
        <f t="shared" ref="AH514:AI514" si="1040">IF(OR(B514="",ISBLANK(B514)),"Missing","Valid")</f>
        <v>Valid</v>
      </c>
      <c r="AI514" s="16" t="str">
        <f t="shared" si="1040"/>
        <v>Valid</v>
      </c>
      <c r="AJ514" s="16" t="b">
        <v>0</v>
      </c>
      <c r="AK514" s="16" t="b">
        <v>0</v>
      </c>
      <c r="AL514" s="16" t="b">
        <v>0</v>
      </c>
      <c r="AM514" s="16" t="b">
        <v>0</v>
      </c>
      <c r="AN514" s="16" t="b">
        <v>0</v>
      </c>
      <c r="AO514" s="16" t="b">
        <v>0</v>
      </c>
      <c r="AP514" s="16" t="b">
        <v>0</v>
      </c>
      <c r="AQ514" s="17">
        <f t="shared" si="9"/>
        <v>0.25</v>
      </c>
      <c r="AR514" s="12">
        <f t="shared" si="10"/>
        <v>6047.1749999999993</v>
      </c>
      <c r="AS514" s="18">
        <f t="shared" si="11"/>
        <v>-4.9999999991996447E-3</v>
      </c>
      <c r="AT514" s="12">
        <f t="shared" si="12"/>
        <v>2678.3849999999993</v>
      </c>
      <c r="AU514" s="18">
        <f t="shared" si="13"/>
        <v>-4.9999999991996447E-3</v>
      </c>
      <c r="AV514" s="19">
        <f t="shared" si="14"/>
        <v>0.44291508018206843</v>
      </c>
      <c r="AW514" s="20" t="str">
        <f t="shared" si="15"/>
        <v>March</v>
      </c>
      <c r="AX514" s="21">
        <f t="shared" si="16"/>
        <v>2025</v>
      </c>
    </row>
    <row r="515" spans="1:50" ht="15.75" customHeight="1">
      <c r="A515" s="10" t="s">
        <v>1667</v>
      </c>
      <c r="B515" s="11">
        <v>45835</v>
      </c>
      <c r="C515" s="11">
        <v>45840</v>
      </c>
      <c r="D515" s="10" t="s">
        <v>1668</v>
      </c>
      <c r="E515" s="10" t="s">
        <v>157</v>
      </c>
      <c r="F515" s="10" t="s">
        <v>119</v>
      </c>
      <c r="G515" s="10" t="s">
        <v>83</v>
      </c>
      <c r="H515" s="10" t="s">
        <v>214</v>
      </c>
      <c r="I515" s="10" t="s">
        <v>215</v>
      </c>
      <c r="J515" s="10" t="s">
        <v>103</v>
      </c>
      <c r="K515" s="10" t="s">
        <v>104</v>
      </c>
      <c r="L515" s="10" t="s">
        <v>1669</v>
      </c>
      <c r="M515" s="10" t="s">
        <v>79</v>
      </c>
      <c r="N515" s="12">
        <v>6</v>
      </c>
      <c r="O515" s="12">
        <v>1099.49</v>
      </c>
      <c r="P515" s="12">
        <v>0.1</v>
      </c>
      <c r="Q515" s="12">
        <v>6212.38</v>
      </c>
      <c r="R515" s="12">
        <v>4088.46</v>
      </c>
      <c r="S515" s="12">
        <v>1848.79</v>
      </c>
      <c r="T515" s="10" t="s">
        <v>61</v>
      </c>
      <c r="U515" s="13" t="s">
        <v>62</v>
      </c>
      <c r="V515" s="14" t="e">
        <f t="shared" ca="1" si="0"/>
        <v>#NAME?</v>
      </c>
      <c r="W515" s="10" t="str">
        <f ca="1">IFERROR(__xludf.DUMMYFUNCTION("IF(COUNTIF($A:$A,A509)=1,
""Unique"",
IF(COUNTUNIQUE(FILTER($V$2:$V$934,$A$2:$A$934=A509))&gt;1,
""Conflicting Duplicate"",
""Exact Duplicate""))"),"Unique")</f>
        <v>Unique</v>
      </c>
      <c r="X515" s="10" t="b">
        <f t="shared" ca="1" si="1"/>
        <v>1</v>
      </c>
      <c r="Y515" s="10" t="str">
        <f t="shared" si="2"/>
        <v>Unique</v>
      </c>
      <c r="Z515" s="10"/>
      <c r="AA515" s="10" t="str">
        <f t="shared" si="3"/>
        <v>Clean</v>
      </c>
      <c r="AB515" s="15" t="str">
        <f t="shared" si="4"/>
        <v>Valid</v>
      </c>
      <c r="AC515" s="15">
        <v>5</v>
      </c>
      <c r="AD515" s="16" t="str">
        <f t="shared" si="5"/>
        <v>Valid</v>
      </c>
      <c r="AE515" s="16" t="str">
        <f t="shared" si="6"/>
        <v>Valid</v>
      </c>
      <c r="AF515" s="16" t="str">
        <f t="shared" ref="AF515:AG515" si="1041">IF(ISNUMBER(B515),"Valid","Invalid")</f>
        <v>Valid</v>
      </c>
      <c r="AG515" s="16" t="str">
        <f t="shared" si="1041"/>
        <v>Valid</v>
      </c>
      <c r="AH515" s="16" t="str">
        <f t="shared" ref="AH515:AI515" si="1042">IF(OR(B515="",ISBLANK(B515)),"Missing","Valid")</f>
        <v>Valid</v>
      </c>
      <c r="AI515" s="16" t="str">
        <f t="shared" si="1042"/>
        <v>Valid</v>
      </c>
      <c r="AJ515" s="16" t="b">
        <v>0</v>
      </c>
      <c r="AK515" s="16" t="b">
        <v>0</v>
      </c>
      <c r="AL515" s="16" t="b">
        <v>0</v>
      </c>
      <c r="AM515" s="16" t="b">
        <v>0</v>
      </c>
      <c r="AN515" s="16" t="b">
        <v>0</v>
      </c>
      <c r="AO515" s="16" t="b">
        <v>0</v>
      </c>
      <c r="AP515" s="16" t="b">
        <v>0</v>
      </c>
      <c r="AQ515" s="17">
        <f t="shared" si="9"/>
        <v>0.1</v>
      </c>
      <c r="AR515" s="12">
        <f t="shared" si="10"/>
        <v>5937.246000000001</v>
      </c>
      <c r="AS515" s="18">
        <f t="shared" si="11"/>
        <v>275.13399999999911</v>
      </c>
      <c r="AT515" s="12">
        <f t="shared" si="12"/>
        <v>1848.786000000001</v>
      </c>
      <c r="AU515" s="18">
        <f t="shared" si="13"/>
        <v>3.9999999989959178E-3</v>
      </c>
      <c r="AV515" s="19">
        <f t="shared" si="14"/>
        <v>0.31138780505304997</v>
      </c>
      <c r="AW515" s="20" t="str">
        <f t="shared" si="15"/>
        <v>June</v>
      </c>
      <c r="AX515" s="21">
        <f t="shared" si="16"/>
        <v>2025</v>
      </c>
    </row>
    <row r="516" spans="1:50" ht="15.75" customHeight="1">
      <c r="A516" s="10" t="s">
        <v>1670</v>
      </c>
      <c r="B516" s="11">
        <v>45614</v>
      </c>
      <c r="C516" s="11">
        <v>45618</v>
      </c>
      <c r="D516" s="10" t="s">
        <v>1671</v>
      </c>
      <c r="E516" s="10" t="s">
        <v>52</v>
      </c>
      <c r="F516" s="10" t="s">
        <v>124</v>
      </c>
      <c r="G516" s="10" t="s">
        <v>83</v>
      </c>
      <c r="H516" s="10" t="s">
        <v>214</v>
      </c>
      <c r="I516" s="10" t="s">
        <v>215</v>
      </c>
      <c r="J516" s="10" t="s">
        <v>103</v>
      </c>
      <c r="K516" s="10" t="s">
        <v>104</v>
      </c>
      <c r="L516" s="10" t="s">
        <v>1672</v>
      </c>
      <c r="M516" s="10" t="s">
        <v>88</v>
      </c>
      <c r="N516" s="12">
        <v>6</v>
      </c>
      <c r="O516" s="12">
        <v>3872.94</v>
      </c>
      <c r="P516" s="12">
        <v>0.1</v>
      </c>
      <c r="Q516" s="12">
        <v>20913.88</v>
      </c>
      <c r="R516" s="12">
        <v>11684.68</v>
      </c>
      <c r="S516" s="12">
        <v>9229.2000000000007</v>
      </c>
      <c r="T516" s="10" t="s">
        <v>61</v>
      </c>
      <c r="U516" s="13" t="s">
        <v>62</v>
      </c>
      <c r="V516" s="14" t="e">
        <f t="shared" ca="1" si="0"/>
        <v>#NAME?</v>
      </c>
      <c r="W516" s="10" t="str">
        <f ca="1">IFERROR(__xludf.DUMMYFUNCTION("IF(COUNTIF($A:$A,A510)=1,
""Unique"",
IF(COUNTUNIQUE(FILTER($V$2:$V$934,$A$2:$A$934=A510))&gt;1,
""Conflicting Duplicate"",
""Exact Duplicate""))"),"Unique")</f>
        <v>Unique</v>
      </c>
      <c r="X516" s="10" t="b">
        <f t="shared" ca="1" si="1"/>
        <v>1</v>
      </c>
      <c r="Y516" s="10" t="str">
        <f t="shared" si="2"/>
        <v>Unique</v>
      </c>
      <c r="Z516" s="10"/>
      <c r="AA516" s="10" t="str">
        <f t="shared" si="3"/>
        <v>Clean</v>
      </c>
      <c r="AB516" s="15" t="str">
        <f t="shared" si="4"/>
        <v>Valid</v>
      </c>
      <c r="AC516" s="15">
        <v>4</v>
      </c>
      <c r="AD516" s="16" t="str">
        <f t="shared" si="5"/>
        <v>Valid</v>
      </c>
      <c r="AE516" s="16" t="str">
        <f t="shared" si="6"/>
        <v>Valid</v>
      </c>
      <c r="AF516" s="16" t="str">
        <f t="shared" ref="AF516:AG516" si="1043">IF(ISNUMBER(B516),"Valid","Invalid")</f>
        <v>Valid</v>
      </c>
      <c r="AG516" s="16" t="str">
        <f t="shared" si="1043"/>
        <v>Valid</v>
      </c>
      <c r="AH516" s="16" t="str">
        <f t="shared" ref="AH516:AI516" si="1044">IF(OR(B516="",ISBLANK(B516)),"Missing","Valid")</f>
        <v>Valid</v>
      </c>
      <c r="AI516" s="16" t="str">
        <f t="shared" si="1044"/>
        <v>Valid</v>
      </c>
      <c r="AJ516" s="16" t="b">
        <v>0</v>
      </c>
      <c r="AK516" s="16" t="b">
        <v>0</v>
      </c>
      <c r="AL516" s="16" t="b">
        <v>0</v>
      </c>
      <c r="AM516" s="16" t="b">
        <v>0</v>
      </c>
      <c r="AN516" s="16" t="b">
        <v>0</v>
      </c>
      <c r="AO516" s="16" t="b">
        <v>0</v>
      </c>
      <c r="AP516" s="16" t="b">
        <v>0</v>
      </c>
      <c r="AQ516" s="17">
        <f t="shared" si="9"/>
        <v>0.1</v>
      </c>
      <c r="AR516" s="12">
        <f t="shared" si="10"/>
        <v>20913.876</v>
      </c>
      <c r="AS516" s="18">
        <f t="shared" si="11"/>
        <v>4.0000000008149073E-3</v>
      </c>
      <c r="AT516" s="12">
        <f t="shared" si="12"/>
        <v>9229.1959999999999</v>
      </c>
      <c r="AU516" s="18">
        <f t="shared" si="13"/>
        <v>4.0000000008149073E-3</v>
      </c>
      <c r="AV516" s="19">
        <f t="shared" si="14"/>
        <v>0.44129533903710627</v>
      </c>
      <c r="AW516" s="20" t="str">
        <f t="shared" si="15"/>
        <v>November</v>
      </c>
      <c r="AX516" s="21">
        <f t="shared" si="16"/>
        <v>2024</v>
      </c>
    </row>
    <row r="517" spans="1:50" ht="15.75" customHeight="1">
      <c r="A517" s="10" t="s">
        <v>1673</v>
      </c>
      <c r="B517" s="11">
        <v>45758</v>
      </c>
      <c r="C517" s="11">
        <v>45758</v>
      </c>
      <c r="D517" s="10" t="s">
        <v>1674</v>
      </c>
      <c r="E517" s="10" t="s">
        <v>147</v>
      </c>
      <c r="F517" s="10" t="s">
        <v>119</v>
      </c>
      <c r="G517" s="10" t="s">
        <v>54</v>
      </c>
      <c r="H517" s="10" t="s">
        <v>380</v>
      </c>
      <c r="I517" s="10" t="s">
        <v>381</v>
      </c>
      <c r="J517" s="10" t="s">
        <v>57</v>
      </c>
      <c r="K517" s="10" t="s">
        <v>58</v>
      </c>
      <c r="L517" s="10" t="s">
        <v>1675</v>
      </c>
      <c r="M517" s="10" t="s">
        <v>88</v>
      </c>
      <c r="N517" s="12">
        <v>1</v>
      </c>
      <c r="O517" s="12">
        <v>4458.49</v>
      </c>
      <c r="P517" s="12">
        <v>-7.0000000000000007E-2</v>
      </c>
      <c r="Q517" s="12">
        <v>3566.79</v>
      </c>
      <c r="R517" s="12">
        <v>2083.41</v>
      </c>
      <c r="S517" s="12">
        <v>1483.38</v>
      </c>
      <c r="T517" s="10" t="s">
        <v>61</v>
      </c>
      <c r="U517" s="13" t="s">
        <v>62</v>
      </c>
      <c r="V517" s="14" t="e">
        <f t="shared" ca="1" si="0"/>
        <v>#NAME?</v>
      </c>
      <c r="W517" s="10" t="str">
        <f ca="1">IFERROR(__xludf.DUMMYFUNCTION("IF(COUNTIF($A:$A,A511)=1,
""Unique"",
IF(COUNTUNIQUE(FILTER($V$2:$V$934,$A$2:$A$934=A511))&gt;1,
""Conflicting Duplicate"",
""Exact Duplicate""))"),"Unique")</f>
        <v>Unique</v>
      </c>
      <c r="X517" s="10" t="b">
        <f t="shared" ca="1" si="1"/>
        <v>1</v>
      </c>
      <c r="Y517" s="10" t="str">
        <f t="shared" si="2"/>
        <v>Unique</v>
      </c>
      <c r="Z517" s="10"/>
      <c r="AA517" s="10" t="str">
        <f t="shared" si="3"/>
        <v>Invalid</v>
      </c>
      <c r="AB517" s="15" t="str">
        <f t="shared" si="4"/>
        <v>Valid</v>
      </c>
      <c r="AC517" s="15">
        <v>0</v>
      </c>
      <c r="AD517" s="16" t="str">
        <f t="shared" si="5"/>
        <v>Valid</v>
      </c>
      <c r="AE517" s="16" t="str">
        <f t="shared" si="6"/>
        <v>Valid</v>
      </c>
      <c r="AF517" s="16" t="str">
        <f t="shared" ref="AF517:AG517" si="1045">IF(ISNUMBER(B517),"Valid","Invalid")</f>
        <v>Valid</v>
      </c>
      <c r="AG517" s="16" t="str">
        <f t="shared" si="1045"/>
        <v>Valid</v>
      </c>
      <c r="AH517" s="16" t="str">
        <f t="shared" ref="AH517:AI517" si="1046">IF(OR(B517="",ISBLANK(B517)),"Missing","Valid")</f>
        <v>Valid</v>
      </c>
      <c r="AI517" s="16" t="str">
        <f t="shared" si="1046"/>
        <v>Valid</v>
      </c>
      <c r="AJ517" s="16" t="b">
        <v>0</v>
      </c>
      <c r="AK517" s="16" t="b">
        <v>0</v>
      </c>
      <c r="AL517" s="16" t="b">
        <v>0</v>
      </c>
      <c r="AM517" s="16" t="b">
        <v>1</v>
      </c>
      <c r="AN517" s="16" t="b">
        <v>0</v>
      </c>
      <c r="AO517" s="16" t="b">
        <v>0</v>
      </c>
      <c r="AP517" s="16" t="b">
        <v>1</v>
      </c>
      <c r="AQ517" s="17">
        <f t="shared" si="9"/>
        <v>-7.0000000000000007E-2</v>
      </c>
      <c r="AR517" s="12">
        <f t="shared" si="10"/>
        <v>4770.5843000000004</v>
      </c>
      <c r="AS517" s="18">
        <f t="shared" si="11"/>
        <v>-1203.7943000000005</v>
      </c>
      <c r="AT517" s="12">
        <f t="shared" si="12"/>
        <v>2687.1743000000006</v>
      </c>
      <c r="AU517" s="18">
        <f t="shared" si="13"/>
        <v>-1203.7943000000005</v>
      </c>
      <c r="AV517" s="19">
        <f t="shared" si="14"/>
        <v>0.56327991101635089</v>
      </c>
      <c r="AW517" s="20" t="str">
        <f t="shared" si="15"/>
        <v>April</v>
      </c>
      <c r="AX517" s="21">
        <f t="shared" si="16"/>
        <v>2025</v>
      </c>
    </row>
    <row r="518" spans="1:50" ht="15.75" customHeight="1">
      <c r="A518" s="10" t="s">
        <v>1676</v>
      </c>
      <c r="B518" s="11">
        <v>45563</v>
      </c>
      <c r="C518" s="11">
        <v>45569</v>
      </c>
      <c r="D518" s="10" t="s">
        <v>1677</v>
      </c>
      <c r="E518" s="10" t="s">
        <v>294</v>
      </c>
      <c r="F518" s="10" t="s">
        <v>124</v>
      </c>
      <c r="G518" s="10" t="s">
        <v>54</v>
      </c>
      <c r="H518" s="10" t="s">
        <v>380</v>
      </c>
      <c r="I518" s="10" t="s">
        <v>381</v>
      </c>
      <c r="J518" s="10" t="s">
        <v>103</v>
      </c>
      <c r="K518" s="10" t="s">
        <v>109</v>
      </c>
      <c r="L518" s="10" t="s">
        <v>1678</v>
      </c>
      <c r="M518" s="10" t="s">
        <v>88</v>
      </c>
      <c r="N518" s="12">
        <v>1</v>
      </c>
      <c r="O518" s="12">
        <v>2233.1799999999998</v>
      </c>
      <c r="P518" s="12">
        <v>0</v>
      </c>
      <c r="Q518" s="12">
        <v>2233.1799999999998</v>
      </c>
      <c r="R518" s="12">
        <v>1585.82</v>
      </c>
      <c r="S518" s="12">
        <v>647.36</v>
      </c>
      <c r="T518" s="10" t="s">
        <v>184</v>
      </c>
      <c r="U518" s="13" t="s">
        <v>132</v>
      </c>
      <c r="V518" s="14" t="e">
        <f t="shared" ca="1" si="0"/>
        <v>#NAME?</v>
      </c>
      <c r="W518" s="10" t="str">
        <f ca="1">IFERROR(__xludf.DUMMYFUNCTION("IF(COUNTIF($A:$A,A512)=1,
""Unique"",
IF(COUNTUNIQUE(FILTER($V$2:$V$934,$A$2:$A$934=A512))&gt;1,
""Conflicting Duplicate"",
""Exact Duplicate""))"),"Unique")</f>
        <v>Unique</v>
      </c>
      <c r="X518" s="10" t="b">
        <f t="shared" ca="1" si="1"/>
        <v>1</v>
      </c>
      <c r="Y518" s="10" t="str">
        <f t="shared" si="2"/>
        <v>Unique</v>
      </c>
      <c r="Z518" s="10"/>
      <c r="AA518" s="10" t="str">
        <f t="shared" si="3"/>
        <v>Clean</v>
      </c>
      <c r="AB518" s="15" t="str">
        <f t="shared" si="4"/>
        <v>Valid</v>
      </c>
      <c r="AC518" s="15">
        <v>6</v>
      </c>
      <c r="AD518" s="16" t="str">
        <f t="shared" si="5"/>
        <v>Valid</v>
      </c>
      <c r="AE518" s="16" t="str">
        <f t="shared" si="6"/>
        <v>Valid</v>
      </c>
      <c r="AF518" s="16" t="str">
        <f t="shared" ref="AF518:AG518" si="1047">IF(ISNUMBER(B518),"Valid","Invalid")</f>
        <v>Valid</v>
      </c>
      <c r="AG518" s="16" t="str">
        <f t="shared" si="1047"/>
        <v>Valid</v>
      </c>
      <c r="AH518" s="16" t="str">
        <f t="shared" ref="AH518:AI518" si="1048">IF(OR(B518="",ISBLANK(B518)),"Missing","Valid")</f>
        <v>Valid</v>
      </c>
      <c r="AI518" s="16" t="str">
        <f t="shared" si="1048"/>
        <v>Valid</v>
      </c>
      <c r="AJ518" s="16" t="b">
        <v>0</v>
      </c>
      <c r="AK518" s="16" t="b">
        <v>0</v>
      </c>
      <c r="AL518" s="16" t="b">
        <v>0</v>
      </c>
      <c r="AM518" s="16" t="b">
        <v>0</v>
      </c>
      <c r="AN518" s="16" t="b">
        <v>0</v>
      </c>
      <c r="AO518" s="16" t="b">
        <v>0</v>
      </c>
      <c r="AP518" s="16" t="b">
        <v>0</v>
      </c>
      <c r="AQ518" s="17">
        <f t="shared" si="9"/>
        <v>0</v>
      </c>
      <c r="AR518" s="12">
        <f t="shared" si="10"/>
        <v>2233.1799999999998</v>
      </c>
      <c r="AS518" s="18">
        <f t="shared" si="11"/>
        <v>0</v>
      </c>
      <c r="AT518" s="12">
        <f t="shared" si="12"/>
        <v>647.3599999999999</v>
      </c>
      <c r="AU518" s="18">
        <f t="shared" si="13"/>
        <v>0</v>
      </c>
      <c r="AV518" s="19">
        <f t="shared" si="14"/>
        <v>0.28988258895386843</v>
      </c>
      <c r="AW518" s="20" t="str">
        <f t="shared" si="15"/>
        <v>September</v>
      </c>
      <c r="AX518" s="21">
        <f t="shared" si="16"/>
        <v>2024</v>
      </c>
    </row>
    <row r="519" spans="1:50" ht="15.75" customHeight="1">
      <c r="A519" s="10" t="s">
        <v>1679</v>
      </c>
      <c r="B519" s="11">
        <v>45802</v>
      </c>
      <c r="C519" s="11">
        <v>45804</v>
      </c>
      <c r="D519" s="10" t="s">
        <v>1680</v>
      </c>
      <c r="E519" s="10" t="s">
        <v>147</v>
      </c>
      <c r="F519" s="10" t="s">
        <v>53</v>
      </c>
      <c r="G519" s="10" t="s">
        <v>67</v>
      </c>
      <c r="H519" s="10" t="s">
        <v>68</v>
      </c>
      <c r="I519" s="10" t="s">
        <v>69</v>
      </c>
      <c r="J519" s="10" t="s">
        <v>70</v>
      </c>
      <c r="K519" s="10" t="s">
        <v>86</v>
      </c>
      <c r="L519" s="10" t="s">
        <v>1681</v>
      </c>
      <c r="M519" s="10" t="s">
        <v>60</v>
      </c>
      <c r="N519" s="12">
        <v>7</v>
      </c>
      <c r="O519" s="12">
        <v>2123.2800000000002</v>
      </c>
      <c r="P519" s="12">
        <v>0.2</v>
      </c>
      <c r="Q519" s="12">
        <v>11890.37</v>
      </c>
      <c r="R519" s="12">
        <v>9234.5300000000007</v>
      </c>
      <c r="S519" s="12">
        <v>2655.84</v>
      </c>
      <c r="T519" s="10" t="s">
        <v>131</v>
      </c>
      <c r="U519" s="13" t="s">
        <v>132</v>
      </c>
      <c r="V519" s="14" t="e">
        <f t="shared" ca="1" si="0"/>
        <v>#NAME?</v>
      </c>
      <c r="W519" s="10" t="str">
        <f ca="1">IFERROR(__xludf.DUMMYFUNCTION("IF(COUNTIF($A:$A,A513)=1,
""Unique"",
IF(COUNTUNIQUE(FILTER($V$2:$V$934,$A$2:$A$934=A513))&gt;1,
""Conflicting Duplicate"",
""Exact Duplicate""))"),"Unique")</f>
        <v>Unique</v>
      </c>
      <c r="X519" s="10" t="b">
        <f t="shared" ca="1" si="1"/>
        <v>1</v>
      </c>
      <c r="Y519" s="10" t="str">
        <f t="shared" si="2"/>
        <v>Unique</v>
      </c>
      <c r="Z519" s="10"/>
      <c r="AA519" s="10" t="str">
        <f t="shared" si="3"/>
        <v>Clean</v>
      </c>
      <c r="AB519" s="15" t="str">
        <f t="shared" si="4"/>
        <v>Valid</v>
      </c>
      <c r="AC519" s="15">
        <v>2</v>
      </c>
      <c r="AD519" s="16" t="str">
        <f t="shared" si="5"/>
        <v>Valid</v>
      </c>
      <c r="AE519" s="16" t="str">
        <f t="shared" si="6"/>
        <v>Valid</v>
      </c>
      <c r="AF519" s="16" t="str">
        <f t="shared" ref="AF519:AG519" si="1049">IF(ISNUMBER(B519),"Valid","Invalid")</f>
        <v>Valid</v>
      </c>
      <c r="AG519" s="16" t="str">
        <f t="shared" si="1049"/>
        <v>Valid</v>
      </c>
      <c r="AH519" s="16" t="str">
        <f t="shared" ref="AH519:AI519" si="1050">IF(OR(B519="",ISBLANK(B519)),"Missing","Valid")</f>
        <v>Valid</v>
      </c>
      <c r="AI519" s="16" t="str">
        <f t="shared" si="1050"/>
        <v>Valid</v>
      </c>
      <c r="AJ519" s="16" t="b">
        <v>0</v>
      </c>
      <c r="AK519" s="16" t="b">
        <v>0</v>
      </c>
      <c r="AL519" s="16" t="b">
        <v>0</v>
      </c>
      <c r="AM519" s="16" t="b">
        <v>0</v>
      </c>
      <c r="AN519" s="16" t="b">
        <v>0</v>
      </c>
      <c r="AO519" s="16" t="b">
        <v>0</v>
      </c>
      <c r="AP519" s="16" t="b">
        <v>0</v>
      </c>
      <c r="AQ519" s="17">
        <f t="shared" si="9"/>
        <v>0.2</v>
      </c>
      <c r="AR519" s="12">
        <f t="shared" si="10"/>
        <v>11890.368000000002</v>
      </c>
      <c r="AS519" s="18">
        <f t="shared" si="11"/>
        <v>1.9999999985884642E-3</v>
      </c>
      <c r="AT519" s="12">
        <f t="shared" si="12"/>
        <v>2655.8380000000016</v>
      </c>
      <c r="AU519" s="18">
        <f t="shared" si="13"/>
        <v>1.9999999985884642E-3</v>
      </c>
      <c r="AV519" s="19">
        <f t="shared" si="14"/>
        <v>0.22336045444514427</v>
      </c>
      <c r="AW519" s="20" t="str">
        <f t="shared" si="15"/>
        <v>May</v>
      </c>
      <c r="AX519" s="21">
        <f t="shared" si="16"/>
        <v>2025</v>
      </c>
    </row>
    <row r="520" spans="1:50" ht="15.75" customHeight="1">
      <c r="A520" s="10" t="s">
        <v>1682</v>
      </c>
      <c r="B520" s="11">
        <v>45777</v>
      </c>
      <c r="C520" s="11">
        <v>45773</v>
      </c>
      <c r="D520" s="10" t="s">
        <v>1683</v>
      </c>
      <c r="E520" s="10" t="s">
        <v>191</v>
      </c>
      <c r="F520" s="10" t="s">
        <v>119</v>
      </c>
      <c r="G520" s="10" t="s">
        <v>67</v>
      </c>
      <c r="H520" s="10" t="s">
        <v>68</v>
      </c>
      <c r="I520" s="10" t="s">
        <v>69</v>
      </c>
      <c r="J520" s="10" t="s">
        <v>70</v>
      </c>
      <c r="K520" s="10" t="s">
        <v>71</v>
      </c>
      <c r="L520" s="10" t="s">
        <v>1684</v>
      </c>
      <c r="M520" s="10" t="s">
        <v>79</v>
      </c>
      <c r="N520" s="12">
        <v>7</v>
      </c>
      <c r="O520" s="12">
        <v>1604.13</v>
      </c>
      <c r="P520" s="12">
        <v>0.25</v>
      </c>
      <c r="Q520" s="12">
        <v>8421.68</v>
      </c>
      <c r="R520" s="12">
        <v>6534.47</v>
      </c>
      <c r="S520" s="12">
        <v>1887.21</v>
      </c>
      <c r="T520" s="10" t="s">
        <v>61</v>
      </c>
      <c r="U520" s="13" t="s">
        <v>97</v>
      </c>
      <c r="V520" s="14" t="e">
        <f t="shared" ca="1" si="0"/>
        <v>#NAME?</v>
      </c>
      <c r="W520" s="10" t="str">
        <f ca="1">IFERROR(__xludf.DUMMYFUNCTION("IF(COUNTIF($A:$A,A514)=1,
""Unique"",
IF(COUNTUNIQUE(FILTER($V$2:$V$934,$A$2:$A$934=A514))&gt;1,
""Conflicting Duplicate"",
""Exact Duplicate""))"),"Unique")</f>
        <v>Unique</v>
      </c>
      <c r="X520" s="10" t="b">
        <f t="shared" ca="1" si="1"/>
        <v>1</v>
      </c>
      <c r="Y520" s="10" t="str">
        <f t="shared" si="2"/>
        <v>Unique</v>
      </c>
      <c r="Z520" s="10"/>
      <c r="AA520" s="10" t="str">
        <f t="shared" si="3"/>
        <v>Invalid</v>
      </c>
      <c r="AB520" s="15" t="str">
        <f t="shared" si="4"/>
        <v>Invalid</v>
      </c>
      <c r="AC520" s="15">
        <v>-4</v>
      </c>
      <c r="AD520" s="16" t="str">
        <f t="shared" si="5"/>
        <v>Invalid Shipping Date</v>
      </c>
      <c r="AE520" s="16" t="str">
        <f t="shared" si="6"/>
        <v>Valid</v>
      </c>
      <c r="AF520" s="16" t="str">
        <f t="shared" ref="AF520:AG520" si="1051">IF(ISNUMBER(B520),"Valid","Invalid")</f>
        <v>Valid</v>
      </c>
      <c r="AG520" s="16" t="str">
        <f t="shared" si="1051"/>
        <v>Valid</v>
      </c>
      <c r="AH520" s="16" t="str">
        <f t="shared" ref="AH520:AI520" si="1052">IF(OR(B520="",ISBLANK(B520)),"Missing","Valid")</f>
        <v>Valid</v>
      </c>
      <c r="AI520" s="16" t="str">
        <f t="shared" si="1052"/>
        <v>Valid</v>
      </c>
      <c r="AJ520" s="16" t="b">
        <v>0</v>
      </c>
      <c r="AK520" s="16" t="b">
        <v>0</v>
      </c>
      <c r="AL520" s="16" t="b">
        <v>0</v>
      </c>
      <c r="AM520" s="16" t="b">
        <v>0</v>
      </c>
      <c r="AN520" s="16" t="b">
        <v>0</v>
      </c>
      <c r="AO520" s="16" t="b">
        <v>1</v>
      </c>
      <c r="AP520" s="16" t="b">
        <v>1</v>
      </c>
      <c r="AQ520" s="17">
        <f t="shared" si="9"/>
        <v>0.25</v>
      </c>
      <c r="AR520" s="12">
        <f t="shared" si="10"/>
        <v>8421.682499999999</v>
      </c>
      <c r="AS520" s="18">
        <f t="shared" si="11"/>
        <v>-2.4999999986903276E-3</v>
      </c>
      <c r="AT520" s="12">
        <f t="shared" si="12"/>
        <v>1887.2124999999987</v>
      </c>
      <c r="AU520" s="18">
        <f t="shared" si="13"/>
        <v>-2.4999999986903276E-3</v>
      </c>
      <c r="AV520" s="19">
        <f t="shared" si="14"/>
        <v>0.22408972316398759</v>
      </c>
      <c r="AW520" s="20" t="str">
        <f t="shared" si="15"/>
        <v>April</v>
      </c>
      <c r="AX520" s="21">
        <f t="shared" si="16"/>
        <v>2025</v>
      </c>
    </row>
    <row r="521" spans="1:50" ht="15.75" customHeight="1">
      <c r="A521" s="10" t="s">
        <v>1685</v>
      </c>
      <c r="B521" s="11">
        <v>45841</v>
      </c>
      <c r="C521" s="11">
        <v>45845</v>
      </c>
      <c r="D521" s="10" t="s">
        <v>1686</v>
      </c>
      <c r="E521" s="10" t="s">
        <v>143</v>
      </c>
      <c r="F521" s="10" t="s">
        <v>53</v>
      </c>
      <c r="G521" s="10" t="s">
        <v>54</v>
      </c>
      <c r="H521" s="10" t="s">
        <v>165</v>
      </c>
      <c r="I521" s="10" t="s">
        <v>166</v>
      </c>
      <c r="J521" s="10" t="s">
        <v>70</v>
      </c>
      <c r="K521" s="10" t="s">
        <v>71</v>
      </c>
      <c r="L521" s="10" t="s">
        <v>1687</v>
      </c>
      <c r="M521" s="10" t="s">
        <v>88</v>
      </c>
      <c r="N521" s="12">
        <v>4</v>
      </c>
      <c r="O521" s="12">
        <v>4365.21</v>
      </c>
      <c r="P521" s="12">
        <v>0.2</v>
      </c>
      <c r="Q521" s="12">
        <v>13968.67</v>
      </c>
      <c r="R521" s="12">
        <v>8857.58</v>
      </c>
      <c r="S521" s="12">
        <v>5111.09</v>
      </c>
      <c r="T521" s="10" t="s">
        <v>140</v>
      </c>
      <c r="U521" s="13" t="s">
        <v>97</v>
      </c>
      <c r="V521" s="14" t="e">
        <f t="shared" ca="1" si="0"/>
        <v>#NAME?</v>
      </c>
      <c r="W521" s="10" t="str">
        <f ca="1">IFERROR(__xludf.DUMMYFUNCTION("IF(COUNTIF($A:$A,A515)=1,
""Unique"",
IF(COUNTUNIQUE(FILTER($V$2:$V$934,$A$2:$A$934=A515))&gt;1,
""Conflicting Duplicate"",
""Exact Duplicate""))"),"Unique")</f>
        <v>Unique</v>
      </c>
      <c r="X521" s="10" t="b">
        <f t="shared" ca="1" si="1"/>
        <v>1</v>
      </c>
      <c r="Y521" s="10" t="str">
        <f t="shared" si="2"/>
        <v>Unique</v>
      </c>
      <c r="Z521" s="10"/>
      <c r="AA521" s="10" t="str">
        <f t="shared" si="3"/>
        <v>Clean</v>
      </c>
      <c r="AB521" s="15" t="str">
        <f t="shared" si="4"/>
        <v>Valid</v>
      </c>
      <c r="AC521" s="15">
        <v>4</v>
      </c>
      <c r="AD521" s="16" t="str">
        <f t="shared" si="5"/>
        <v>Valid</v>
      </c>
      <c r="AE521" s="16" t="str">
        <f t="shared" si="6"/>
        <v>Valid</v>
      </c>
      <c r="AF521" s="16" t="str">
        <f t="shared" ref="AF521:AG521" si="1053">IF(ISNUMBER(B521),"Valid","Invalid")</f>
        <v>Valid</v>
      </c>
      <c r="AG521" s="16" t="str">
        <f t="shared" si="1053"/>
        <v>Valid</v>
      </c>
      <c r="AH521" s="16" t="str">
        <f t="shared" ref="AH521:AI521" si="1054">IF(OR(B521="",ISBLANK(B521)),"Missing","Valid")</f>
        <v>Valid</v>
      </c>
      <c r="AI521" s="16" t="str">
        <f t="shared" si="1054"/>
        <v>Valid</v>
      </c>
      <c r="AJ521" s="16" t="b">
        <v>0</v>
      </c>
      <c r="AK521" s="16" t="b">
        <v>0</v>
      </c>
      <c r="AL521" s="16" t="b">
        <v>0</v>
      </c>
      <c r="AM521" s="16" t="b">
        <v>0</v>
      </c>
      <c r="AN521" s="16" t="b">
        <v>0</v>
      </c>
      <c r="AO521" s="16" t="b">
        <v>0</v>
      </c>
      <c r="AP521" s="16" t="b">
        <v>0</v>
      </c>
      <c r="AQ521" s="17">
        <f t="shared" si="9"/>
        <v>0.2</v>
      </c>
      <c r="AR521" s="12">
        <f t="shared" si="10"/>
        <v>13968.672</v>
      </c>
      <c r="AS521" s="18">
        <f t="shared" si="11"/>
        <v>-2.0000000004074536E-3</v>
      </c>
      <c r="AT521" s="12">
        <f t="shared" si="12"/>
        <v>5111.0920000000006</v>
      </c>
      <c r="AU521" s="18">
        <f t="shared" si="13"/>
        <v>-2.0000000004074536E-3</v>
      </c>
      <c r="AV521" s="19">
        <f t="shared" si="14"/>
        <v>0.36589677243477409</v>
      </c>
      <c r="AW521" s="20" t="str">
        <f t="shared" si="15"/>
        <v>July</v>
      </c>
      <c r="AX521" s="21">
        <f t="shared" si="16"/>
        <v>2025</v>
      </c>
    </row>
    <row r="522" spans="1:50" ht="15.75" customHeight="1">
      <c r="A522" s="10" t="s">
        <v>1688</v>
      </c>
      <c r="B522" s="11">
        <v>45489</v>
      </c>
      <c r="C522" s="11">
        <v>45496</v>
      </c>
      <c r="D522" s="10" t="s">
        <v>1689</v>
      </c>
      <c r="E522" s="10" t="s">
        <v>157</v>
      </c>
      <c r="F522" s="10" t="s">
        <v>124</v>
      </c>
      <c r="G522" s="10" t="s">
        <v>83</v>
      </c>
      <c r="H522" s="10" t="s">
        <v>204</v>
      </c>
      <c r="I522" s="10" t="s">
        <v>205</v>
      </c>
      <c r="J522" s="10" t="s">
        <v>103</v>
      </c>
      <c r="K522" s="10" t="s">
        <v>304</v>
      </c>
      <c r="L522" s="10" t="s">
        <v>1690</v>
      </c>
      <c r="M522" s="10" t="s">
        <v>73</v>
      </c>
      <c r="N522" s="12">
        <v>1</v>
      </c>
      <c r="O522" s="12">
        <v>1695.91</v>
      </c>
      <c r="P522" s="12">
        <v>0.05</v>
      </c>
      <c r="Q522" s="12">
        <v>1611.11</v>
      </c>
      <c r="R522" s="12">
        <v>895.15</v>
      </c>
      <c r="S522" s="12">
        <v>715.96</v>
      </c>
      <c r="T522" s="10" t="s">
        <v>61</v>
      </c>
      <c r="U522" s="13" t="s">
        <v>62</v>
      </c>
      <c r="V522" s="14" t="e">
        <f t="shared" ca="1" si="0"/>
        <v>#NAME?</v>
      </c>
      <c r="W522" s="10" t="str">
        <f ca="1">IFERROR(__xludf.DUMMYFUNCTION("IF(COUNTIF($A:$A,A516)=1,
""Unique"",
IF(COUNTUNIQUE(FILTER($V$2:$V$934,$A$2:$A$934=A516))&gt;1,
""Conflicting Duplicate"",
""Exact Duplicate""))"),"Unique")</f>
        <v>Unique</v>
      </c>
      <c r="X522" s="10" t="b">
        <f t="shared" ca="1" si="1"/>
        <v>1</v>
      </c>
      <c r="Y522" s="10" t="str">
        <f t="shared" si="2"/>
        <v>Unique</v>
      </c>
      <c r="Z522" s="10"/>
      <c r="AA522" s="10" t="str">
        <f t="shared" si="3"/>
        <v>Clean</v>
      </c>
      <c r="AB522" s="15" t="str">
        <f t="shared" si="4"/>
        <v>Valid</v>
      </c>
      <c r="AC522" s="15">
        <v>7</v>
      </c>
      <c r="AD522" s="16" t="str">
        <f t="shared" si="5"/>
        <v>Valid</v>
      </c>
      <c r="AE522" s="16" t="str">
        <f t="shared" si="6"/>
        <v>Valid</v>
      </c>
      <c r="AF522" s="16" t="str">
        <f t="shared" ref="AF522:AG522" si="1055">IF(ISNUMBER(B522),"Valid","Invalid")</f>
        <v>Valid</v>
      </c>
      <c r="AG522" s="16" t="str">
        <f t="shared" si="1055"/>
        <v>Valid</v>
      </c>
      <c r="AH522" s="16" t="str">
        <f t="shared" ref="AH522:AI522" si="1056">IF(OR(B522="",ISBLANK(B522)),"Missing","Valid")</f>
        <v>Valid</v>
      </c>
      <c r="AI522" s="16" t="str">
        <f t="shared" si="1056"/>
        <v>Valid</v>
      </c>
      <c r="AJ522" s="16" t="b">
        <v>0</v>
      </c>
      <c r="AK522" s="16" t="b">
        <v>0</v>
      </c>
      <c r="AL522" s="16" t="b">
        <v>0</v>
      </c>
      <c r="AM522" s="16" t="b">
        <v>0</v>
      </c>
      <c r="AN522" s="16" t="b">
        <v>0</v>
      </c>
      <c r="AO522" s="16" t="b">
        <v>0</v>
      </c>
      <c r="AP522" s="16" t="b">
        <v>0</v>
      </c>
      <c r="AQ522" s="17">
        <f t="shared" si="9"/>
        <v>0.05</v>
      </c>
      <c r="AR522" s="12">
        <f t="shared" si="10"/>
        <v>1611.1144999999999</v>
      </c>
      <c r="AS522" s="18">
        <f t="shared" si="11"/>
        <v>-4.500000000007276E-3</v>
      </c>
      <c r="AT522" s="12">
        <f t="shared" si="12"/>
        <v>715.96449999999993</v>
      </c>
      <c r="AU522" s="18">
        <f t="shared" si="13"/>
        <v>-4.4999999998935891E-3</v>
      </c>
      <c r="AV522" s="19">
        <f t="shared" si="14"/>
        <v>0.44439082386757739</v>
      </c>
      <c r="AW522" s="20" t="str">
        <f t="shared" si="15"/>
        <v>July</v>
      </c>
      <c r="AX522" s="21">
        <f t="shared" si="16"/>
        <v>2024</v>
      </c>
    </row>
    <row r="523" spans="1:50" ht="15.75" customHeight="1">
      <c r="A523" s="10" t="s">
        <v>1691</v>
      </c>
      <c r="B523" s="11">
        <v>45741</v>
      </c>
      <c r="C523" s="11">
        <v>45748</v>
      </c>
      <c r="D523" s="10" t="s">
        <v>1692</v>
      </c>
      <c r="E523" s="10" t="s">
        <v>191</v>
      </c>
      <c r="F523" s="10" t="s">
        <v>53</v>
      </c>
      <c r="G523" s="10" t="s">
        <v>54</v>
      </c>
      <c r="H523" s="10" t="s">
        <v>151</v>
      </c>
      <c r="I523" s="10" t="s">
        <v>152</v>
      </c>
      <c r="J523" s="10" t="s">
        <v>57</v>
      </c>
      <c r="K523" s="10" t="s">
        <v>120</v>
      </c>
      <c r="L523" s="10" t="s">
        <v>1693</v>
      </c>
      <c r="M523" s="10" t="s">
        <v>60</v>
      </c>
      <c r="N523" s="12">
        <v>6</v>
      </c>
      <c r="O523" s="12">
        <v>2192.11</v>
      </c>
      <c r="P523" s="12">
        <v>0.05</v>
      </c>
      <c r="Q523" s="12">
        <v>12495.03</v>
      </c>
      <c r="R523" s="12">
        <v>9184.52</v>
      </c>
      <c r="S523" s="12">
        <v>3310.51</v>
      </c>
      <c r="T523" s="10" t="s">
        <v>61</v>
      </c>
      <c r="U523" s="13" t="s">
        <v>62</v>
      </c>
      <c r="V523" s="14" t="e">
        <f t="shared" ca="1" si="0"/>
        <v>#NAME?</v>
      </c>
      <c r="W523" s="10" t="str">
        <f ca="1">IFERROR(__xludf.DUMMYFUNCTION("IF(COUNTIF($A:$A,A517)=1,
""Unique"",
IF(COUNTUNIQUE(FILTER($V$2:$V$934,$A$2:$A$934=A517))&gt;1,
""Conflicting Duplicate"",
""Exact Duplicate""))"),"Unique")</f>
        <v>Unique</v>
      </c>
      <c r="X523" s="10" t="b">
        <f t="shared" ca="1" si="1"/>
        <v>1</v>
      </c>
      <c r="Y523" s="10" t="str">
        <f t="shared" si="2"/>
        <v>Unique</v>
      </c>
      <c r="Z523" s="10"/>
      <c r="AA523" s="10" t="str">
        <f t="shared" si="3"/>
        <v>Clean</v>
      </c>
      <c r="AB523" s="15" t="str">
        <f t="shared" si="4"/>
        <v>Valid</v>
      </c>
      <c r="AC523" s="15">
        <v>7</v>
      </c>
      <c r="AD523" s="16" t="str">
        <f t="shared" si="5"/>
        <v>Valid</v>
      </c>
      <c r="AE523" s="16" t="str">
        <f t="shared" si="6"/>
        <v>Valid</v>
      </c>
      <c r="AF523" s="16" t="str">
        <f t="shared" ref="AF523:AG523" si="1057">IF(ISNUMBER(B523),"Valid","Invalid")</f>
        <v>Valid</v>
      </c>
      <c r="AG523" s="16" t="str">
        <f t="shared" si="1057"/>
        <v>Valid</v>
      </c>
      <c r="AH523" s="16" t="str">
        <f t="shared" ref="AH523:AI523" si="1058">IF(OR(B523="",ISBLANK(B523)),"Missing","Valid")</f>
        <v>Valid</v>
      </c>
      <c r="AI523" s="16" t="str">
        <f t="shared" si="1058"/>
        <v>Valid</v>
      </c>
      <c r="AJ523" s="16" t="b">
        <v>0</v>
      </c>
      <c r="AK523" s="16" t="b">
        <v>0</v>
      </c>
      <c r="AL523" s="16" t="b">
        <v>0</v>
      </c>
      <c r="AM523" s="16" t="b">
        <v>0</v>
      </c>
      <c r="AN523" s="16" t="b">
        <v>0</v>
      </c>
      <c r="AO523" s="16" t="b">
        <v>0</v>
      </c>
      <c r="AP523" s="16" t="b">
        <v>0</v>
      </c>
      <c r="AQ523" s="17">
        <f t="shared" si="9"/>
        <v>0.05</v>
      </c>
      <c r="AR523" s="12">
        <f t="shared" si="10"/>
        <v>12495.027</v>
      </c>
      <c r="AS523" s="18">
        <f t="shared" si="11"/>
        <v>3.0000000006111804E-3</v>
      </c>
      <c r="AT523" s="12">
        <f t="shared" si="12"/>
        <v>3310.5069999999996</v>
      </c>
      <c r="AU523" s="18">
        <f t="shared" si="13"/>
        <v>3.0000000006111804E-3</v>
      </c>
      <c r="AV523" s="19">
        <f t="shared" si="14"/>
        <v>0.26494596610315446</v>
      </c>
      <c r="AW523" s="20" t="str">
        <f t="shared" si="15"/>
        <v>March</v>
      </c>
      <c r="AX523" s="21">
        <f t="shared" si="16"/>
        <v>2025</v>
      </c>
    </row>
    <row r="524" spans="1:50" ht="15.75" customHeight="1">
      <c r="A524" s="10" t="s">
        <v>1694</v>
      </c>
      <c r="B524" s="11">
        <v>45716</v>
      </c>
      <c r="C524" s="11">
        <v>45724</v>
      </c>
      <c r="D524" s="10" t="s">
        <v>1695</v>
      </c>
      <c r="E524" s="10" t="s">
        <v>108</v>
      </c>
      <c r="F524" s="10" t="s">
        <v>66</v>
      </c>
      <c r="G524" s="10" t="s">
        <v>67</v>
      </c>
      <c r="H524" s="10" t="s">
        <v>258</v>
      </c>
      <c r="I524" s="10" t="s">
        <v>259</v>
      </c>
      <c r="J524" s="10" t="s">
        <v>103</v>
      </c>
      <c r="K524" s="10" t="s">
        <v>200</v>
      </c>
      <c r="L524" s="10" t="s">
        <v>1696</v>
      </c>
      <c r="M524" s="10" t="s">
        <v>79</v>
      </c>
      <c r="N524" s="12">
        <v>9</v>
      </c>
      <c r="O524" s="12">
        <v>3670.54</v>
      </c>
      <c r="P524" s="12">
        <v>0</v>
      </c>
      <c r="Q524" s="12">
        <v>33034.86</v>
      </c>
      <c r="R524" s="12">
        <v>24539.83</v>
      </c>
      <c r="S524" s="12">
        <v>8495.0300000000007</v>
      </c>
      <c r="T524" s="10" t="s">
        <v>61</v>
      </c>
      <c r="U524" s="13" t="s">
        <v>62</v>
      </c>
      <c r="V524" s="14" t="e">
        <f t="shared" ca="1" si="0"/>
        <v>#NAME?</v>
      </c>
      <c r="W524" s="10" t="str">
        <f ca="1">IFERROR(__xludf.DUMMYFUNCTION("IF(COUNTIF($A:$A,A518)=1,
""Unique"",
IF(COUNTUNIQUE(FILTER($V$2:$V$934,$A$2:$A$934=A518))&gt;1,
""Conflicting Duplicate"",
""Exact Duplicate""))"),"Unique")</f>
        <v>Unique</v>
      </c>
      <c r="X524" s="10" t="b">
        <f t="shared" ca="1" si="1"/>
        <v>1</v>
      </c>
      <c r="Y524" s="10" t="str">
        <f t="shared" si="2"/>
        <v>Unique</v>
      </c>
      <c r="Z524" s="10"/>
      <c r="AA524" s="10" t="str">
        <f t="shared" si="3"/>
        <v>Clean</v>
      </c>
      <c r="AB524" s="15" t="str">
        <f t="shared" si="4"/>
        <v>Valid</v>
      </c>
      <c r="AC524" s="15">
        <v>8</v>
      </c>
      <c r="AD524" s="16" t="str">
        <f t="shared" si="5"/>
        <v>Valid</v>
      </c>
      <c r="AE524" s="16" t="str">
        <f t="shared" si="6"/>
        <v>Valid</v>
      </c>
      <c r="AF524" s="16" t="str">
        <f t="shared" ref="AF524:AG524" si="1059">IF(ISNUMBER(B524),"Valid","Invalid")</f>
        <v>Valid</v>
      </c>
      <c r="AG524" s="16" t="str">
        <f t="shared" si="1059"/>
        <v>Valid</v>
      </c>
      <c r="AH524" s="16" t="str">
        <f t="shared" ref="AH524:AI524" si="1060">IF(OR(B524="",ISBLANK(B524)),"Missing","Valid")</f>
        <v>Valid</v>
      </c>
      <c r="AI524" s="16" t="str">
        <f t="shared" si="1060"/>
        <v>Valid</v>
      </c>
      <c r="AJ524" s="16" t="b">
        <v>0</v>
      </c>
      <c r="AK524" s="16" t="b">
        <v>0</v>
      </c>
      <c r="AL524" s="16" t="b">
        <v>0</v>
      </c>
      <c r="AM524" s="16" t="b">
        <v>0</v>
      </c>
      <c r="AN524" s="16" t="b">
        <v>0</v>
      </c>
      <c r="AO524" s="16" t="b">
        <v>0</v>
      </c>
      <c r="AP524" s="16" t="b">
        <v>0</v>
      </c>
      <c r="AQ524" s="17">
        <f t="shared" si="9"/>
        <v>0</v>
      </c>
      <c r="AR524" s="12">
        <f t="shared" si="10"/>
        <v>33034.86</v>
      </c>
      <c r="AS524" s="18">
        <f t="shared" si="11"/>
        <v>0</v>
      </c>
      <c r="AT524" s="12">
        <f t="shared" si="12"/>
        <v>8495.0299999999988</v>
      </c>
      <c r="AU524" s="18">
        <f t="shared" si="13"/>
        <v>0</v>
      </c>
      <c r="AV524" s="19">
        <f t="shared" si="14"/>
        <v>0.25715350390466307</v>
      </c>
      <c r="AW524" s="20" t="str">
        <f t="shared" si="15"/>
        <v>February</v>
      </c>
      <c r="AX524" s="21">
        <f t="shared" si="16"/>
        <v>2025</v>
      </c>
    </row>
    <row r="525" spans="1:50" ht="15.75" customHeight="1">
      <c r="A525" s="10" t="s">
        <v>1697</v>
      </c>
      <c r="B525" s="11">
        <v>45384</v>
      </c>
      <c r="C525" s="11">
        <v>45385</v>
      </c>
      <c r="D525" s="10" t="s">
        <v>1698</v>
      </c>
      <c r="E525" s="10" t="s">
        <v>294</v>
      </c>
      <c r="F525" s="10" t="s">
        <v>124</v>
      </c>
      <c r="G525" s="10" t="s">
        <v>92</v>
      </c>
      <c r="H525" s="10" t="s">
        <v>219</v>
      </c>
      <c r="I525" s="10" t="s">
        <v>220</v>
      </c>
      <c r="J525" s="10" t="s">
        <v>57</v>
      </c>
      <c r="K525" s="10" t="s">
        <v>58</v>
      </c>
      <c r="L525" s="10" t="s">
        <v>1699</v>
      </c>
      <c r="M525" s="10" t="s">
        <v>60</v>
      </c>
      <c r="N525" s="12">
        <v>2</v>
      </c>
      <c r="O525" s="12">
        <v>2902.63</v>
      </c>
      <c r="P525" s="12">
        <v>0</v>
      </c>
      <c r="Q525" s="12">
        <v>5805.26</v>
      </c>
      <c r="R525" s="12">
        <v>4654.3599999999997</v>
      </c>
      <c r="S525" s="12">
        <v>1150.9000000000001</v>
      </c>
      <c r="T525" s="10" t="s">
        <v>61</v>
      </c>
      <c r="U525" s="13" t="s">
        <v>132</v>
      </c>
      <c r="V525" s="14" t="e">
        <f t="shared" ca="1" si="0"/>
        <v>#NAME?</v>
      </c>
      <c r="W525" s="10" t="str">
        <f ca="1">IFERROR(__xludf.DUMMYFUNCTION("IF(COUNTIF($A:$A,A519)=1,
""Unique"",
IF(COUNTUNIQUE(FILTER($V$2:$V$934,$A$2:$A$934=A519))&gt;1,
""Conflicting Duplicate"",
""Exact Duplicate""))"),"Unique")</f>
        <v>Unique</v>
      </c>
      <c r="X525" s="10" t="b">
        <f t="shared" ca="1" si="1"/>
        <v>1</v>
      </c>
      <c r="Y525" s="10" t="str">
        <f t="shared" si="2"/>
        <v>Unique</v>
      </c>
      <c r="Z525" s="10"/>
      <c r="AA525" s="10" t="str">
        <f t="shared" si="3"/>
        <v>Clean</v>
      </c>
      <c r="AB525" s="15" t="str">
        <f t="shared" si="4"/>
        <v>Valid</v>
      </c>
      <c r="AC525" s="15">
        <v>1</v>
      </c>
      <c r="AD525" s="16" t="str">
        <f t="shared" si="5"/>
        <v>Valid</v>
      </c>
      <c r="AE525" s="16" t="str">
        <f t="shared" si="6"/>
        <v>Valid</v>
      </c>
      <c r="AF525" s="16" t="str">
        <f t="shared" ref="AF525:AG525" si="1061">IF(ISNUMBER(B525),"Valid","Invalid")</f>
        <v>Valid</v>
      </c>
      <c r="AG525" s="16" t="str">
        <f t="shared" si="1061"/>
        <v>Valid</v>
      </c>
      <c r="AH525" s="16" t="str">
        <f t="shared" ref="AH525:AI525" si="1062">IF(OR(B525="",ISBLANK(B525)),"Missing","Valid")</f>
        <v>Valid</v>
      </c>
      <c r="AI525" s="16" t="str">
        <f t="shared" si="1062"/>
        <v>Valid</v>
      </c>
      <c r="AJ525" s="16" t="b">
        <v>0</v>
      </c>
      <c r="AK525" s="16" t="b">
        <v>0</v>
      </c>
      <c r="AL525" s="16" t="b">
        <v>0</v>
      </c>
      <c r="AM525" s="16" t="b">
        <v>0</v>
      </c>
      <c r="AN525" s="16" t="b">
        <v>0</v>
      </c>
      <c r="AO525" s="16" t="b">
        <v>0</v>
      </c>
      <c r="AP525" s="16" t="b">
        <v>0</v>
      </c>
      <c r="AQ525" s="17">
        <f t="shared" si="9"/>
        <v>0</v>
      </c>
      <c r="AR525" s="12">
        <f t="shared" si="10"/>
        <v>5805.26</v>
      </c>
      <c r="AS525" s="18">
        <f t="shared" si="11"/>
        <v>0</v>
      </c>
      <c r="AT525" s="12">
        <f t="shared" si="12"/>
        <v>1150.9000000000005</v>
      </c>
      <c r="AU525" s="18">
        <f t="shared" si="13"/>
        <v>0</v>
      </c>
      <c r="AV525" s="19">
        <f t="shared" si="14"/>
        <v>0.19825124111581574</v>
      </c>
      <c r="AW525" s="20" t="str">
        <f t="shared" si="15"/>
        <v>April</v>
      </c>
      <c r="AX525" s="21">
        <f t="shared" si="16"/>
        <v>2024</v>
      </c>
    </row>
    <row r="526" spans="1:50" ht="15.75" customHeight="1">
      <c r="A526" s="10" t="s">
        <v>1700</v>
      </c>
      <c r="B526" s="11">
        <v>45626</v>
      </c>
      <c r="C526" s="11">
        <v>45627</v>
      </c>
      <c r="D526" s="10" t="s">
        <v>1701</v>
      </c>
      <c r="E526" s="10" t="s">
        <v>91</v>
      </c>
      <c r="F526" s="10" t="s">
        <v>119</v>
      </c>
      <c r="G526" s="10" t="s">
        <v>92</v>
      </c>
      <c r="H526" s="10" t="s">
        <v>209</v>
      </c>
      <c r="I526" s="10" t="s">
        <v>210</v>
      </c>
      <c r="J526" s="10" t="s">
        <v>70</v>
      </c>
      <c r="K526" s="10" t="s">
        <v>95</v>
      </c>
      <c r="L526" s="10" t="s">
        <v>1702</v>
      </c>
      <c r="M526" s="10" t="s">
        <v>79</v>
      </c>
      <c r="N526" s="12">
        <v>9</v>
      </c>
      <c r="O526" s="12">
        <v>4207.3599999999997</v>
      </c>
      <c r="P526" s="12">
        <v>0.1</v>
      </c>
      <c r="Q526" s="12">
        <v>34079.620000000003</v>
      </c>
      <c r="R526" s="12">
        <v>21871.39</v>
      </c>
      <c r="S526" s="12">
        <v>12208.23</v>
      </c>
      <c r="T526" s="10" t="s">
        <v>61</v>
      </c>
      <c r="U526" s="13" t="s">
        <v>62</v>
      </c>
      <c r="V526" s="14" t="e">
        <f t="shared" ca="1" si="0"/>
        <v>#NAME?</v>
      </c>
      <c r="W526" s="10" t="str">
        <f ca="1">IFERROR(__xludf.DUMMYFUNCTION("IF(COUNTIF($A:$A,A520)=1,
""Unique"",
IF(COUNTUNIQUE(FILTER($V$2:$V$934,$A$2:$A$934=A520))&gt;1,
""Conflicting Duplicate"",
""Exact Duplicate""))"),"Unique")</f>
        <v>Unique</v>
      </c>
      <c r="X526" s="10" t="b">
        <f t="shared" ca="1" si="1"/>
        <v>1</v>
      </c>
      <c r="Y526" s="10" t="str">
        <f t="shared" si="2"/>
        <v>Unique</v>
      </c>
      <c r="Z526" s="10"/>
      <c r="AA526" s="10" t="str">
        <f t="shared" si="3"/>
        <v>Clean</v>
      </c>
      <c r="AB526" s="15" t="str">
        <f t="shared" si="4"/>
        <v>Valid</v>
      </c>
      <c r="AC526" s="15">
        <v>1</v>
      </c>
      <c r="AD526" s="16" t="str">
        <f t="shared" si="5"/>
        <v>Valid</v>
      </c>
      <c r="AE526" s="16" t="str">
        <f t="shared" si="6"/>
        <v>Valid</v>
      </c>
      <c r="AF526" s="16" t="str">
        <f t="shared" ref="AF526:AG526" si="1063">IF(ISNUMBER(B526),"Valid","Invalid")</f>
        <v>Valid</v>
      </c>
      <c r="AG526" s="16" t="str">
        <f t="shared" si="1063"/>
        <v>Valid</v>
      </c>
      <c r="AH526" s="16" t="str">
        <f t="shared" ref="AH526:AI526" si="1064">IF(OR(B526="",ISBLANK(B526)),"Missing","Valid")</f>
        <v>Valid</v>
      </c>
      <c r="AI526" s="16" t="str">
        <f t="shared" si="1064"/>
        <v>Valid</v>
      </c>
      <c r="AJ526" s="16" t="b">
        <v>0</v>
      </c>
      <c r="AK526" s="16" t="b">
        <v>0</v>
      </c>
      <c r="AL526" s="16" t="b">
        <v>0</v>
      </c>
      <c r="AM526" s="16" t="b">
        <v>0</v>
      </c>
      <c r="AN526" s="16" t="b">
        <v>0</v>
      </c>
      <c r="AO526" s="16" t="b">
        <v>0</v>
      </c>
      <c r="AP526" s="16" t="b">
        <v>0</v>
      </c>
      <c r="AQ526" s="17">
        <f t="shared" si="9"/>
        <v>0.1</v>
      </c>
      <c r="AR526" s="12">
        <f t="shared" si="10"/>
        <v>34079.616000000002</v>
      </c>
      <c r="AS526" s="18">
        <f t="shared" si="11"/>
        <v>4.0000000008149073E-3</v>
      </c>
      <c r="AT526" s="12">
        <f t="shared" si="12"/>
        <v>12208.226000000002</v>
      </c>
      <c r="AU526" s="18">
        <f t="shared" si="13"/>
        <v>3.9999999971769284E-3</v>
      </c>
      <c r="AV526" s="19">
        <f t="shared" si="14"/>
        <v>0.35822663025311091</v>
      </c>
      <c r="AW526" s="20" t="str">
        <f t="shared" si="15"/>
        <v>November</v>
      </c>
      <c r="AX526" s="21">
        <f t="shared" si="16"/>
        <v>2024</v>
      </c>
    </row>
    <row r="527" spans="1:50" ht="15.75" customHeight="1">
      <c r="A527" s="10" t="s">
        <v>1703</v>
      </c>
      <c r="B527" s="11">
        <v>45582</v>
      </c>
      <c r="C527" s="11">
        <v>45582</v>
      </c>
      <c r="D527" s="10" t="s">
        <v>1704</v>
      </c>
      <c r="E527" s="10" t="s">
        <v>143</v>
      </c>
      <c r="F527" s="10" t="s">
        <v>124</v>
      </c>
      <c r="G527" s="10" t="s">
        <v>67</v>
      </c>
      <c r="H527" s="10" t="s">
        <v>128</v>
      </c>
      <c r="I527" s="10" t="s">
        <v>129</v>
      </c>
      <c r="J527" s="10" t="s">
        <v>70</v>
      </c>
      <c r="K527" s="10" t="s">
        <v>95</v>
      </c>
      <c r="L527" s="10" t="s">
        <v>1705</v>
      </c>
      <c r="M527" s="10" t="s">
        <v>88</v>
      </c>
      <c r="N527" s="12">
        <v>5</v>
      </c>
      <c r="O527" s="12">
        <v>2524.4</v>
      </c>
      <c r="P527" s="12">
        <v>0.1</v>
      </c>
      <c r="Q527" s="12">
        <v>11359.8</v>
      </c>
      <c r="R527" s="12">
        <v>7062.44</v>
      </c>
      <c r="S527" s="12">
        <v>4297.3599999999997</v>
      </c>
      <c r="T527" s="10" t="s">
        <v>61</v>
      </c>
      <c r="U527" s="13" t="s">
        <v>62</v>
      </c>
      <c r="V527" s="14" t="e">
        <f t="shared" ca="1" si="0"/>
        <v>#NAME?</v>
      </c>
      <c r="W527" s="10" t="str">
        <f ca="1">IFERROR(__xludf.DUMMYFUNCTION("IF(COUNTIF($A:$A,A521)=1,
""Unique"",
IF(COUNTUNIQUE(FILTER($V$2:$V$934,$A$2:$A$934=A521))&gt;1,
""Conflicting Duplicate"",
""Exact Duplicate""))"),"Unique")</f>
        <v>Unique</v>
      </c>
      <c r="X527" s="10" t="b">
        <f t="shared" ca="1" si="1"/>
        <v>1</v>
      </c>
      <c r="Y527" s="10" t="str">
        <f t="shared" si="2"/>
        <v>Unique</v>
      </c>
      <c r="Z527" s="10"/>
      <c r="AA527" s="10" t="str">
        <f t="shared" si="3"/>
        <v>Clean</v>
      </c>
      <c r="AB527" s="15" t="str">
        <f t="shared" si="4"/>
        <v>Valid</v>
      </c>
      <c r="AC527" s="15">
        <v>0</v>
      </c>
      <c r="AD527" s="16" t="str">
        <f t="shared" si="5"/>
        <v>Valid</v>
      </c>
      <c r="AE527" s="16" t="str">
        <f t="shared" si="6"/>
        <v>Valid</v>
      </c>
      <c r="AF527" s="16" t="str">
        <f t="shared" ref="AF527:AG527" si="1065">IF(ISNUMBER(B527),"Valid","Invalid")</f>
        <v>Valid</v>
      </c>
      <c r="AG527" s="16" t="str">
        <f t="shared" si="1065"/>
        <v>Valid</v>
      </c>
      <c r="AH527" s="16" t="str">
        <f t="shared" ref="AH527:AI527" si="1066">IF(OR(B527="",ISBLANK(B527)),"Missing","Valid")</f>
        <v>Valid</v>
      </c>
      <c r="AI527" s="16" t="str">
        <f t="shared" si="1066"/>
        <v>Valid</v>
      </c>
      <c r="AJ527" s="16" t="b">
        <v>0</v>
      </c>
      <c r="AK527" s="16" t="b">
        <v>0</v>
      </c>
      <c r="AL527" s="16" t="b">
        <v>0</v>
      </c>
      <c r="AM527" s="16" t="b">
        <v>0</v>
      </c>
      <c r="AN527" s="16" t="b">
        <v>0</v>
      </c>
      <c r="AO527" s="16" t="b">
        <v>0</v>
      </c>
      <c r="AP527" s="16" t="b">
        <v>0</v>
      </c>
      <c r="AQ527" s="17">
        <f t="shared" si="9"/>
        <v>0.1</v>
      </c>
      <c r="AR527" s="12">
        <f t="shared" si="10"/>
        <v>11359.800000000001</v>
      </c>
      <c r="AS527" s="18">
        <f t="shared" si="11"/>
        <v>0</v>
      </c>
      <c r="AT527" s="12">
        <f t="shared" si="12"/>
        <v>4297.3600000000015</v>
      </c>
      <c r="AU527" s="18">
        <f t="shared" si="13"/>
        <v>0</v>
      </c>
      <c r="AV527" s="19">
        <f t="shared" si="14"/>
        <v>0.37829539252451638</v>
      </c>
      <c r="AW527" s="20" t="str">
        <f t="shared" si="15"/>
        <v>October</v>
      </c>
      <c r="AX527" s="21">
        <f t="shared" si="16"/>
        <v>2024</v>
      </c>
    </row>
    <row r="528" spans="1:50" ht="15.75" customHeight="1">
      <c r="A528" s="10" t="s">
        <v>1706</v>
      </c>
      <c r="B528" s="11">
        <v>45856</v>
      </c>
      <c r="C528" s="11">
        <v>45859</v>
      </c>
      <c r="D528" s="10" t="s">
        <v>1707</v>
      </c>
      <c r="E528" s="10" t="s">
        <v>143</v>
      </c>
      <c r="F528" s="10" t="s">
        <v>53</v>
      </c>
      <c r="G528" s="10" t="s">
        <v>67</v>
      </c>
      <c r="H528" s="10" t="s">
        <v>68</v>
      </c>
      <c r="I528" s="10" t="s">
        <v>69</v>
      </c>
      <c r="J528" s="10" t="s">
        <v>70</v>
      </c>
      <c r="K528" s="10" t="s">
        <v>71</v>
      </c>
      <c r="L528" s="10" t="s">
        <v>1708</v>
      </c>
      <c r="M528" s="10" t="s">
        <v>60</v>
      </c>
      <c r="N528" s="12">
        <v>4</v>
      </c>
      <c r="O528" s="12">
        <v>284.04000000000002</v>
      </c>
      <c r="P528" s="12">
        <v>0</v>
      </c>
      <c r="Q528" s="12">
        <v>908.93</v>
      </c>
      <c r="R528" s="12">
        <v>572.08000000000004</v>
      </c>
      <c r="S528" s="12">
        <v>336.85</v>
      </c>
      <c r="T528" s="10" t="s">
        <v>61</v>
      </c>
      <c r="U528" s="13" t="s">
        <v>62</v>
      </c>
      <c r="V528" s="14" t="e">
        <f t="shared" ca="1" si="0"/>
        <v>#NAME?</v>
      </c>
      <c r="W528" s="10" t="str">
        <f ca="1">IFERROR(__xludf.DUMMYFUNCTION("IF(COUNTIF($A:$A,A522)=1,
""Unique"",
IF(COUNTUNIQUE(FILTER($V$2:$V$934,$A$2:$A$934=A522))&gt;1,
""Conflicting Duplicate"",
""Exact Duplicate""))"),"Unique")</f>
        <v>Unique</v>
      </c>
      <c r="X528" s="10" t="b">
        <f t="shared" ca="1" si="1"/>
        <v>1</v>
      </c>
      <c r="Y528" s="10" t="str">
        <f t="shared" si="2"/>
        <v>Unique</v>
      </c>
      <c r="Z528" s="10"/>
      <c r="AA528" s="10" t="str">
        <f t="shared" si="3"/>
        <v>Clean</v>
      </c>
      <c r="AB528" s="15" t="str">
        <f t="shared" si="4"/>
        <v>Valid</v>
      </c>
      <c r="AC528" s="15">
        <v>3</v>
      </c>
      <c r="AD528" s="16" t="str">
        <f t="shared" si="5"/>
        <v>Valid</v>
      </c>
      <c r="AE528" s="16" t="str">
        <f t="shared" si="6"/>
        <v>Valid</v>
      </c>
      <c r="AF528" s="16" t="str">
        <f t="shared" ref="AF528:AG528" si="1067">IF(ISNUMBER(B528),"Valid","Invalid")</f>
        <v>Valid</v>
      </c>
      <c r="AG528" s="16" t="str">
        <f t="shared" si="1067"/>
        <v>Valid</v>
      </c>
      <c r="AH528" s="16" t="str">
        <f t="shared" ref="AH528:AI528" si="1068">IF(OR(B528="",ISBLANK(B528)),"Missing","Valid")</f>
        <v>Valid</v>
      </c>
      <c r="AI528" s="16" t="str">
        <f t="shared" si="1068"/>
        <v>Valid</v>
      </c>
      <c r="AJ528" s="16" t="b">
        <v>0</v>
      </c>
      <c r="AK528" s="16" t="b">
        <v>0</v>
      </c>
      <c r="AL528" s="16" t="b">
        <v>1</v>
      </c>
      <c r="AM528" s="16" t="b">
        <v>0</v>
      </c>
      <c r="AN528" s="16" t="b">
        <v>0</v>
      </c>
      <c r="AO528" s="16" t="b">
        <v>0</v>
      </c>
      <c r="AP528" s="16" t="b">
        <v>1</v>
      </c>
      <c r="AQ528" s="17">
        <f t="shared" si="9"/>
        <v>0</v>
      </c>
      <c r="AR528" s="12">
        <f t="shared" si="10"/>
        <v>1136.1600000000001</v>
      </c>
      <c r="AS528" s="18">
        <f t="shared" si="11"/>
        <v>-227.23000000000013</v>
      </c>
      <c r="AT528" s="12">
        <f t="shared" si="12"/>
        <v>564.08000000000004</v>
      </c>
      <c r="AU528" s="18">
        <f t="shared" si="13"/>
        <v>-227.23000000000002</v>
      </c>
      <c r="AV528" s="19">
        <f t="shared" si="14"/>
        <v>0.49647936910294327</v>
      </c>
      <c r="AW528" s="20" t="str">
        <f t="shared" si="15"/>
        <v>July</v>
      </c>
      <c r="AX528" s="21">
        <f t="shared" si="16"/>
        <v>2025</v>
      </c>
    </row>
    <row r="529" spans="1:50" ht="15.75" customHeight="1">
      <c r="A529" s="10" t="s">
        <v>1709</v>
      </c>
      <c r="B529" s="11">
        <v>45931</v>
      </c>
      <c r="C529" s="11">
        <v>45935</v>
      </c>
      <c r="D529" s="10" t="s">
        <v>1710</v>
      </c>
      <c r="E529" s="10" t="s">
        <v>118</v>
      </c>
      <c r="F529" s="10" t="s">
        <v>124</v>
      </c>
      <c r="G529" s="10" t="s">
        <v>54</v>
      </c>
      <c r="H529" s="10" t="s">
        <v>266</v>
      </c>
      <c r="I529" s="10" t="s">
        <v>267</v>
      </c>
      <c r="J529" s="10" t="s">
        <v>57</v>
      </c>
      <c r="K529" s="10" t="s">
        <v>58</v>
      </c>
      <c r="L529" s="10" t="s">
        <v>1711</v>
      </c>
      <c r="M529" s="10" t="s">
        <v>79</v>
      </c>
      <c r="N529" s="12">
        <v>5</v>
      </c>
      <c r="O529" s="12">
        <v>3247.56</v>
      </c>
      <c r="P529" s="12">
        <v>0.15</v>
      </c>
      <c r="Q529" s="12">
        <v>13802.13</v>
      </c>
      <c r="R529" s="12">
        <v>10075.93</v>
      </c>
      <c r="S529" s="12">
        <v>3726.2</v>
      </c>
      <c r="T529" s="10" t="s">
        <v>61</v>
      </c>
      <c r="U529" s="13" t="s">
        <v>62</v>
      </c>
      <c r="V529" s="14" t="e">
        <f t="shared" ca="1" si="0"/>
        <v>#NAME?</v>
      </c>
      <c r="W529" s="10" t="str">
        <f ca="1">IFERROR(__xludf.DUMMYFUNCTION("IF(COUNTIF($A:$A,A523)=1,
""Unique"",
IF(COUNTUNIQUE(FILTER($V$2:$V$934,$A$2:$A$934=A523))&gt;1,
""Conflicting Duplicate"",
""Exact Duplicate""))"),"Unique")</f>
        <v>Unique</v>
      </c>
      <c r="X529" s="10" t="b">
        <f t="shared" ca="1" si="1"/>
        <v>1</v>
      </c>
      <c r="Y529" s="10" t="str">
        <f t="shared" si="2"/>
        <v>Unique</v>
      </c>
      <c r="Z529" s="10"/>
      <c r="AA529" s="10" t="str">
        <f t="shared" si="3"/>
        <v>Clean</v>
      </c>
      <c r="AB529" s="15" t="str">
        <f t="shared" si="4"/>
        <v>Valid</v>
      </c>
      <c r="AC529" s="15">
        <v>4</v>
      </c>
      <c r="AD529" s="16" t="str">
        <f t="shared" si="5"/>
        <v>Valid</v>
      </c>
      <c r="AE529" s="16" t="str">
        <f t="shared" si="6"/>
        <v>Valid</v>
      </c>
      <c r="AF529" s="16" t="str">
        <f t="shared" ref="AF529:AG529" si="1069">IF(ISNUMBER(B529),"Valid","Invalid")</f>
        <v>Valid</v>
      </c>
      <c r="AG529" s="16" t="str">
        <f t="shared" si="1069"/>
        <v>Valid</v>
      </c>
      <c r="AH529" s="16" t="str">
        <f t="shared" ref="AH529:AI529" si="1070">IF(OR(B529="",ISBLANK(B529)),"Missing","Valid")</f>
        <v>Valid</v>
      </c>
      <c r="AI529" s="16" t="str">
        <f t="shared" si="1070"/>
        <v>Valid</v>
      </c>
      <c r="AJ529" s="16" t="b">
        <v>0</v>
      </c>
      <c r="AK529" s="16" t="b">
        <v>0</v>
      </c>
      <c r="AL529" s="16" t="b">
        <v>0</v>
      </c>
      <c r="AM529" s="16" t="b">
        <v>0</v>
      </c>
      <c r="AN529" s="16" t="b">
        <v>0</v>
      </c>
      <c r="AO529" s="16" t="b">
        <v>0</v>
      </c>
      <c r="AP529" s="16" t="b">
        <v>0</v>
      </c>
      <c r="AQ529" s="17">
        <f t="shared" si="9"/>
        <v>0.15</v>
      </c>
      <c r="AR529" s="12">
        <f t="shared" si="10"/>
        <v>13802.13</v>
      </c>
      <c r="AS529" s="18">
        <f t="shared" si="11"/>
        <v>0</v>
      </c>
      <c r="AT529" s="12">
        <f t="shared" si="12"/>
        <v>3726.1999999999989</v>
      </c>
      <c r="AU529" s="18">
        <f t="shared" si="13"/>
        <v>0</v>
      </c>
      <c r="AV529" s="19">
        <f t="shared" si="14"/>
        <v>0.26997282303528508</v>
      </c>
      <c r="AW529" s="20" t="str">
        <f t="shared" si="15"/>
        <v>October</v>
      </c>
      <c r="AX529" s="21">
        <f t="shared" si="16"/>
        <v>2025</v>
      </c>
    </row>
    <row r="530" spans="1:50" ht="15.75" customHeight="1">
      <c r="A530" s="10" t="s">
        <v>1712</v>
      </c>
      <c r="B530" s="11">
        <v>45572</v>
      </c>
      <c r="C530" s="11">
        <v>45574</v>
      </c>
      <c r="D530" s="10" t="s">
        <v>1713</v>
      </c>
      <c r="E530" s="10" t="s">
        <v>191</v>
      </c>
      <c r="F530" s="10" t="s">
        <v>53</v>
      </c>
      <c r="G530" s="10" t="s">
        <v>83</v>
      </c>
      <c r="H530" s="10" t="s">
        <v>277</v>
      </c>
      <c r="I530" s="10" t="s">
        <v>278</v>
      </c>
      <c r="J530" s="10" t="s">
        <v>57</v>
      </c>
      <c r="K530" s="10" t="s">
        <v>182</v>
      </c>
      <c r="L530" s="10" t="s">
        <v>1714</v>
      </c>
      <c r="M530" s="10" t="s">
        <v>88</v>
      </c>
      <c r="N530" s="12">
        <v>9</v>
      </c>
      <c r="O530" s="12">
        <v>3457.09</v>
      </c>
      <c r="P530" s="12">
        <v>0.05</v>
      </c>
      <c r="Q530" s="12">
        <v>29558.12</v>
      </c>
      <c r="R530" s="12">
        <v>21302.13</v>
      </c>
      <c r="S530" s="12">
        <v>8255.99</v>
      </c>
      <c r="T530" s="10" t="s">
        <v>140</v>
      </c>
      <c r="U530" s="13" t="s">
        <v>132</v>
      </c>
      <c r="V530" s="14" t="e">
        <f t="shared" ca="1" si="0"/>
        <v>#NAME?</v>
      </c>
      <c r="W530" s="10" t="str">
        <f ca="1">IFERROR(__xludf.DUMMYFUNCTION("IF(COUNTIF($A:$A,A524)=1,
""Unique"",
IF(COUNTUNIQUE(FILTER($V$2:$V$934,$A$2:$A$934=A524))&gt;1,
""Conflicting Duplicate"",
""Exact Duplicate""))"),"Unique")</f>
        <v>Unique</v>
      </c>
      <c r="X530" s="10" t="b">
        <f t="shared" ca="1" si="1"/>
        <v>1</v>
      </c>
      <c r="Y530" s="10" t="str">
        <f t="shared" si="2"/>
        <v>Unique</v>
      </c>
      <c r="Z530" s="10"/>
      <c r="AA530" s="10" t="str">
        <f t="shared" si="3"/>
        <v>Clean</v>
      </c>
      <c r="AB530" s="15" t="str">
        <f t="shared" si="4"/>
        <v>Valid</v>
      </c>
      <c r="AC530" s="15">
        <v>2</v>
      </c>
      <c r="AD530" s="16" t="str">
        <f t="shared" si="5"/>
        <v>Valid</v>
      </c>
      <c r="AE530" s="16" t="str">
        <f t="shared" si="6"/>
        <v>Valid</v>
      </c>
      <c r="AF530" s="16" t="str">
        <f t="shared" ref="AF530:AG530" si="1071">IF(ISNUMBER(B530),"Valid","Invalid")</f>
        <v>Valid</v>
      </c>
      <c r="AG530" s="16" t="str">
        <f t="shared" si="1071"/>
        <v>Valid</v>
      </c>
      <c r="AH530" s="16" t="str">
        <f t="shared" ref="AH530:AI530" si="1072">IF(OR(B530="",ISBLANK(B530)),"Missing","Valid")</f>
        <v>Valid</v>
      </c>
      <c r="AI530" s="16" t="str">
        <f t="shared" si="1072"/>
        <v>Valid</v>
      </c>
      <c r="AJ530" s="16" t="b">
        <v>0</v>
      </c>
      <c r="AK530" s="16" t="b">
        <v>0</v>
      </c>
      <c r="AL530" s="16" t="b">
        <v>0</v>
      </c>
      <c r="AM530" s="16" t="b">
        <v>0</v>
      </c>
      <c r="AN530" s="16" t="b">
        <v>0</v>
      </c>
      <c r="AO530" s="16" t="b">
        <v>0</v>
      </c>
      <c r="AP530" s="16" t="b">
        <v>0</v>
      </c>
      <c r="AQ530" s="17">
        <f t="shared" si="9"/>
        <v>0.05</v>
      </c>
      <c r="AR530" s="12">
        <f t="shared" si="10"/>
        <v>29558.119500000001</v>
      </c>
      <c r="AS530" s="18">
        <f t="shared" si="11"/>
        <v>4.99999998282874E-4</v>
      </c>
      <c r="AT530" s="12">
        <f t="shared" si="12"/>
        <v>8255.9894999999997</v>
      </c>
      <c r="AU530" s="18">
        <f t="shared" si="13"/>
        <v>5.0000000010186341E-4</v>
      </c>
      <c r="AV530" s="19">
        <f t="shared" si="14"/>
        <v>0.27931376013281223</v>
      </c>
      <c r="AW530" s="20" t="str">
        <f t="shared" si="15"/>
        <v>October</v>
      </c>
      <c r="AX530" s="21">
        <f t="shared" si="16"/>
        <v>2024</v>
      </c>
    </row>
    <row r="531" spans="1:50" ht="15.75" customHeight="1">
      <c r="A531" s="10" t="s">
        <v>1715</v>
      </c>
      <c r="B531" s="11">
        <v>45328</v>
      </c>
      <c r="C531" s="11">
        <v>45330</v>
      </c>
      <c r="D531" s="10" t="s">
        <v>759</v>
      </c>
      <c r="E531" s="10" t="s">
        <v>52</v>
      </c>
      <c r="F531" s="10" t="s">
        <v>53</v>
      </c>
      <c r="G531" s="10" t="s">
        <v>67</v>
      </c>
      <c r="H531" s="10" t="s">
        <v>258</v>
      </c>
      <c r="I531" s="10" t="s">
        <v>259</v>
      </c>
      <c r="J531" s="10" t="s">
        <v>70</v>
      </c>
      <c r="K531" s="10" t="s">
        <v>187</v>
      </c>
      <c r="L531" s="10" t="s">
        <v>1716</v>
      </c>
      <c r="M531" s="10" t="s">
        <v>60</v>
      </c>
      <c r="N531" s="12">
        <v>9</v>
      </c>
      <c r="O531" s="12">
        <v>1822.25</v>
      </c>
      <c r="P531" s="12">
        <v>0</v>
      </c>
      <c r="Q531" s="12">
        <v>16400.25</v>
      </c>
      <c r="R531" s="12">
        <v>12146.96</v>
      </c>
      <c r="S531" s="12">
        <v>4253.29</v>
      </c>
      <c r="T531" s="10" t="s">
        <v>61</v>
      </c>
      <c r="U531" s="13" t="s">
        <v>62</v>
      </c>
      <c r="V531" s="14" t="e">
        <f t="shared" ca="1" si="0"/>
        <v>#NAME?</v>
      </c>
      <c r="W531" s="10" t="str">
        <f ca="1">IFERROR(__xludf.DUMMYFUNCTION("IF(COUNTIF($A:$A,A525)=1,
""Unique"",
IF(COUNTUNIQUE(FILTER($V$2:$V$934,$A$2:$A$934=A525))&gt;1,
""Conflicting Duplicate"",
""Exact Duplicate""))"),"Unique")</f>
        <v>Unique</v>
      </c>
      <c r="X531" s="10" t="b">
        <f t="shared" ca="1" si="1"/>
        <v>1</v>
      </c>
      <c r="Y531" s="10" t="str">
        <f t="shared" si="2"/>
        <v>Unique</v>
      </c>
      <c r="Z531" s="10"/>
      <c r="AA531" s="10" t="str">
        <f t="shared" si="3"/>
        <v>Clean</v>
      </c>
      <c r="AB531" s="15" t="str">
        <f t="shared" si="4"/>
        <v>Valid</v>
      </c>
      <c r="AC531" s="15">
        <v>2</v>
      </c>
      <c r="AD531" s="16" t="str">
        <f t="shared" si="5"/>
        <v>Valid</v>
      </c>
      <c r="AE531" s="16" t="str">
        <f t="shared" si="6"/>
        <v>Valid</v>
      </c>
      <c r="AF531" s="16" t="str">
        <f t="shared" ref="AF531:AG531" si="1073">IF(ISNUMBER(B531),"Valid","Invalid")</f>
        <v>Valid</v>
      </c>
      <c r="AG531" s="16" t="str">
        <f t="shared" si="1073"/>
        <v>Valid</v>
      </c>
      <c r="AH531" s="16" t="str">
        <f t="shared" ref="AH531:AI531" si="1074">IF(OR(B531="",ISBLANK(B531)),"Missing","Valid")</f>
        <v>Valid</v>
      </c>
      <c r="AI531" s="16" t="str">
        <f t="shared" si="1074"/>
        <v>Valid</v>
      </c>
      <c r="AJ531" s="16" t="b">
        <v>0</v>
      </c>
      <c r="AK531" s="16" t="b">
        <v>0</v>
      </c>
      <c r="AL531" s="16" t="b">
        <v>0</v>
      </c>
      <c r="AM531" s="16" t="b">
        <v>0</v>
      </c>
      <c r="AN531" s="16" t="b">
        <v>0</v>
      </c>
      <c r="AO531" s="16" t="b">
        <v>0</v>
      </c>
      <c r="AP531" s="16" t="b">
        <v>0</v>
      </c>
      <c r="AQ531" s="17">
        <f t="shared" si="9"/>
        <v>0</v>
      </c>
      <c r="AR531" s="12">
        <f t="shared" si="10"/>
        <v>16400.25</v>
      </c>
      <c r="AS531" s="18">
        <f t="shared" si="11"/>
        <v>0</v>
      </c>
      <c r="AT531" s="12">
        <f t="shared" si="12"/>
        <v>4253.2900000000009</v>
      </c>
      <c r="AU531" s="18">
        <f t="shared" si="13"/>
        <v>0</v>
      </c>
      <c r="AV531" s="19">
        <f t="shared" si="14"/>
        <v>0.25934299782015524</v>
      </c>
      <c r="AW531" s="20" t="str">
        <f t="shared" si="15"/>
        <v>February</v>
      </c>
      <c r="AX531" s="21">
        <f t="shared" si="16"/>
        <v>2024</v>
      </c>
    </row>
    <row r="532" spans="1:50" ht="15.75" customHeight="1">
      <c r="A532" s="10" t="s">
        <v>1717</v>
      </c>
      <c r="B532" s="11">
        <v>45807</v>
      </c>
      <c r="C532" s="11">
        <v>45809</v>
      </c>
      <c r="D532" s="10" t="s">
        <v>1718</v>
      </c>
      <c r="E532" s="10" t="s">
        <v>147</v>
      </c>
      <c r="F532" s="10" t="s">
        <v>124</v>
      </c>
      <c r="G532" s="10" t="s">
        <v>83</v>
      </c>
      <c r="H532" s="10" t="s">
        <v>277</v>
      </c>
      <c r="I532" s="10" t="s">
        <v>278</v>
      </c>
      <c r="J532" s="10" t="s">
        <v>57</v>
      </c>
      <c r="K532" s="10" t="s">
        <v>182</v>
      </c>
      <c r="L532" s="10" t="s">
        <v>1719</v>
      </c>
      <c r="M532" s="10" t="s">
        <v>88</v>
      </c>
      <c r="N532" s="12">
        <v>9</v>
      </c>
      <c r="O532" s="12">
        <v>1994.51</v>
      </c>
      <c r="P532" s="12">
        <v>0.05</v>
      </c>
      <c r="Q532" s="12">
        <v>17053.060000000001</v>
      </c>
      <c r="R532" s="12">
        <v>10742.38</v>
      </c>
      <c r="S532" s="12">
        <v>6310.68</v>
      </c>
      <c r="T532" s="10" t="s">
        <v>61</v>
      </c>
      <c r="U532" s="13" t="s">
        <v>62</v>
      </c>
      <c r="V532" s="14" t="e">
        <f t="shared" ca="1" si="0"/>
        <v>#NAME?</v>
      </c>
      <c r="W532" s="10" t="str">
        <f ca="1">IFERROR(__xludf.DUMMYFUNCTION("IF(COUNTIF($A:$A,A526)=1,
""Unique"",
IF(COUNTUNIQUE(FILTER($V$2:$V$934,$A$2:$A$934=A526))&gt;1,
""Conflicting Duplicate"",
""Exact Duplicate""))"),"Unique")</f>
        <v>Unique</v>
      </c>
      <c r="X532" s="10" t="b">
        <f t="shared" ca="1" si="1"/>
        <v>1</v>
      </c>
      <c r="Y532" s="10" t="str">
        <f t="shared" si="2"/>
        <v>Unique</v>
      </c>
      <c r="Z532" s="10"/>
      <c r="AA532" s="10" t="str">
        <f t="shared" si="3"/>
        <v>Clean</v>
      </c>
      <c r="AB532" s="15" t="str">
        <f t="shared" si="4"/>
        <v>Valid</v>
      </c>
      <c r="AC532" s="15">
        <v>2</v>
      </c>
      <c r="AD532" s="16" t="str">
        <f t="shared" si="5"/>
        <v>Valid</v>
      </c>
      <c r="AE532" s="16" t="str">
        <f t="shared" si="6"/>
        <v>Valid</v>
      </c>
      <c r="AF532" s="16" t="str">
        <f t="shared" ref="AF532:AG532" si="1075">IF(ISNUMBER(B532),"Valid","Invalid")</f>
        <v>Valid</v>
      </c>
      <c r="AG532" s="16" t="str">
        <f t="shared" si="1075"/>
        <v>Valid</v>
      </c>
      <c r="AH532" s="16" t="str">
        <f t="shared" ref="AH532:AI532" si="1076">IF(OR(B532="",ISBLANK(B532)),"Missing","Valid")</f>
        <v>Valid</v>
      </c>
      <c r="AI532" s="16" t="str">
        <f t="shared" si="1076"/>
        <v>Valid</v>
      </c>
      <c r="AJ532" s="16" t="b">
        <v>0</v>
      </c>
      <c r="AK532" s="16" t="b">
        <v>0</v>
      </c>
      <c r="AL532" s="16" t="b">
        <v>0</v>
      </c>
      <c r="AM532" s="16" t="b">
        <v>0</v>
      </c>
      <c r="AN532" s="16" t="b">
        <v>0</v>
      </c>
      <c r="AO532" s="16" t="b">
        <v>0</v>
      </c>
      <c r="AP532" s="16" t="b">
        <v>0</v>
      </c>
      <c r="AQ532" s="17">
        <f t="shared" si="9"/>
        <v>0.05</v>
      </c>
      <c r="AR532" s="12">
        <f t="shared" si="10"/>
        <v>17053.0605</v>
      </c>
      <c r="AS532" s="18">
        <f t="shared" si="11"/>
        <v>-4.99999998282874E-4</v>
      </c>
      <c r="AT532" s="12">
        <f t="shared" si="12"/>
        <v>6310.6805000000004</v>
      </c>
      <c r="AU532" s="18">
        <f t="shared" si="13"/>
        <v>-5.0000000010186341E-4</v>
      </c>
      <c r="AV532" s="19">
        <f t="shared" si="14"/>
        <v>0.37006146198801093</v>
      </c>
      <c r="AW532" s="20" t="str">
        <f t="shared" si="15"/>
        <v>May</v>
      </c>
      <c r="AX532" s="21">
        <f t="shared" si="16"/>
        <v>2025</v>
      </c>
    </row>
    <row r="533" spans="1:50" ht="15.75" customHeight="1">
      <c r="A533" s="10" t="s">
        <v>1720</v>
      </c>
      <c r="B533" s="11">
        <v>45505</v>
      </c>
      <c r="C533" s="11">
        <v>45512</v>
      </c>
      <c r="D533" s="10" t="s">
        <v>1721</v>
      </c>
      <c r="E533" s="10" t="s">
        <v>191</v>
      </c>
      <c r="F533" s="10" t="s">
        <v>66</v>
      </c>
      <c r="G533" s="10" t="s">
        <v>92</v>
      </c>
      <c r="H533" s="10" t="s">
        <v>93</v>
      </c>
      <c r="I533" s="10" t="s">
        <v>94</v>
      </c>
      <c r="J533" s="10" t="s">
        <v>57</v>
      </c>
      <c r="K533" s="10" t="s">
        <v>153</v>
      </c>
      <c r="L533" s="10" t="s">
        <v>1722</v>
      </c>
      <c r="M533" s="10" t="s">
        <v>234</v>
      </c>
      <c r="N533" s="12">
        <v>1</v>
      </c>
      <c r="O533" s="12">
        <v>442.97</v>
      </c>
      <c r="P533" s="12">
        <v>0.1</v>
      </c>
      <c r="Q533" s="12">
        <v>398.67</v>
      </c>
      <c r="R533" s="12">
        <v>311.66000000000003</v>
      </c>
      <c r="S533" s="12">
        <v>87.01</v>
      </c>
      <c r="T533" s="10" t="s">
        <v>61</v>
      </c>
      <c r="U533" s="13" t="s">
        <v>62</v>
      </c>
      <c r="V533" s="14" t="e">
        <f t="shared" ca="1" si="0"/>
        <v>#NAME?</v>
      </c>
      <c r="W533" s="10" t="str">
        <f ca="1">IFERROR(__xludf.DUMMYFUNCTION("IF(COUNTIF($A:$A,A527)=1,
""Unique"",
IF(COUNTUNIQUE(FILTER($V$2:$V$934,$A$2:$A$934=A527))&gt;1,
""Conflicting Duplicate"",
""Exact Duplicate""))"),"Unique")</f>
        <v>Unique</v>
      </c>
      <c r="X533" s="10" t="b">
        <f t="shared" ca="1" si="1"/>
        <v>1</v>
      </c>
      <c r="Y533" s="10" t="str">
        <f t="shared" si="2"/>
        <v>Unique</v>
      </c>
      <c r="Z533" s="10"/>
      <c r="AA533" s="10" t="str">
        <f t="shared" si="3"/>
        <v>Warning</v>
      </c>
      <c r="AB533" s="15" t="str">
        <f t="shared" si="4"/>
        <v>Valid</v>
      </c>
      <c r="AC533" s="15">
        <v>7</v>
      </c>
      <c r="AD533" s="16" t="str">
        <f t="shared" si="5"/>
        <v>Valid</v>
      </c>
      <c r="AE533" s="16" t="str">
        <f t="shared" si="6"/>
        <v>Valid</v>
      </c>
      <c r="AF533" s="16" t="str">
        <f t="shared" ref="AF533:AG533" si="1077">IF(ISNUMBER(B533),"Valid","Invalid")</f>
        <v>Valid</v>
      </c>
      <c r="AG533" s="16" t="str">
        <f t="shared" si="1077"/>
        <v>Valid</v>
      </c>
      <c r="AH533" s="16" t="str">
        <f t="shared" ref="AH533:AI533" si="1078">IF(OR(B533="",ISBLANK(B533)),"Missing","Valid")</f>
        <v>Valid</v>
      </c>
      <c r="AI533" s="16" t="str">
        <f t="shared" si="1078"/>
        <v>Valid</v>
      </c>
      <c r="AJ533" s="16" t="b">
        <v>0</v>
      </c>
      <c r="AK533" s="16" t="b">
        <v>1</v>
      </c>
      <c r="AL533" s="16" t="b">
        <v>0</v>
      </c>
      <c r="AM533" s="16" t="b">
        <v>0</v>
      </c>
      <c r="AN533" s="16" t="b">
        <v>0</v>
      </c>
      <c r="AO533" s="16" t="b">
        <v>0</v>
      </c>
      <c r="AP533" s="16" t="b">
        <v>1</v>
      </c>
      <c r="AQ533" s="17">
        <f t="shared" si="9"/>
        <v>0.1</v>
      </c>
      <c r="AR533" s="12">
        <f t="shared" si="10"/>
        <v>398.67300000000006</v>
      </c>
      <c r="AS533" s="18">
        <f t="shared" si="11"/>
        <v>-3.0000000000427463E-3</v>
      </c>
      <c r="AT533" s="12">
        <f t="shared" si="12"/>
        <v>87.013000000000034</v>
      </c>
      <c r="AU533" s="18">
        <f t="shared" si="13"/>
        <v>-3.0000000000285354E-3</v>
      </c>
      <c r="AV533" s="19">
        <f t="shared" si="14"/>
        <v>0.21825656615822997</v>
      </c>
      <c r="AW533" s="20" t="str">
        <f t="shared" si="15"/>
        <v>August</v>
      </c>
      <c r="AX533" s="21">
        <f t="shared" si="16"/>
        <v>2024</v>
      </c>
    </row>
    <row r="534" spans="1:50" ht="15.75" customHeight="1">
      <c r="A534" s="10" t="s">
        <v>1723</v>
      </c>
      <c r="B534" s="11">
        <v>45935</v>
      </c>
      <c r="C534" s="11">
        <v>45940</v>
      </c>
      <c r="D534" s="10" t="s">
        <v>1724</v>
      </c>
      <c r="E534" s="10" t="s">
        <v>143</v>
      </c>
      <c r="F534" s="10" t="s">
        <v>119</v>
      </c>
      <c r="G534" s="10" t="s">
        <v>67</v>
      </c>
      <c r="H534" s="10" t="s">
        <v>195</v>
      </c>
      <c r="I534" s="10" t="s">
        <v>196</v>
      </c>
      <c r="J534" s="10" t="s">
        <v>70</v>
      </c>
      <c r="K534" s="10" t="s">
        <v>71</v>
      </c>
      <c r="L534" s="10" t="s">
        <v>1725</v>
      </c>
      <c r="M534" s="10" t="s">
        <v>60</v>
      </c>
      <c r="N534" s="12">
        <v>9</v>
      </c>
      <c r="O534" s="12">
        <v>2089.14</v>
      </c>
      <c r="P534" s="12">
        <v>0.05</v>
      </c>
      <c r="Q534" s="12">
        <v>17862.150000000001</v>
      </c>
      <c r="R534" s="12">
        <v>9892.2099999999991</v>
      </c>
      <c r="S534" s="12">
        <v>7969.94</v>
      </c>
      <c r="T534" s="10" t="s">
        <v>184</v>
      </c>
      <c r="U534" s="13" t="s">
        <v>97</v>
      </c>
      <c r="V534" s="14" t="e">
        <f t="shared" ca="1" si="0"/>
        <v>#NAME?</v>
      </c>
      <c r="W534" s="10" t="str">
        <f ca="1">IFERROR(__xludf.DUMMYFUNCTION("IF(COUNTIF($A:$A,A528)=1,
""Unique"",
IF(COUNTUNIQUE(FILTER($V$2:$V$934,$A$2:$A$934=A528))&gt;1,
""Conflicting Duplicate"",
""Exact Duplicate""))"),"Unique")</f>
        <v>Unique</v>
      </c>
      <c r="X534" s="10" t="b">
        <f t="shared" ca="1" si="1"/>
        <v>1</v>
      </c>
      <c r="Y534" s="10" t="str">
        <f t="shared" si="2"/>
        <v>Unique</v>
      </c>
      <c r="Z534" s="10"/>
      <c r="AA534" s="10" t="str">
        <f t="shared" si="3"/>
        <v>Clean</v>
      </c>
      <c r="AB534" s="15" t="str">
        <f t="shared" si="4"/>
        <v>Valid</v>
      </c>
      <c r="AC534" s="15">
        <v>5</v>
      </c>
      <c r="AD534" s="16" t="str">
        <f t="shared" si="5"/>
        <v>Valid</v>
      </c>
      <c r="AE534" s="16" t="str">
        <f t="shared" si="6"/>
        <v>Valid</v>
      </c>
      <c r="AF534" s="16" t="str">
        <f t="shared" ref="AF534:AG534" si="1079">IF(ISNUMBER(B534),"Valid","Invalid")</f>
        <v>Valid</v>
      </c>
      <c r="AG534" s="16" t="str">
        <f t="shared" si="1079"/>
        <v>Valid</v>
      </c>
      <c r="AH534" s="16" t="str">
        <f t="shared" ref="AH534:AI534" si="1080">IF(OR(B534="",ISBLANK(B534)),"Missing","Valid")</f>
        <v>Valid</v>
      </c>
      <c r="AI534" s="16" t="str">
        <f t="shared" si="1080"/>
        <v>Valid</v>
      </c>
      <c r="AJ534" s="16" t="b">
        <v>0</v>
      </c>
      <c r="AK534" s="16" t="b">
        <v>0</v>
      </c>
      <c r="AL534" s="16" t="b">
        <v>0</v>
      </c>
      <c r="AM534" s="16" t="b">
        <v>0</v>
      </c>
      <c r="AN534" s="16" t="b">
        <v>0</v>
      </c>
      <c r="AO534" s="16" t="b">
        <v>0</v>
      </c>
      <c r="AP534" s="16" t="b">
        <v>0</v>
      </c>
      <c r="AQ534" s="17">
        <f t="shared" si="9"/>
        <v>0.05</v>
      </c>
      <c r="AR534" s="12">
        <f t="shared" si="10"/>
        <v>17862.146999999997</v>
      </c>
      <c r="AS534" s="18">
        <f t="shared" si="11"/>
        <v>3.0000000042491592E-3</v>
      </c>
      <c r="AT534" s="12">
        <f t="shared" si="12"/>
        <v>7969.9369999999981</v>
      </c>
      <c r="AU534" s="18">
        <f t="shared" si="13"/>
        <v>3.0000000015206751E-3</v>
      </c>
      <c r="AV534" s="19">
        <f t="shared" si="14"/>
        <v>0.44619143488182017</v>
      </c>
      <c r="AW534" s="20" t="str">
        <f t="shared" si="15"/>
        <v>October</v>
      </c>
      <c r="AX534" s="21">
        <f t="shared" si="16"/>
        <v>2025</v>
      </c>
    </row>
    <row r="535" spans="1:50" ht="15.75" customHeight="1">
      <c r="A535" s="10" t="s">
        <v>1726</v>
      </c>
      <c r="B535" s="11">
        <v>45529</v>
      </c>
      <c r="C535" s="11">
        <v>45536</v>
      </c>
      <c r="D535" s="10" t="s">
        <v>1727</v>
      </c>
      <c r="E535" s="10" t="s">
        <v>76</v>
      </c>
      <c r="F535" s="10" t="s">
        <v>124</v>
      </c>
      <c r="G535" s="10" t="s">
        <v>54</v>
      </c>
      <c r="H535" s="10" t="s">
        <v>55</v>
      </c>
      <c r="I535" s="10" t="s">
        <v>56</v>
      </c>
      <c r="J535" s="10" t="s">
        <v>70</v>
      </c>
      <c r="K535" s="10" t="s">
        <v>71</v>
      </c>
      <c r="L535" s="10" t="s">
        <v>1728</v>
      </c>
      <c r="M535" s="10" t="s">
        <v>73</v>
      </c>
      <c r="N535" s="12">
        <v>6</v>
      </c>
      <c r="O535" s="12">
        <v>481.3</v>
      </c>
      <c r="P535" s="12">
        <v>0.25</v>
      </c>
      <c r="Q535" s="12">
        <v>2165.85</v>
      </c>
      <c r="R535" s="12">
        <v>2124.48</v>
      </c>
      <c r="S535" s="12">
        <v>430.45</v>
      </c>
      <c r="T535" s="10" t="s">
        <v>61</v>
      </c>
      <c r="U535" s="13" t="s">
        <v>62</v>
      </c>
      <c r="V535" s="14" t="e">
        <f t="shared" ca="1" si="0"/>
        <v>#NAME?</v>
      </c>
      <c r="W535" s="10" t="str">
        <f ca="1">IFERROR(__xludf.DUMMYFUNCTION("IF(COUNTIF($A:$A,A529)=1,
""Unique"",
IF(COUNTUNIQUE(FILTER($V$2:$V$934,$A$2:$A$934=A529))&gt;1,
""Conflicting Duplicate"",
""Exact Duplicate""))"),"Unique")</f>
        <v>Unique</v>
      </c>
      <c r="X535" s="10" t="b">
        <f t="shared" ca="1" si="1"/>
        <v>1</v>
      </c>
      <c r="Y535" s="10" t="str">
        <f t="shared" si="2"/>
        <v>Unique</v>
      </c>
      <c r="Z535" s="10"/>
      <c r="AA535" s="10" t="str">
        <f t="shared" si="3"/>
        <v>Clean</v>
      </c>
      <c r="AB535" s="15" t="str">
        <f t="shared" si="4"/>
        <v>Valid</v>
      </c>
      <c r="AC535" s="15">
        <v>7</v>
      </c>
      <c r="AD535" s="16" t="str">
        <f t="shared" si="5"/>
        <v>Valid</v>
      </c>
      <c r="AE535" s="16" t="str">
        <f t="shared" si="6"/>
        <v>Valid</v>
      </c>
      <c r="AF535" s="16" t="str">
        <f t="shared" ref="AF535:AG535" si="1081">IF(ISNUMBER(B535),"Valid","Invalid")</f>
        <v>Valid</v>
      </c>
      <c r="AG535" s="16" t="str">
        <f t="shared" si="1081"/>
        <v>Valid</v>
      </c>
      <c r="AH535" s="16" t="str">
        <f t="shared" ref="AH535:AI535" si="1082">IF(OR(B535="",ISBLANK(B535)),"Missing","Valid")</f>
        <v>Valid</v>
      </c>
      <c r="AI535" s="16" t="str">
        <f t="shared" si="1082"/>
        <v>Valid</v>
      </c>
      <c r="AJ535" s="16" t="b">
        <v>0</v>
      </c>
      <c r="AK535" s="16" t="b">
        <v>0</v>
      </c>
      <c r="AL535" s="16" t="b">
        <v>0</v>
      </c>
      <c r="AM535" s="16" t="b">
        <v>0</v>
      </c>
      <c r="AN535" s="16" t="b">
        <v>0</v>
      </c>
      <c r="AO535" s="16" t="b">
        <v>0</v>
      </c>
      <c r="AP535" s="16" t="b">
        <v>0</v>
      </c>
      <c r="AQ535" s="17">
        <f t="shared" si="9"/>
        <v>0.25</v>
      </c>
      <c r="AR535" s="12">
        <f t="shared" si="10"/>
        <v>2165.8500000000004</v>
      </c>
      <c r="AS535" s="18">
        <f t="shared" si="11"/>
        <v>0</v>
      </c>
      <c r="AT535" s="12">
        <f t="shared" si="12"/>
        <v>41.370000000000346</v>
      </c>
      <c r="AU535" s="18">
        <f t="shared" si="13"/>
        <v>389.07999999999964</v>
      </c>
      <c r="AV535" s="19">
        <f t="shared" si="14"/>
        <v>1.91010457787937E-2</v>
      </c>
      <c r="AW535" s="20" t="str">
        <f t="shared" si="15"/>
        <v>August</v>
      </c>
      <c r="AX535" s="21">
        <f t="shared" si="16"/>
        <v>2024</v>
      </c>
    </row>
    <row r="536" spans="1:50" ht="15.75" customHeight="1">
      <c r="A536" s="10" t="s">
        <v>1729</v>
      </c>
      <c r="B536" s="11">
        <v>45774</v>
      </c>
      <c r="C536" s="11">
        <v>45782</v>
      </c>
      <c r="D536" s="10" t="s">
        <v>1730</v>
      </c>
      <c r="E536" s="10" t="s">
        <v>170</v>
      </c>
      <c r="F536" s="10" t="s">
        <v>124</v>
      </c>
      <c r="G536" s="10" t="s">
        <v>67</v>
      </c>
      <c r="H536" s="10" t="s">
        <v>174</v>
      </c>
      <c r="I536" s="10" t="s">
        <v>175</v>
      </c>
      <c r="J536" s="10" t="s">
        <v>103</v>
      </c>
      <c r="K536" s="10" t="s">
        <v>104</v>
      </c>
      <c r="L536" s="10" t="s">
        <v>1731</v>
      </c>
      <c r="M536" s="10" t="s">
        <v>60</v>
      </c>
      <c r="N536" s="12">
        <v>4</v>
      </c>
      <c r="O536" s="12">
        <v>3963.39</v>
      </c>
      <c r="P536" s="12">
        <v>0.1</v>
      </c>
      <c r="Q536" s="12">
        <v>14268.2</v>
      </c>
      <c r="R536" s="12">
        <v>11705.3</v>
      </c>
      <c r="S536" s="12">
        <v>2562.9</v>
      </c>
      <c r="T536" s="10" t="s">
        <v>140</v>
      </c>
      <c r="U536" s="13" t="s">
        <v>132</v>
      </c>
      <c r="V536" s="14" t="e">
        <f t="shared" ca="1" si="0"/>
        <v>#NAME?</v>
      </c>
      <c r="W536" s="10" t="str">
        <f ca="1">IFERROR(__xludf.DUMMYFUNCTION("IF(COUNTIF($A:$A,A530)=1,
""Unique"",
IF(COUNTUNIQUE(FILTER($V$2:$V$934,$A$2:$A$934=A530))&gt;1,
""Conflicting Duplicate"",
""Exact Duplicate""))"),"Unique")</f>
        <v>Unique</v>
      </c>
      <c r="X536" s="10" t="b">
        <f t="shared" ca="1" si="1"/>
        <v>1</v>
      </c>
      <c r="Y536" s="10" t="str">
        <f t="shared" si="2"/>
        <v>Unique</v>
      </c>
      <c r="Z536" s="10"/>
      <c r="AA536" s="10" t="str">
        <f t="shared" si="3"/>
        <v>Clean</v>
      </c>
      <c r="AB536" s="15" t="str">
        <f t="shared" si="4"/>
        <v>Valid</v>
      </c>
      <c r="AC536" s="15">
        <v>8</v>
      </c>
      <c r="AD536" s="16" t="str">
        <f t="shared" si="5"/>
        <v>Valid</v>
      </c>
      <c r="AE536" s="16" t="str">
        <f t="shared" si="6"/>
        <v>Valid</v>
      </c>
      <c r="AF536" s="16" t="str">
        <f t="shared" ref="AF536:AG536" si="1083">IF(ISNUMBER(B536),"Valid","Invalid")</f>
        <v>Valid</v>
      </c>
      <c r="AG536" s="16" t="str">
        <f t="shared" si="1083"/>
        <v>Valid</v>
      </c>
      <c r="AH536" s="16" t="str">
        <f t="shared" ref="AH536:AI536" si="1084">IF(OR(B536="",ISBLANK(B536)),"Missing","Valid")</f>
        <v>Valid</v>
      </c>
      <c r="AI536" s="16" t="str">
        <f t="shared" si="1084"/>
        <v>Valid</v>
      </c>
      <c r="AJ536" s="16" t="b">
        <v>0</v>
      </c>
      <c r="AK536" s="16" t="b">
        <v>0</v>
      </c>
      <c r="AL536" s="16" t="b">
        <v>0</v>
      </c>
      <c r="AM536" s="16" t="b">
        <v>0</v>
      </c>
      <c r="AN536" s="16" t="b">
        <v>0</v>
      </c>
      <c r="AO536" s="16" t="b">
        <v>0</v>
      </c>
      <c r="AP536" s="16" t="b">
        <v>0</v>
      </c>
      <c r="AQ536" s="17">
        <f t="shared" si="9"/>
        <v>0.1</v>
      </c>
      <c r="AR536" s="12">
        <f t="shared" si="10"/>
        <v>14268.204</v>
      </c>
      <c r="AS536" s="18">
        <f t="shared" si="11"/>
        <v>-3.9999999989959178E-3</v>
      </c>
      <c r="AT536" s="12">
        <f t="shared" si="12"/>
        <v>2562.9040000000005</v>
      </c>
      <c r="AU536" s="18">
        <f t="shared" si="13"/>
        <v>-4.0000000003601599E-3</v>
      </c>
      <c r="AV536" s="19">
        <f t="shared" si="14"/>
        <v>0.17962344805274724</v>
      </c>
      <c r="AW536" s="20" t="str">
        <f t="shared" si="15"/>
        <v>April</v>
      </c>
      <c r="AX536" s="21">
        <f t="shared" si="16"/>
        <v>2025</v>
      </c>
    </row>
    <row r="537" spans="1:50" ht="15.75" customHeight="1">
      <c r="A537" s="10" t="s">
        <v>1732</v>
      </c>
      <c r="B537" s="11">
        <v>45431</v>
      </c>
      <c r="C537" s="11">
        <v>45433</v>
      </c>
      <c r="D537" s="10" t="s">
        <v>1733</v>
      </c>
      <c r="E537" s="10" t="s">
        <v>191</v>
      </c>
      <c r="F537" s="10" t="s">
        <v>66</v>
      </c>
      <c r="G537" s="10" t="s">
        <v>92</v>
      </c>
      <c r="H537" s="10" t="s">
        <v>93</v>
      </c>
      <c r="I537" s="10" t="s">
        <v>94</v>
      </c>
      <c r="J537" s="10" t="s">
        <v>103</v>
      </c>
      <c r="K537" s="10" t="s">
        <v>109</v>
      </c>
      <c r="L537" s="10" t="s">
        <v>1734</v>
      </c>
      <c r="M537" s="10" t="s">
        <v>79</v>
      </c>
      <c r="N537" s="12">
        <v>3</v>
      </c>
      <c r="O537" s="12">
        <v>4000.98</v>
      </c>
      <c r="P537" s="12">
        <v>0.2</v>
      </c>
      <c r="Q537" s="12">
        <v>9602.35</v>
      </c>
      <c r="R537" s="12">
        <v>7387.57</v>
      </c>
      <c r="S537" s="12">
        <v>2214.7800000000002</v>
      </c>
      <c r="T537" s="10" t="s">
        <v>61</v>
      </c>
      <c r="U537" s="13" t="s">
        <v>62</v>
      </c>
      <c r="V537" s="14" t="e">
        <f t="shared" ca="1" si="0"/>
        <v>#NAME?</v>
      </c>
      <c r="W537" s="10" t="str">
        <f ca="1">IFERROR(__xludf.DUMMYFUNCTION("IF(COUNTIF($A:$A,A531)=1,
""Unique"",
IF(COUNTUNIQUE(FILTER($V$2:$V$934,$A$2:$A$934=A531))&gt;1,
""Conflicting Duplicate"",
""Exact Duplicate""))"),"Unique")</f>
        <v>Unique</v>
      </c>
      <c r="X537" s="10" t="b">
        <f t="shared" ca="1" si="1"/>
        <v>1</v>
      </c>
      <c r="Y537" s="10" t="str">
        <f t="shared" si="2"/>
        <v>Unique</v>
      </c>
      <c r="Z537" s="10"/>
      <c r="AA537" s="10" t="str">
        <f t="shared" si="3"/>
        <v>Clean</v>
      </c>
      <c r="AB537" s="15" t="str">
        <f t="shared" si="4"/>
        <v>Valid</v>
      </c>
      <c r="AC537" s="15">
        <v>2</v>
      </c>
      <c r="AD537" s="16" t="str">
        <f t="shared" si="5"/>
        <v>Valid</v>
      </c>
      <c r="AE537" s="16" t="str">
        <f t="shared" si="6"/>
        <v>Valid</v>
      </c>
      <c r="AF537" s="16" t="str">
        <f t="shared" ref="AF537:AG537" si="1085">IF(ISNUMBER(B537),"Valid","Invalid")</f>
        <v>Valid</v>
      </c>
      <c r="AG537" s="16" t="str">
        <f t="shared" si="1085"/>
        <v>Valid</v>
      </c>
      <c r="AH537" s="16" t="str">
        <f t="shared" ref="AH537:AI537" si="1086">IF(OR(B537="",ISBLANK(B537)),"Missing","Valid")</f>
        <v>Valid</v>
      </c>
      <c r="AI537" s="16" t="str">
        <f t="shared" si="1086"/>
        <v>Valid</v>
      </c>
      <c r="AJ537" s="16" t="b">
        <v>0</v>
      </c>
      <c r="AK537" s="16" t="b">
        <v>0</v>
      </c>
      <c r="AL537" s="16" t="b">
        <v>0</v>
      </c>
      <c r="AM537" s="16" t="b">
        <v>0</v>
      </c>
      <c r="AN537" s="16" t="b">
        <v>0</v>
      </c>
      <c r="AO537" s="16" t="b">
        <v>0</v>
      </c>
      <c r="AP537" s="16" t="b">
        <v>0</v>
      </c>
      <c r="AQ537" s="17">
        <f t="shared" si="9"/>
        <v>0.2</v>
      </c>
      <c r="AR537" s="12">
        <f t="shared" si="10"/>
        <v>9602.3520000000008</v>
      </c>
      <c r="AS537" s="18">
        <f t="shared" si="11"/>
        <v>-2.0000000004074536E-3</v>
      </c>
      <c r="AT537" s="12">
        <f t="shared" si="12"/>
        <v>2214.7820000000011</v>
      </c>
      <c r="AU537" s="18">
        <f t="shared" si="13"/>
        <v>-2.000000000862201E-3</v>
      </c>
      <c r="AV537" s="19">
        <f t="shared" si="14"/>
        <v>0.23064994909580494</v>
      </c>
      <c r="AW537" s="20" t="str">
        <f t="shared" si="15"/>
        <v>May</v>
      </c>
      <c r="AX537" s="21">
        <f t="shared" si="16"/>
        <v>2024</v>
      </c>
    </row>
    <row r="538" spans="1:50" ht="15.75" customHeight="1">
      <c r="A538" s="10" t="s">
        <v>1735</v>
      </c>
      <c r="B538" s="11">
        <v>45757</v>
      </c>
      <c r="C538" s="11">
        <v>45764</v>
      </c>
      <c r="D538" s="10" t="s">
        <v>1736</v>
      </c>
      <c r="E538" s="10" t="s">
        <v>91</v>
      </c>
      <c r="F538" s="10" t="s">
        <v>66</v>
      </c>
      <c r="G538" s="10" t="s">
        <v>92</v>
      </c>
      <c r="H538" s="10" t="s">
        <v>55</v>
      </c>
      <c r="I538" s="10" t="s">
        <v>138</v>
      </c>
      <c r="J538" s="10" t="s">
        <v>70</v>
      </c>
      <c r="K538" s="10" t="s">
        <v>95</v>
      </c>
      <c r="L538" s="10" t="s">
        <v>1737</v>
      </c>
      <c r="M538" s="10" t="s">
        <v>79</v>
      </c>
      <c r="N538" s="12">
        <v>7</v>
      </c>
      <c r="O538" s="12">
        <v>3788.9</v>
      </c>
      <c r="P538" s="12">
        <v>0.25</v>
      </c>
      <c r="Q538" s="12">
        <v>19891.72</v>
      </c>
      <c r="R538" s="12">
        <v>12295.76</v>
      </c>
      <c r="S538" s="12">
        <v>7595.96</v>
      </c>
      <c r="T538" s="10" t="s">
        <v>184</v>
      </c>
      <c r="U538" s="13" t="s">
        <v>97</v>
      </c>
      <c r="V538" s="14" t="e">
        <f t="shared" ca="1" si="0"/>
        <v>#NAME?</v>
      </c>
      <c r="W538" s="10" t="str">
        <f ca="1">IFERROR(__xludf.DUMMYFUNCTION("IF(COUNTIF($A:$A,A532)=1,
""Unique"",
IF(COUNTUNIQUE(FILTER($V$2:$V$934,$A$2:$A$934=A532))&gt;1,
""Conflicting Duplicate"",
""Exact Duplicate""))"),"Unique")</f>
        <v>Unique</v>
      </c>
      <c r="X538" s="10" t="b">
        <f t="shared" ca="1" si="1"/>
        <v>1</v>
      </c>
      <c r="Y538" s="10" t="str">
        <f t="shared" si="2"/>
        <v>Unique</v>
      </c>
      <c r="Z538" s="10"/>
      <c r="AA538" s="10" t="str">
        <f t="shared" si="3"/>
        <v>Clean</v>
      </c>
      <c r="AB538" s="15" t="str">
        <f t="shared" si="4"/>
        <v>Valid</v>
      </c>
      <c r="AC538" s="15">
        <v>7</v>
      </c>
      <c r="AD538" s="16" t="str">
        <f t="shared" si="5"/>
        <v>Valid</v>
      </c>
      <c r="AE538" s="16" t="str">
        <f t="shared" si="6"/>
        <v>Valid</v>
      </c>
      <c r="AF538" s="16" t="str">
        <f t="shared" ref="AF538:AG538" si="1087">IF(ISNUMBER(B538),"Valid","Invalid")</f>
        <v>Valid</v>
      </c>
      <c r="AG538" s="16" t="str">
        <f t="shared" si="1087"/>
        <v>Valid</v>
      </c>
      <c r="AH538" s="16" t="str">
        <f t="shared" ref="AH538:AI538" si="1088">IF(OR(B538="",ISBLANK(B538)),"Missing","Valid")</f>
        <v>Valid</v>
      </c>
      <c r="AI538" s="16" t="str">
        <f t="shared" si="1088"/>
        <v>Valid</v>
      </c>
      <c r="AJ538" s="16" t="b">
        <v>0</v>
      </c>
      <c r="AK538" s="16" t="b">
        <v>0</v>
      </c>
      <c r="AL538" s="16" t="b">
        <v>0</v>
      </c>
      <c r="AM538" s="16" t="b">
        <v>0</v>
      </c>
      <c r="AN538" s="16" t="b">
        <v>0</v>
      </c>
      <c r="AO538" s="16" t="b">
        <v>0</v>
      </c>
      <c r="AP538" s="16" t="b">
        <v>0</v>
      </c>
      <c r="AQ538" s="17">
        <f t="shared" si="9"/>
        <v>0.25</v>
      </c>
      <c r="AR538" s="12">
        <f t="shared" si="10"/>
        <v>19891.724999999999</v>
      </c>
      <c r="AS538" s="18">
        <f t="shared" si="11"/>
        <v>-4.9999999973806553E-3</v>
      </c>
      <c r="AT538" s="12">
        <f t="shared" si="12"/>
        <v>7595.9649999999983</v>
      </c>
      <c r="AU538" s="18">
        <f t="shared" si="13"/>
        <v>-4.99999999829015E-3</v>
      </c>
      <c r="AV538" s="19">
        <f t="shared" si="14"/>
        <v>0.38186557475533162</v>
      </c>
      <c r="AW538" s="20" t="str">
        <f t="shared" si="15"/>
        <v>April</v>
      </c>
      <c r="AX538" s="21">
        <f t="shared" si="16"/>
        <v>2025</v>
      </c>
    </row>
    <row r="539" spans="1:50" ht="15.75" customHeight="1">
      <c r="A539" s="10" t="s">
        <v>1738</v>
      </c>
      <c r="B539" s="11">
        <v>45313</v>
      </c>
      <c r="C539" s="11">
        <v>45321</v>
      </c>
      <c r="D539" s="10" t="s">
        <v>1739</v>
      </c>
      <c r="E539" s="10" t="s">
        <v>91</v>
      </c>
      <c r="F539" s="10" t="s">
        <v>66</v>
      </c>
      <c r="G539" s="10" t="s">
        <v>54</v>
      </c>
      <c r="H539" s="10" t="s">
        <v>266</v>
      </c>
      <c r="I539" s="10" t="s">
        <v>267</v>
      </c>
      <c r="J539" s="10" t="s">
        <v>57</v>
      </c>
      <c r="K539" s="10" t="s">
        <v>77</v>
      </c>
      <c r="L539" s="10" t="s">
        <v>1740</v>
      </c>
      <c r="M539" s="10" t="s">
        <v>73</v>
      </c>
      <c r="N539" s="12">
        <v>3</v>
      </c>
      <c r="O539" s="12">
        <v>676.37</v>
      </c>
      <c r="P539" s="12">
        <v>0.05</v>
      </c>
      <c r="Q539" s="12">
        <v>1927.65</v>
      </c>
      <c r="R539" s="12">
        <v>1460.6</v>
      </c>
      <c r="S539" s="12">
        <v>467.05</v>
      </c>
      <c r="T539" s="10" t="s">
        <v>184</v>
      </c>
      <c r="U539" s="13" t="s">
        <v>97</v>
      </c>
      <c r="V539" s="14" t="e">
        <f t="shared" ca="1" si="0"/>
        <v>#NAME?</v>
      </c>
      <c r="W539" s="10" t="str">
        <f ca="1">IFERROR(__xludf.DUMMYFUNCTION("IF(COUNTIF($A:$A,A533)=1,
""Unique"",
IF(COUNTUNIQUE(FILTER($V$2:$V$934,$A$2:$A$934=A533))&gt;1,
""Conflicting Duplicate"",
""Exact Duplicate""))"),"Unique")</f>
        <v>Unique</v>
      </c>
      <c r="X539" s="10" t="b">
        <f t="shared" ca="1" si="1"/>
        <v>1</v>
      </c>
      <c r="Y539" s="10" t="str">
        <f t="shared" si="2"/>
        <v>Unique</v>
      </c>
      <c r="Z539" s="10"/>
      <c r="AA539" s="10" t="str">
        <f t="shared" si="3"/>
        <v>Clean</v>
      </c>
      <c r="AB539" s="15" t="str">
        <f t="shared" si="4"/>
        <v>Valid</v>
      </c>
      <c r="AC539" s="15">
        <v>8</v>
      </c>
      <c r="AD539" s="16" t="str">
        <f t="shared" si="5"/>
        <v>Valid</v>
      </c>
      <c r="AE539" s="16" t="str">
        <f t="shared" si="6"/>
        <v>Valid</v>
      </c>
      <c r="AF539" s="16" t="str">
        <f t="shared" ref="AF539:AG539" si="1089">IF(ISNUMBER(B539),"Valid","Invalid")</f>
        <v>Valid</v>
      </c>
      <c r="AG539" s="16" t="str">
        <f t="shared" si="1089"/>
        <v>Valid</v>
      </c>
      <c r="AH539" s="16" t="str">
        <f t="shared" ref="AH539:AI539" si="1090">IF(OR(B539="",ISBLANK(B539)),"Missing","Valid")</f>
        <v>Valid</v>
      </c>
      <c r="AI539" s="16" t="str">
        <f t="shared" si="1090"/>
        <v>Valid</v>
      </c>
      <c r="AJ539" s="16" t="b">
        <v>0</v>
      </c>
      <c r="AK539" s="16" t="b">
        <v>0</v>
      </c>
      <c r="AL539" s="16" t="b">
        <v>0</v>
      </c>
      <c r="AM539" s="16" t="b">
        <v>0</v>
      </c>
      <c r="AN539" s="16" t="b">
        <v>0</v>
      </c>
      <c r="AO539" s="16" t="b">
        <v>0</v>
      </c>
      <c r="AP539" s="16" t="b">
        <v>0</v>
      </c>
      <c r="AQ539" s="17">
        <f t="shared" si="9"/>
        <v>0.05</v>
      </c>
      <c r="AR539" s="12">
        <f t="shared" si="10"/>
        <v>1927.6545000000001</v>
      </c>
      <c r="AS539" s="18">
        <f t="shared" si="11"/>
        <v>-4.500000000007276E-3</v>
      </c>
      <c r="AT539" s="12">
        <f t="shared" si="12"/>
        <v>467.05450000000019</v>
      </c>
      <c r="AU539" s="18">
        <f t="shared" si="13"/>
        <v>-4.5000000001778062E-3</v>
      </c>
      <c r="AV539" s="19">
        <f t="shared" si="14"/>
        <v>0.24229160360427668</v>
      </c>
      <c r="AW539" s="20" t="str">
        <f t="shared" si="15"/>
        <v>January</v>
      </c>
      <c r="AX539" s="21">
        <f t="shared" si="16"/>
        <v>2024</v>
      </c>
    </row>
    <row r="540" spans="1:50" ht="15.75" customHeight="1">
      <c r="A540" s="10" t="s">
        <v>1741</v>
      </c>
      <c r="B540" s="11">
        <v>45560</v>
      </c>
      <c r="C540" s="11">
        <v>45566</v>
      </c>
      <c r="D540" s="10" t="s">
        <v>1742</v>
      </c>
      <c r="E540" s="10" t="s">
        <v>191</v>
      </c>
      <c r="F540" s="10" t="s">
        <v>66</v>
      </c>
      <c r="G540" s="10" t="s">
        <v>67</v>
      </c>
      <c r="H540" s="10" t="s">
        <v>258</v>
      </c>
      <c r="I540" s="10" t="s">
        <v>259</v>
      </c>
      <c r="J540" s="10" t="s">
        <v>70</v>
      </c>
      <c r="K540" s="10" t="s">
        <v>71</v>
      </c>
      <c r="L540" s="10" t="s">
        <v>1743</v>
      </c>
      <c r="M540" s="10" t="s">
        <v>60</v>
      </c>
      <c r="N540" s="12">
        <v>9</v>
      </c>
      <c r="O540" s="12">
        <v>3908.6</v>
      </c>
      <c r="P540" s="12">
        <v>0.15</v>
      </c>
      <c r="Q540" s="12">
        <v>29900.79</v>
      </c>
      <c r="R540" s="12">
        <v>24650.67</v>
      </c>
      <c r="S540" s="12">
        <v>5250.12</v>
      </c>
      <c r="T540" s="10" t="s">
        <v>61</v>
      </c>
      <c r="U540" s="13" t="s">
        <v>62</v>
      </c>
      <c r="V540" s="14" t="e">
        <f t="shared" ca="1" si="0"/>
        <v>#NAME?</v>
      </c>
      <c r="W540" s="10" t="str">
        <f ca="1">IFERROR(__xludf.DUMMYFUNCTION("IF(COUNTIF($A:$A,A534)=1,
""Unique"",
IF(COUNTUNIQUE(FILTER($V$2:$V$934,$A$2:$A$934=A534))&gt;1,
""Conflicting Duplicate"",
""Exact Duplicate""))"),"Unique")</f>
        <v>Unique</v>
      </c>
      <c r="X540" s="10" t="b">
        <f t="shared" ca="1" si="1"/>
        <v>1</v>
      </c>
      <c r="Y540" s="10" t="str">
        <f t="shared" si="2"/>
        <v>Unique</v>
      </c>
      <c r="Z540" s="10"/>
      <c r="AA540" s="10" t="str">
        <f t="shared" si="3"/>
        <v>Clean</v>
      </c>
      <c r="AB540" s="15" t="str">
        <f t="shared" si="4"/>
        <v>Valid</v>
      </c>
      <c r="AC540" s="15">
        <v>6</v>
      </c>
      <c r="AD540" s="16" t="str">
        <f t="shared" si="5"/>
        <v>Valid</v>
      </c>
      <c r="AE540" s="16" t="str">
        <f t="shared" si="6"/>
        <v>Valid</v>
      </c>
      <c r="AF540" s="16" t="str">
        <f t="shared" ref="AF540:AG540" si="1091">IF(ISNUMBER(B540),"Valid","Invalid")</f>
        <v>Valid</v>
      </c>
      <c r="AG540" s="16" t="str">
        <f t="shared" si="1091"/>
        <v>Valid</v>
      </c>
      <c r="AH540" s="16" t="str">
        <f t="shared" ref="AH540:AI540" si="1092">IF(OR(B540="",ISBLANK(B540)),"Missing","Valid")</f>
        <v>Valid</v>
      </c>
      <c r="AI540" s="16" t="str">
        <f t="shared" si="1092"/>
        <v>Valid</v>
      </c>
      <c r="AJ540" s="16" t="b">
        <v>0</v>
      </c>
      <c r="AK540" s="16" t="b">
        <v>0</v>
      </c>
      <c r="AL540" s="16" t="b">
        <v>0</v>
      </c>
      <c r="AM540" s="16" t="b">
        <v>0</v>
      </c>
      <c r="AN540" s="16" t="b">
        <v>0</v>
      </c>
      <c r="AO540" s="16" t="b">
        <v>0</v>
      </c>
      <c r="AP540" s="16" t="b">
        <v>0</v>
      </c>
      <c r="AQ540" s="17">
        <f t="shared" si="9"/>
        <v>0.15</v>
      </c>
      <c r="AR540" s="12">
        <f t="shared" si="10"/>
        <v>29900.79</v>
      </c>
      <c r="AS540" s="18">
        <f t="shared" si="11"/>
        <v>0</v>
      </c>
      <c r="AT540" s="12">
        <f t="shared" si="12"/>
        <v>5250.1200000000026</v>
      </c>
      <c r="AU540" s="18">
        <f t="shared" si="13"/>
        <v>0</v>
      </c>
      <c r="AV540" s="19">
        <f t="shared" si="14"/>
        <v>0.17558465846554563</v>
      </c>
      <c r="AW540" s="20" t="str">
        <f t="shared" si="15"/>
        <v>September</v>
      </c>
      <c r="AX540" s="21">
        <f t="shared" si="16"/>
        <v>2024</v>
      </c>
    </row>
    <row r="541" spans="1:50" ht="15.75" customHeight="1">
      <c r="A541" s="10" t="s">
        <v>1744</v>
      </c>
      <c r="B541" s="11">
        <v>45842</v>
      </c>
      <c r="C541" s="11">
        <v>45842</v>
      </c>
      <c r="D541" s="10" t="s">
        <v>1745</v>
      </c>
      <c r="E541" s="10" t="s">
        <v>65</v>
      </c>
      <c r="F541" s="10" t="s">
        <v>66</v>
      </c>
      <c r="G541" s="10" t="s">
        <v>83</v>
      </c>
      <c r="H541" s="10" t="s">
        <v>277</v>
      </c>
      <c r="I541" s="10" t="s">
        <v>278</v>
      </c>
      <c r="J541" s="10" t="s">
        <v>70</v>
      </c>
      <c r="K541" s="10" t="s">
        <v>95</v>
      </c>
      <c r="L541" s="10" t="s">
        <v>1746</v>
      </c>
      <c r="M541" s="10" t="s">
        <v>88</v>
      </c>
      <c r="N541" s="12">
        <v>3</v>
      </c>
      <c r="O541" s="12">
        <v>705.35</v>
      </c>
      <c r="P541" s="12">
        <v>0.1</v>
      </c>
      <c r="Q541" s="12">
        <v>1904.45</v>
      </c>
      <c r="R541" s="12">
        <v>1316.54</v>
      </c>
      <c r="S541" s="12">
        <v>587.91</v>
      </c>
      <c r="T541" s="10" t="s">
        <v>61</v>
      </c>
      <c r="U541" s="13" t="s">
        <v>97</v>
      </c>
      <c r="V541" s="14" t="e">
        <f t="shared" ca="1" si="0"/>
        <v>#NAME?</v>
      </c>
      <c r="W541" s="10" t="str">
        <f ca="1">IFERROR(__xludf.DUMMYFUNCTION("IF(COUNTIF($A:$A,A535)=1,
""Unique"",
IF(COUNTUNIQUE(FILTER($V$2:$V$934,$A$2:$A$934=A535))&gt;1,
""Conflicting Duplicate"",
""Exact Duplicate""))"),"Unique")</f>
        <v>Unique</v>
      </c>
      <c r="X541" s="10" t="b">
        <f t="shared" ca="1" si="1"/>
        <v>1</v>
      </c>
      <c r="Y541" s="10" t="str">
        <f t="shared" si="2"/>
        <v>Unique</v>
      </c>
      <c r="Z541" s="10"/>
      <c r="AA541" s="10" t="str">
        <f t="shared" si="3"/>
        <v>Clean</v>
      </c>
      <c r="AB541" s="15" t="str">
        <f t="shared" si="4"/>
        <v>Valid</v>
      </c>
      <c r="AC541" s="15">
        <v>0</v>
      </c>
      <c r="AD541" s="16" t="str">
        <f t="shared" si="5"/>
        <v>Valid</v>
      </c>
      <c r="AE541" s="16" t="str">
        <f t="shared" si="6"/>
        <v>Valid</v>
      </c>
      <c r="AF541" s="16" t="str">
        <f t="shared" ref="AF541:AG541" si="1093">IF(ISNUMBER(B541),"Valid","Invalid")</f>
        <v>Valid</v>
      </c>
      <c r="AG541" s="16" t="str">
        <f t="shared" si="1093"/>
        <v>Valid</v>
      </c>
      <c r="AH541" s="16" t="str">
        <f t="shared" ref="AH541:AI541" si="1094">IF(OR(B541="",ISBLANK(B541)),"Missing","Valid")</f>
        <v>Valid</v>
      </c>
      <c r="AI541" s="16" t="str">
        <f t="shared" si="1094"/>
        <v>Valid</v>
      </c>
      <c r="AJ541" s="16" t="b">
        <v>0</v>
      </c>
      <c r="AK541" s="16" t="b">
        <v>0</v>
      </c>
      <c r="AL541" s="16" t="b">
        <v>0</v>
      </c>
      <c r="AM541" s="16" t="b">
        <v>0</v>
      </c>
      <c r="AN541" s="16" t="b">
        <v>0</v>
      </c>
      <c r="AO541" s="16" t="b">
        <v>0</v>
      </c>
      <c r="AP541" s="16" t="b">
        <v>0</v>
      </c>
      <c r="AQ541" s="17">
        <f t="shared" si="9"/>
        <v>0.1</v>
      </c>
      <c r="AR541" s="12">
        <f t="shared" si="10"/>
        <v>1904.4450000000002</v>
      </c>
      <c r="AS541" s="18">
        <f t="shared" si="11"/>
        <v>4.9999999998817657E-3</v>
      </c>
      <c r="AT541" s="12">
        <f t="shared" si="12"/>
        <v>587.9050000000002</v>
      </c>
      <c r="AU541" s="18">
        <f t="shared" si="13"/>
        <v>4.9999999997680789E-3</v>
      </c>
      <c r="AV541" s="19">
        <f t="shared" si="14"/>
        <v>0.30870148520960183</v>
      </c>
      <c r="AW541" s="20" t="str">
        <f t="shared" si="15"/>
        <v>July</v>
      </c>
      <c r="AX541" s="21">
        <f t="shared" si="16"/>
        <v>2025</v>
      </c>
    </row>
    <row r="542" spans="1:50" ht="15.75" customHeight="1">
      <c r="A542" s="10" t="s">
        <v>1747</v>
      </c>
      <c r="B542" s="11">
        <v>45348</v>
      </c>
      <c r="C542" s="11">
        <v>45345</v>
      </c>
      <c r="D542" s="10" t="s">
        <v>1748</v>
      </c>
      <c r="E542" s="10" t="s">
        <v>294</v>
      </c>
      <c r="F542" s="10" t="s">
        <v>53</v>
      </c>
      <c r="G542" s="10" t="s">
        <v>92</v>
      </c>
      <c r="H542" s="10" t="s">
        <v>209</v>
      </c>
      <c r="I542" s="10" t="s">
        <v>210</v>
      </c>
      <c r="J542" s="10" t="s">
        <v>70</v>
      </c>
      <c r="K542" s="10" t="s">
        <v>86</v>
      </c>
      <c r="L542" s="10" t="s">
        <v>1749</v>
      </c>
      <c r="M542" s="10" t="s">
        <v>88</v>
      </c>
      <c r="N542" s="12">
        <v>7</v>
      </c>
      <c r="O542" s="12">
        <v>3852.07</v>
      </c>
      <c r="P542" s="12">
        <v>0.2</v>
      </c>
      <c r="Q542" s="12">
        <v>21571.59</v>
      </c>
      <c r="R542" s="12">
        <v>17118.07</v>
      </c>
      <c r="S542" s="12">
        <v>4453.5200000000004</v>
      </c>
      <c r="T542" s="10" t="s">
        <v>61</v>
      </c>
      <c r="U542" s="13" t="s">
        <v>62</v>
      </c>
      <c r="V542" s="14" t="e">
        <f t="shared" ca="1" si="0"/>
        <v>#NAME?</v>
      </c>
      <c r="W542" s="10" t="str">
        <f ca="1">IFERROR(__xludf.DUMMYFUNCTION("IF(COUNTIF($A:$A,A536)=1,
""Unique"",
IF(COUNTUNIQUE(FILTER($V$2:$V$934,$A$2:$A$934=A536))&gt;1,
""Conflicting Duplicate"",
""Exact Duplicate""))"),"Unique")</f>
        <v>Unique</v>
      </c>
      <c r="X542" s="10" t="b">
        <f t="shared" ca="1" si="1"/>
        <v>1</v>
      </c>
      <c r="Y542" s="10" t="str">
        <f t="shared" si="2"/>
        <v>Unique</v>
      </c>
      <c r="Z542" s="10"/>
      <c r="AA542" s="10" t="str">
        <f t="shared" si="3"/>
        <v>Invalid</v>
      </c>
      <c r="AB542" s="15" t="str">
        <f t="shared" si="4"/>
        <v>Invalid</v>
      </c>
      <c r="AC542" s="15">
        <v>-3</v>
      </c>
      <c r="AD542" s="16" t="str">
        <f t="shared" si="5"/>
        <v>Invalid Shipping Date</v>
      </c>
      <c r="AE542" s="16" t="str">
        <f t="shared" si="6"/>
        <v>Valid</v>
      </c>
      <c r="AF542" s="16" t="str">
        <f t="shared" ref="AF542:AG542" si="1095">IF(ISNUMBER(B542),"Valid","Invalid")</f>
        <v>Valid</v>
      </c>
      <c r="AG542" s="16" t="str">
        <f t="shared" si="1095"/>
        <v>Valid</v>
      </c>
      <c r="AH542" s="16" t="str">
        <f t="shared" ref="AH542:AI542" si="1096">IF(OR(B542="",ISBLANK(B542)),"Missing","Valid")</f>
        <v>Valid</v>
      </c>
      <c r="AI542" s="16" t="str">
        <f t="shared" si="1096"/>
        <v>Valid</v>
      </c>
      <c r="AJ542" s="16" t="b">
        <v>0</v>
      </c>
      <c r="AK542" s="16" t="b">
        <v>0</v>
      </c>
      <c r="AL542" s="16" t="b">
        <v>0</v>
      </c>
      <c r="AM542" s="16" t="b">
        <v>0</v>
      </c>
      <c r="AN542" s="16" t="b">
        <v>0</v>
      </c>
      <c r="AO542" s="16" t="b">
        <v>1</v>
      </c>
      <c r="AP542" s="16" t="b">
        <v>1</v>
      </c>
      <c r="AQ542" s="17">
        <f t="shared" si="9"/>
        <v>0.2</v>
      </c>
      <c r="AR542" s="12">
        <f t="shared" si="10"/>
        <v>21571.592000000004</v>
      </c>
      <c r="AS542" s="18">
        <f t="shared" si="11"/>
        <v>-2.0000000040454324E-3</v>
      </c>
      <c r="AT542" s="12">
        <f t="shared" si="12"/>
        <v>4453.5220000000045</v>
      </c>
      <c r="AU542" s="18">
        <f t="shared" si="13"/>
        <v>-2.0000000040454324E-3</v>
      </c>
      <c r="AV542" s="19">
        <f t="shared" si="14"/>
        <v>0.20645309813017063</v>
      </c>
      <c r="AW542" s="20" t="str">
        <f t="shared" si="15"/>
        <v>February</v>
      </c>
      <c r="AX542" s="21">
        <f t="shared" si="16"/>
        <v>2024</v>
      </c>
    </row>
    <row r="543" spans="1:50" ht="15.75" customHeight="1">
      <c r="A543" s="10" t="s">
        <v>1750</v>
      </c>
      <c r="B543" s="11">
        <v>45846</v>
      </c>
      <c r="C543" s="11">
        <v>45847</v>
      </c>
      <c r="D543" s="10" t="s">
        <v>1751</v>
      </c>
      <c r="E543" s="10" t="s">
        <v>161</v>
      </c>
      <c r="F543" s="10" t="s">
        <v>53</v>
      </c>
      <c r="G543" s="10" t="s">
        <v>92</v>
      </c>
      <c r="H543" s="10" t="s">
        <v>93</v>
      </c>
      <c r="I543" s="10" t="s">
        <v>94</v>
      </c>
      <c r="J543" s="10" t="s">
        <v>103</v>
      </c>
      <c r="K543" s="10" t="s">
        <v>109</v>
      </c>
      <c r="L543" s="10" t="s">
        <v>1752</v>
      </c>
      <c r="M543" s="10" t="s">
        <v>73</v>
      </c>
      <c r="N543" s="12">
        <v>3</v>
      </c>
      <c r="O543" s="12">
        <v>2880.56</v>
      </c>
      <c r="P543" s="12">
        <v>0</v>
      </c>
      <c r="Q543" s="12">
        <v>8641.68</v>
      </c>
      <c r="R543" s="12">
        <v>5747.09</v>
      </c>
      <c r="S543" s="12">
        <v>2894.59</v>
      </c>
      <c r="T543" s="10" t="s">
        <v>61</v>
      </c>
      <c r="U543" s="13" t="s">
        <v>132</v>
      </c>
      <c r="V543" s="14" t="e">
        <f t="shared" ca="1" si="0"/>
        <v>#NAME?</v>
      </c>
      <c r="W543" s="10" t="str">
        <f ca="1">IFERROR(__xludf.DUMMYFUNCTION("IF(COUNTIF($A:$A,A537)=1,
""Unique"",
IF(COUNTUNIQUE(FILTER($V$2:$V$934,$A$2:$A$934=A537))&gt;1,
""Conflicting Duplicate"",
""Exact Duplicate""))"),"Unique")</f>
        <v>Unique</v>
      </c>
      <c r="X543" s="10" t="b">
        <f t="shared" ca="1" si="1"/>
        <v>1</v>
      </c>
      <c r="Y543" s="10" t="str">
        <f t="shared" si="2"/>
        <v>Unique</v>
      </c>
      <c r="Z543" s="10"/>
      <c r="AA543" s="10" t="str">
        <f t="shared" si="3"/>
        <v>Clean</v>
      </c>
      <c r="AB543" s="15" t="str">
        <f t="shared" si="4"/>
        <v>Valid</v>
      </c>
      <c r="AC543" s="15">
        <v>1</v>
      </c>
      <c r="AD543" s="16" t="str">
        <f t="shared" si="5"/>
        <v>Valid</v>
      </c>
      <c r="AE543" s="16" t="str">
        <f t="shared" si="6"/>
        <v>Valid</v>
      </c>
      <c r="AF543" s="16" t="str">
        <f t="shared" ref="AF543:AG543" si="1097">IF(ISNUMBER(B543),"Valid","Invalid")</f>
        <v>Valid</v>
      </c>
      <c r="AG543" s="16" t="str">
        <f t="shared" si="1097"/>
        <v>Valid</v>
      </c>
      <c r="AH543" s="16" t="str">
        <f t="shared" ref="AH543:AI543" si="1098">IF(OR(B543="",ISBLANK(B543)),"Missing","Valid")</f>
        <v>Valid</v>
      </c>
      <c r="AI543" s="16" t="str">
        <f t="shared" si="1098"/>
        <v>Valid</v>
      </c>
      <c r="AJ543" s="16" t="b">
        <v>0</v>
      </c>
      <c r="AK543" s="16" t="b">
        <v>0</v>
      </c>
      <c r="AL543" s="16" t="b">
        <v>0</v>
      </c>
      <c r="AM543" s="16" t="b">
        <v>0</v>
      </c>
      <c r="AN543" s="16" t="b">
        <v>0</v>
      </c>
      <c r="AO543" s="16" t="b">
        <v>0</v>
      </c>
      <c r="AP543" s="16" t="b">
        <v>0</v>
      </c>
      <c r="AQ543" s="17">
        <f t="shared" si="9"/>
        <v>0</v>
      </c>
      <c r="AR543" s="12">
        <f t="shared" si="10"/>
        <v>8641.68</v>
      </c>
      <c r="AS543" s="18">
        <f t="shared" si="11"/>
        <v>0</v>
      </c>
      <c r="AT543" s="12">
        <f t="shared" si="12"/>
        <v>2894.59</v>
      </c>
      <c r="AU543" s="18">
        <f t="shared" si="13"/>
        <v>0</v>
      </c>
      <c r="AV543" s="19">
        <f t="shared" si="14"/>
        <v>0.33495686024013849</v>
      </c>
      <c r="AW543" s="20" t="str">
        <f t="shared" si="15"/>
        <v>July</v>
      </c>
      <c r="AX543" s="21">
        <f t="shared" si="16"/>
        <v>2025</v>
      </c>
    </row>
    <row r="544" spans="1:50" ht="15.75" customHeight="1">
      <c r="A544" s="10" t="s">
        <v>1753</v>
      </c>
      <c r="B544" s="11">
        <v>45552</v>
      </c>
      <c r="C544" s="11">
        <v>45558</v>
      </c>
      <c r="D544" s="10" t="s">
        <v>1754</v>
      </c>
      <c r="E544" s="10" t="s">
        <v>147</v>
      </c>
      <c r="F544" s="10" t="s">
        <v>124</v>
      </c>
      <c r="G544" s="10" t="s">
        <v>83</v>
      </c>
      <c r="H544" s="10" t="s">
        <v>214</v>
      </c>
      <c r="I544" s="10" t="s">
        <v>215</v>
      </c>
      <c r="J544" s="10" t="s">
        <v>70</v>
      </c>
      <c r="K544" s="10" t="s">
        <v>187</v>
      </c>
      <c r="L544" s="10" t="s">
        <v>1755</v>
      </c>
      <c r="M544" s="10" t="s">
        <v>60</v>
      </c>
      <c r="N544" s="12">
        <v>3</v>
      </c>
      <c r="O544" s="12">
        <v>4067.62</v>
      </c>
      <c r="P544" s="12">
        <v>0.2</v>
      </c>
      <c r="Q544" s="12">
        <v>9988.5300000000007</v>
      </c>
      <c r="R544" s="12">
        <v>8368.24</v>
      </c>
      <c r="S544" s="12">
        <v>1394.05</v>
      </c>
      <c r="T544" s="10" t="s">
        <v>61</v>
      </c>
      <c r="U544" s="13" t="s">
        <v>97</v>
      </c>
      <c r="V544" s="14" t="e">
        <f t="shared" ca="1" si="0"/>
        <v>#NAME?</v>
      </c>
      <c r="W544" s="10" t="str">
        <f ca="1">IFERROR(__xludf.DUMMYFUNCTION("IF(COUNTIF($A:$A,A538)=1,
""Unique"",
IF(COUNTUNIQUE(FILTER($V$2:$V$934,$A$2:$A$934=A538))&gt;1,
""Conflicting Duplicate"",
""Exact Duplicate""))"),"Unique")</f>
        <v>Unique</v>
      </c>
      <c r="X544" s="10" t="b">
        <f t="shared" ca="1" si="1"/>
        <v>1</v>
      </c>
      <c r="Y544" s="10" t="str">
        <f t="shared" si="2"/>
        <v>Unique</v>
      </c>
      <c r="Z544" s="10"/>
      <c r="AA544" s="10" t="str">
        <f t="shared" si="3"/>
        <v>Clean</v>
      </c>
      <c r="AB544" s="15" t="str">
        <f t="shared" si="4"/>
        <v>Valid</v>
      </c>
      <c r="AC544" s="15">
        <v>6</v>
      </c>
      <c r="AD544" s="16" t="str">
        <f t="shared" si="5"/>
        <v>Valid</v>
      </c>
      <c r="AE544" s="16" t="str">
        <f t="shared" si="6"/>
        <v>Valid</v>
      </c>
      <c r="AF544" s="16" t="str">
        <f t="shared" ref="AF544:AG544" si="1099">IF(ISNUMBER(B544),"Valid","Invalid")</f>
        <v>Valid</v>
      </c>
      <c r="AG544" s="16" t="str">
        <f t="shared" si="1099"/>
        <v>Valid</v>
      </c>
      <c r="AH544" s="16" t="str">
        <f t="shared" ref="AH544:AI544" si="1100">IF(OR(B544="",ISBLANK(B544)),"Missing","Valid")</f>
        <v>Valid</v>
      </c>
      <c r="AI544" s="16" t="str">
        <f t="shared" si="1100"/>
        <v>Valid</v>
      </c>
      <c r="AJ544" s="16" t="b">
        <v>0</v>
      </c>
      <c r="AK544" s="16" t="b">
        <v>0</v>
      </c>
      <c r="AL544" s="16" t="b">
        <v>0</v>
      </c>
      <c r="AM544" s="16" t="b">
        <v>0</v>
      </c>
      <c r="AN544" s="16" t="b">
        <v>0</v>
      </c>
      <c r="AO544" s="16" t="b">
        <v>0</v>
      </c>
      <c r="AP544" s="16" t="b">
        <v>0</v>
      </c>
      <c r="AQ544" s="17">
        <f t="shared" si="9"/>
        <v>0.2</v>
      </c>
      <c r="AR544" s="12">
        <f t="shared" si="10"/>
        <v>9762.2880000000005</v>
      </c>
      <c r="AS544" s="18">
        <f t="shared" si="11"/>
        <v>226.24200000000019</v>
      </c>
      <c r="AT544" s="12">
        <f t="shared" si="12"/>
        <v>1394.0480000000007</v>
      </c>
      <c r="AU544" s="18">
        <f t="shared" si="13"/>
        <v>1.9999999992705852E-3</v>
      </c>
      <c r="AV544" s="19">
        <f t="shared" si="14"/>
        <v>0.14279931098119628</v>
      </c>
      <c r="AW544" s="20" t="str">
        <f t="shared" si="15"/>
        <v>September</v>
      </c>
      <c r="AX544" s="21">
        <f t="shared" si="16"/>
        <v>2024</v>
      </c>
    </row>
    <row r="545" spans="1:50" ht="15.75" customHeight="1">
      <c r="A545" s="10" t="s">
        <v>1756</v>
      </c>
      <c r="B545" s="11">
        <v>45487</v>
      </c>
      <c r="C545" s="11">
        <v>45493</v>
      </c>
      <c r="D545" s="10" t="s">
        <v>1757</v>
      </c>
      <c r="E545" s="10" t="s">
        <v>65</v>
      </c>
      <c r="F545" s="10" t="s">
        <v>53</v>
      </c>
      <c r="G545" s="10" t="s">
        <v>67</v>
      </c>
      <c r="H545" s="10" t="s">
        <v>174</v>
      </c>
      <c r="I545" s="10" t="s">
        <v>175</v>
      </c>
      <c r="J545" s="10" t="s">
        <v>103</v>
      </c>
      <c r="K545" s="10" t="s">
        <v>109</v>
      </c>
      <c r="L545" s="10" t="s">
        <v>1758</v>
      </c>
      <c r="M545" s="10" t="s">
        <v>73</v>
      </c>
      <c r="N545" s="12">
        <v>1</v>
      </c>
      <c r="O545" s="12">
        <v>492.67</v>
      </c>
      <c r="P545" s="12">
        <v>0.15</v>
      </c>
      <c r="Q545" s="12">
        <v>418.77</v>
      </c>
      <c r="R545" s="12">
        <v>313.72000000000003</v>
      </c>
      <c r="S545" s="12">
        <v>105.05</v>
      </c>
      <c r="T545" s="10" t="s">
        <v>61</v>
      </c>
      <c r="U545" s="13" t="s">
        <v>62</v>
      </c>
      <c r="V545" s="14" t="e">
        <f t="shared" ca="1" si="0"/>
        <v>#NAME?</v>
      </c>
      <c r="W545" s="10" t="str">
        <f ca="1">IFERROR(__xludf.DUMMYFUNCTION("IF(COUNTIF($A:$A,A539)=1,
""Unique"",
IF(COUNTUNIQUE(FILTER($V$2:$V$934,$A$2:$A$934=A539))&gt;1,
""Conflicting Duplicate"",
""Exact Duplicate""))"),"Unique")</f>
        <v>Unique</v>
      </c>
      <c r="X545" s="10" t="b">
        <f t="shared" ca="1" si="1"/>
        <v>1</v>
      </c>
      <c r="Y545" s="10" t="str">
        <f t="shared" si="2"/>
        <v>Unique</v>
      </c>
      <c r="Z545" s="10"/>
      <c r="AA545" s="10" t="str">
        <f t="shared" si="3"/>
        <v>Clean</v>
      </c>
      <c r="AB545" s="15" t="str">
        <f t="shared" si="4"/>
        <v>Valid</v>
      </c>
      <c r="AC545" s="15">
        <v>6</v>
      </c>
      <c r="AD545" s="16" t="str">
        <f t="shared" si="5"/>
        <v>Valid</v>
      </c>
      <c r="AE545" s="16" t="str">
        <f t="shared" si="6"/>
        <v>Valid</v>
      </c>
      <c r="AF545" s="16" t="str">
        <f t="shared" ref="AF545:AG545" si="1101">IF(ISNUMBER(B545),"Valid","Invalid")</f>
        <v>Valid</v>
      </c>
      <c r="AG545" s="16" t="str">
        <f t="shared" si="1101"/>
        <v>Valid</v>
      </c>
      <c r="AH545" s="16" t="str">
        <f t="shared" ref="AH545:AI545" si="1102">IF(OR(B545="",ISBLANK(B545)),"Missing","Valid")</f>
        <v>Valid</v>
      </c>
      <c r="AI545" s="16" t="str">
        <f t="shared" si="1102"/>
        <v>Valid</v>
      </c>
      <c r="AJ545" s="16" t="b">
        <v>0</v>
      </c>
      <c r="AK545" s="16" t="b">
        <v>0</v>
      </c>
      <c r="AL545" s="16" t="b">
        <v>0</v>
      </c>
      <c r="AM545" s="16" t="b">
        <v>0</v>
      </c>
      <c r="AN545" s="16" t="b">
        <v>0</v>
      </c>
      <c r="AO545" s="16" t="b">
        <v>0</v>
      </c>
      <c r="AP545" s="16" t="b">
        <v>0</v>
      </c>
      <c r="AQ545" s="17">
        <f t="shared" si="9"/>
        <v>0.15</v>
      </c>
      <c r="AR545" s="12">
        <f t="shared" si="10"/>
        <v>418.76949999999999</v>
      </c>
      <c r="AS545" s="18">
        <f t="shared" si="11"/>
        <v>4.9999999998817657E-4</v>
      </c>
      <c r="AT545" s="12">
        <f t="shared" si="12"/>
        <v>105.04949999999997</v>
      </c>
      <c r="AU545" s="18">
        <f t="shared" si="13"/>
        <v>5.0000000003080913E-4</v>
      </c>
      <c r="AV545" s="19">
        <f t="shared" si="14"/>
        <v>0.25085279610859906</v>
      </c>
      <c r="AW545" s="20" t="str">
        <f t="shared" si="15"/>
        <v>July</v>
      </c>
      <c r="AX545" s="21">
        <f t="shared" si="16"/>
        <v>2024</v>
      </c>
    </row>
    <row r="546" spans="1:50" ht="15.75" customHeight="1">
      <c r="A546" s="10" t="s">
        <v>1759</v>
      </c>
      <c r="B546" s="11">
        <v>45686</v>
      </c>
      <c r="C546" s="11">
        <v>45693</v>
      </c>
      <c r="D546" s="10" t="s">
        <v>1760</v>
      </c>
      <c r="E546" s="10" t="s">
        <v>91</v>
      </c>
      <c r="F546" s="10" t="s">
        <v>53</v>
      </c>
      <c r="G546" s="10" t="s">
        <v>83</v>
      </c>
      <c r="H546" s="10" t="s">
        <v>214</v>
      </c>
      <c r="I546" s="10" t="s">
        <v>215</v>
      </c>
      <c r="J546" s="10" t="s">
        <v>57</v>
      </c>
      <c r="K546" s="10" t="s">
        <v>77</v>
      </c>
      <c r="L546" s="10" t="s">
        <v>1761</v>
      </c>
      <c r="M546" s="10" t="s">
        <v>73</v>
      </c>
      <c r="N546" s="12">
        <v>8</v>
      </c>
      <c r="O546" s="12">
        <v>3643.62</v>
      </c>
      <c r="P546" s="12">
        <v>0.25</v>
      </c>
      <c r="Q546" s="12">
        <v>21861.72</v>
      </c>
      <c r="R546" s="12">
        <v>18464.34</v>
      </c>
      <c r="S546" s="12">
        <v>3397.38</v>
      </c>
      <c r="T546" s="10" t="s">
        <v>61</v>
      </c>
      <c r="U546" s="13" t="s">
        <v>97</v>
      </c>
      <c r="V546" s="14" t="e">
        <f t="shared" ca="1" si="0"/>
        <v>#NAME?</v>
      </c>
      <c r="W546" s="10" t="str">
        <f ca="1">IFERROR(__xludf.DUMMYFUNCTION("IF(COUNTIF($A:$A,A540)=1,
""Unique"",
IF(COUNTUNIQUE(FILTER($V$2:$V$934,$A$2:$A$934=A540))&gt;1,
""Conflicting Duplicate"",
""Exact Duplicate""))"),"Unique")</f>
        <v>Unique</v>
      </c>
      <c r="X546" s="10" t="b">
        <f t="shared" ca="1" si="1"/>
        <v>1</v>
      </c>
      <c r="Y546" s="10" t="str">
        <f t="shared" si="2"/>
        <v>Unique</v>
      </c>
      <c r="Z546" s="10"/>
      <c r="AA546" s="10" t="str">
        <f t="shared" si="3"/>
        <v>Clean</v>
      </c>
      <c r="AB546" s="15" t="str">
        <f t="shared" si="4"/>
        <v>Valid</v>
      </c>
      <c r="AC546" s="15">
        <v>7</v>
      </c>
      <c r="AD546" s="16" t="str">
        <f t="shared" si="5"/>
        <v>Valid</v>
      </c>
      <c r="AE546" s="16" t="str">
        <f t="shared" si="6"/>
        <v>Valid</v>
      </c>
      <c r="AF546" s="16" t="str">
        <f t="shared" ref="AF546:AG546" si="1103">IF(ISNUMBER(B546),"Valid","Invalid")</f>
        <v>Valid</v>
      </c>
      <c r="AG546" s="16" t="str">
        <f t="shared" si="1103"/>
        <v>Valid</v>
      </c>
      <c r="AH546" s="16" t="str">
        <f t="shared" ref="AH546:AI546" si="1104">IF(OR(B546="",ISBLANK(B546)),"Missing","Valid")</f>
        <v>Valid</v>
      </c>
      <c r="AI546" s="16" t="str">
        <f t="shared" si="1104"/>
        <v>Valid</v>
      </c>
      <c r="AJ546" s="16" t="b">
        <v>0</v>
      </c>
      <c r="AK546" s="16" t="b">
        <v>0</v>
      </c>
      <c r="AL546" s="16" t="b">
        <v>0</v>
      </c>
      <c r="AM546" s="16" t="b">
        <v>0</v>
      </c>
      <c r="AN546" s="16" t="b">
        <v>0</v>
      </c>
      <c r="AO546" s="16" t="b">
        <v>0</v>
      </c>
      <c r="AP546" s="16" t="b">
        <v>0</v>
      </c>
      <c r="AQ546" s="17">
        <f t="shared" si="9"/>
        <v>0.25</v>
      </c>
      <c r="AR546" s="12">
        <f t="shared" si="10"/>
        <v>21861.72</v>
      </c>
      <c r="AS546" s="18">
        <f t="shared" si="11"/>
        <v>0</v>
      </c>
      <c r="AT546" s="12">
        <f t="shared" si="12"/>
        <v>3397.380000000001</v>
      </c>
      <c r="AU546" s="18">
        <f t="shared" si="13"/>
        <v>0</v>
      </c>
      <c r="AV546" s="19">
        <f t="shared" si="14"/>
        <v>0.1554031430280875</v>
      </c>
      <c r="AW546" s="20" t="str">
        <f t="shared" si="15"/>
        <v>January</v>
      </c>
      <c r="AX546" s="21">
        <f t="shared" si="16"/>
        <v>2025</v>
      </c>
    </row>
    <row r="547" spans="1:50" ht="15.75" customHeight="1">
      <c r="A547" s="10" t="s">
        <v>1762</v>
      </c>
      <c r="B547" s="11">
        <v>45439</v>
      </c>
      <c r="C547" s="11">
        <v>45442</v>
      </c>
      <c r="D547" s="10" t="s">
        <v>1763</v>
      </c>
      <c r="E547" s="10" t="s">
        <v>294</v>
      </c>
      <c r="F547" s="10" t="s">
        <v>66</v>
      </c>
      <c r="G547" s="10" t="s">
        <v>67</v>
      </c>
      <c r="H547" s="10" t="s">
        <v>258</v>
      </c>
      <c r="I547" s="10" t="s">
        <v>259</v>
      </c>
      <c r="J547" s="10" t="s">
        <v>57</v>
      </c>
      <c r="K547" s="10" t="s">
        <v>153</v>
      </c>
      <c r="L547" s="10" t="s">
        <v>1764</v>
      </c>
      <c r="M547" s="10" t="s">
        <v>73</v>
      </c>
      <c r="N547" s="12">
        <v>7</v>
      </c>
      <c r="O547" s="12">
        <v>2900.86</v>
      </c>
      <c r="P547" s="12">
        <v>0.15</v>
      </c>
      <c r="Q547" s="12">
        <v>17260.12</v>
      </c>
      <c r="R547" s="12">
        <v>13513.51</v>
      </c>
      <c r="S547" s="12">
        <v>3746.61</v>
      </c>
      <c r="T547" s="10" t="s">
        <v>61</v>
      </c>
      <c r="U547" s="13" t="s">
        <v>62</v>
      </c>
      <c r="V547" s="14" t="e">
        <f t="shared" ca="1" si="0"/>
        <v>#NAME?</v>
      </c>
      <c r="W547" s="10" t="str">
        <f ca="1">IFERROR(__xludf.DUMMYFUNCTION("IF(COUNTIF($A:$A,A541)=1,
""Unique"",
IF(COUNTUNIQUE(FILTER($V$2:$V$934,$A$2:$A$934=A541))&gt;1,
""Conflicting Duplicate"",
""Exact Duplicate""))"),"Unique")</f>
        <v>Unique</v>
      </c>
      <c r="X547" s="10" t="b">
        <f t="shared" ca="1" si="1"/>
        <v>1</v>
      </c>
      <c r="Y547" s="10" t="str">
        <f t="shared" si="2"/>
        <v>Unique</v>
      </c>
      <c r="Z547" s="10"/>
      <c r="AA547" s="10" t="str">
        <f t="shared" si="3"/>
        <v>Clean</v>
      </c>
      <c r="AB547" s="15" t="str">
        <f t="shared" si="4"/>
        <v>Valid</v>
      </c>
      <c r="AC547" s="15">
        <v>3</v>
      </c>
      <c r="AD547" s="16" t="str">
        <f t="shared" si="5"/>
        <v>Valid</v>
      </c>
      <c r="AE547" s="16" t="str">
        <f t="shared" si="6"/>
        <v>Valid</v>
      </c>
      <c r="AF547" s="16" t="str">
        <f t="shared" ref="AF547:AG547" si="1105">IF(ISNUMBER(B547),"Valid","Invalid")</f>
        <v>Valid</v>
      </c>
      <c r="AG547" s="16" t="str">
        <f t="shared" si="1105"/>
        <v>Valid</v>
      </c>
      <c r="AH547" s="16" t="str">
        <f t="shared" ref="AH547:AI547" si="1106">IF(OR(B547="",ISBLANK(B547)),"Missing","Valid")</f>
        <v>Valid</v>
      </c>
      <c r="AI547" s="16" t="str">
        <f t="shared" si="1106"/>
        <v>Valid</v>
      </c>
      <c r="AJ547" s="16" t="b">
        <v>0</v>
      </c>
      <c r="AK547" s="16" t="b">
        <v>0</v>
      </c>
      <c r="AL547" s="16" t="b">
        <v>0</v>
      </c>
      <c r="AM547" s="16" t="b">
        <v>0</v>
      </c>
      <c r="AN547" s="16" t="b">
        <v>0</v>
      </c>
      <c r="AO547" s="16" t="b">
        <v>0</v>
      </c>
      <c r="AP547" s="16" t="b">
        <v>0</v>
      </c>
      <c r="AQ547" s="17">
        <f t="shared" si="9"/>
        <v>0.15</v>
      </c>
      <c r="AR547" s="12">
        <f t="shared" si="10"/>
        <v>17260.116999999998</v>
      </c>
      <c r="AS547" s="18">
        <f t="shared" si="11"/>
        <v>3.0000000006111804E-3</v>
      </c>
      <c r="AT547" s="12">
        <f t="shared" si="12"/>
        <v>3746.6069999999982</v>
      </c>
      <c r="AU547" s="18">
        <f t="shared" si="13"/>
        <v>3.0000000019754225E-3</v>
      </c>
      <c r="AV547" s="19">
        <f t="shared" si="14"/>
        <v>0.21706730029697935</v>
      </c>
      <c r="AW547" s="20" t="str">
        <f t="shared" si="15"/>
        <v>May</v>
      </c>
      <c r="AX547" s="21">
        <f t="shared" si="16"/>
        <v>2024</v>
      </c>
    </row>
    <row r="548" spans="1:50" ht="15.75" customHeight="1">
      <c r="A548" s="10" t="s">
        <v>1765</v>
      </c>
      <c r="B548" s="11">
        <v>45883</v>
      </c>
      <c r="C548" s="11">
        <v>45891</v>
      </c>
      <c r="D548" s="10" t="s">
        <v>1766</v>
      </c>
      <c r="E548" s="10" t="s">
        <v>82</v>
      </c>
      <c r="F548" s="10" t="s">
        <v>119</v>
      </c>
      <c r="G548" s="10" t="s">
        <v>92</v>
      </c>
      <c r="H548" s="10" t="s">
        <v>209</v>
      </c>
      <c r="I548" s="10" t="s">
        <v>210</v>
      </c>
      <c r="J548" s="10" t="s">
        <v>57</v>
      </c>
      <c r="K548" s="10" t="s">
        <v>58</v>
      </c>
      <c r="L548" s="10" t="s">
        <v>1767</v>
      </c>
      <c r="M548" s="10" t="s">
        <v>79</v>
      </c>
      <c r="N548" s="12">
        <v>5</v>
      </c>
      <c r="O548" s="12">
        <v>2567.37</v>
      </c>
      <c r="P548" s="12">
        <v>0.15</v>
      </c>
      <c r="Q548" s="12">
        <v>10911.32</v>
      </c>
      <c r="R548" s="12">
        <v>6966.44</v>
      </c>
      <c r="S548" s="12">
        <v>4395.17</v>
      </c>
      <c r="T548" s="10" t="s">
        <v>61</v>
      </c>
      <c r="U548" s="13" t="s">
        <v>62</v>
      </c>
      <c r="V548" s="14" t="e">
        <f t="shared" ca="1" si="0"/>
        <v>#NAME?</v>
      </c>
      <c r="W548" s="10" t="str">
        <f ca="1">IFERROR(__xludf.DUMMYFUNCTION("IF(COUNTIF($A:$A,A542)=1,
""Unique"",
IF(COUNTUNIQUE(FILTER($V$2:$V$934,$A$2:$A$934=A542))&gt;1,
""Conflicting Duplicate"",
""Exact Duplicate""))"),"Unique")</f>
        <v>Unique</v>
      </c>
      <c r="X548" s="10" t="b">
        <f t="shared" ca="1" si="1"/>
        <v>1</v>
      </c>
      <c r="Y548" s="10" t="str">
        <f t="shared" si="2"/>
        <v>Unique</v>
      </c>
      <c r="Z548" s="10"/>
      <c r="AA548" s="10" t="str">
        <f t="shared" si="3"/>
        <v>Clean</v>
      </c>
      <c r="AB548" s="15" t="str">
        <f t="shared" si="4"/>
        <v>Valid</v>
      </c>
      <c r="AC548" s="15">
        <v>8</v>
      </c>
      <c r="AD548" s="16" t="str">
        <f t="shared" si="5"/>
        <v>Valid</v>
      </c>
      <c r="AE548" s="16" t="str">
        <f t="shared" si="6"/>
        <v>Valid</v>
      </c>
      <c r="AF548" s="16" t="str">
        <f t="shared" ref="AF548:AG548" si="1107">IF(ISNUMBER(B548),"Valid","Invalid")</f>
        <v>Valid</v>
      </c>
      <c r="AG548" s="16" t="str">
        <f t="shared" si="1107"/>
        <v>Valid</v>
      </c>
      <c r="AH548" s="16" t="str">
        <f t="shared" ref="AH548:AI548" si="1108">IF(OR(B548="",ISBLANK(B548)),"Missing","Valid")</f>
        <v>Valid</v>
      </c>
      <c r="AI548" s="16" t="str">
        <f t="shared" si="1108"/>
        <v>Valid</v>
      </c>
      <c r="AJ548" s="16" t="b">
        <v>0</v>
      </c>
      <c r="AK548" s="16" t="b">
        <v>0</v>
      </c>
      <c r="AL548" s="16" t="b">
        <v>0</v>
      </c>
      <c r="AM548" s="16" t="b">
        <v>0</v>
      </c>
      <c r="AN548" s="16" t="b">
        <v>0</v>
      </c>
      <c r="AO548" s="16" t="b">
        <v>0</v>
      </c>
      <c r="AP548" s="16" t="b">
        <v>0</v>
      </c>
      <c r="AQ548" s="17">
        <f t="shared" si="9"/>
        <v>0.15</v>
      </c>
      <c r="AR548" s="12">
        <f t="shared" si="10"/>
        <v>10911.322499999998</v>
      </c>
      <c r="AS548" s="18">
        <f t="shared" si="11"/>
        <v>-2.4999999986903276E-3</v>
      </c>
      <c r="AT548" s="12">
        <f t="shared" si="12"/>
        <v>3944.8824999999988</v>
      </c>
      <c r="AU548" s="18">
        <f t="shared" si="13"/>
        <v>450.28750000000127</v>
      </c>
      <c r="AV548" s="19">
        <f t="shared" si="14"/>
        <v>0.36154027158486052</v>
      </c>
      <c r="AW548" s="20" t="str">
        <f t="shared" si="15"/>
        <v>August</v>
      </c>
      <c r="AX548" s="21">
        <f t="shared" si="16"/>
        <v>2025</v>
      </c>
    </row>
    <row r="549" spans="1:50" ht="15.75" customHeight="1">
      <c r="A549" s="10" t="s">
        <v>1768</v>
      </c>
      <c r="B549" s="11">
        <v>45428</v>
      </c>
      <c r="C549" s="11">
        <v>45435</v>
      </c>
      <c r="D549" s="10" t="s">
        <v>1769</v>
      </c>
      <c r="E549" s="10" t="s">
        <v>108</v>
      </c>
      <c r="F549" s="10" t="s">
        <v>66</v>
      </c>
      <c r="G549" s="10" t="s">
        <v>54</v>
      </c>
      <c r="H549" s="10" t="s">
        <v>165</v>
      </c>
      <c r="I549" s="10" t="s">
        <v>166</v>
      </c>
      <c r="J549" s="10" t="s">
        <v>103</v>
      </c>
      <c r="K549" s="10" t="s">
        <v>109</v>
      </c>
      <c r="L549" s="10" t="s">
        <v>1770</v>
      </c>
      <c r="M549" s="10" t="s">
        <v>88</v>
      </c>
      <c r="N549" s="12">
        <v>9</v>
      </c>
      <c r="O549" s="12">
        <v>3722.09</v>
      </c>
      <c r="P549" s="12">
        <v>0.1</v>
      </c>
      <c r="Q549" s="12">
        <v>30148.93</v>
      </c>
      <c r="R549" s="12">
        <v>25155.07</v>
      </c>
      <c r="S549" s="12">
        <v>4993.8599999999997</v>
      </c>
      <c r="T549" s="10" t="s">
        <v>61</v>
      </c>
      <c r="U549" s="13" t="s">
        <v>62</v>
      </c>
      <c r="V549" s="14" t="e">
        <f t="shared" ca="1" si="0"/>
        <v>#NAME?</v>
      </c>
      <c r="W549" s="10" t="str">
        <f ca="1">IFERROR(__xludf.DUMMYFUNCTION("IF(COUNTIF($A:$A,A543)=1,
""Unique"",
IF(COUNTUNIQUE(FILTER($V$2:$V$934,$A$2:$A$934=A543))&gt;1,
""Conflicting Duplicate"",
""Exact Duplicate""))"),"Unique")</f>
        <v>Unique</v>
      </c>
      <c r="X549" s="10" t="b">
        <f t="shared" ca="1" si="1"/>
        <v>1</v>
      </c>
      <c r="Y549" s="10" t="str">
        <f t="shared" si="2"/>
        <v>Unique</v>
      </c>
      <c r="Z549" s="10"/>
      <c r="AA549" s="10" t="str">
        <f t="shared" si="3"/>
        <v>Clean</v>
      </c>
      <c r="AB549" s="15" t="str">
        <f t="shared" si="4"/>
        <v>Valid</v>
      </c>
      <c r="AC549" s="15">
        <v>7</v>
      </c>
      <c r="AD549" s="16" t="str">
        <f t="shared" si="5"/>
        <v>Valid</v>
      </c>
      <c r="AE549" s="16" t="str">
        <f t="shared" si="6"/>
        <v>Valid</v>
      </c>
      <c r="AF549" s="16" t="str">
        <f t="shared" ref="AF549:AG549" si="1109">IF(ISNUMBER(B549),"Valid","Invalid")</f>
        <v>Valid</v>
      </c>
      <c r="AG549" s="16" t="str">
        <f t="shared" si="1109"/>
        <v>Valid</v>
      </c>
      <c r="AH549" s="16" t="str">
        <f t="shared" ref="AH549:AI549" si="1110">IF(OR(B549="",ISBLANK(B549)),"Missing","Valid")</f>
        <v>Valid</v>
      </c>
      <c r="AI549" s="16" t="str">
        <f t="shared" si="1110"/>
        <v>Valid</v>
      </c>
      <c r="AJ549" s="16" t="b">
        <v>0</v>
      </c>
      <c r="AK549" s="16" t="b">
        <v>0</v>
      </c>
      <c r="AL549" s="16" t="b">
        <v>0</v>
      </c>
      <c r="AM549" s="16" t="b">
        <v>0</v>
      </c>
      <c r="AN549" s="16" t="b">
        <v>0</v>
      </c>
      <c r="AO549" s="16" t="b">
        <v>0</v>
      </c>
      <c r="AP549" s="16" t="b">
        <v>0</v>
      </c>
      <c r="AQ549" s="17">
        <f t="shared" si="9"/>
        <v>0.1</v>
      </c>
      <c r="AR549" s="12">
        <f t="shared" si="10"/>
        <v>30148.929</v>
      </c>
      <c r="AS549" s="18">
        <f t="shared" si="11"/>
        <v>1.0000000002037268E-3</v>
      </c>
      <c r="AT549" s="12">
        <f t="shared" si="12"/>
        <v>4993.8590000000004</v>
      </c>
      <c r="AU549" s="18">
        <f t="shared" si="13"/>
        <v>9.9999999929423211E-4</v>
      </c>
      <c r="AV549" s="19">
        <f t="shared" si="14"/>
        <v>0.16563968159532302</v>
      </c>
      <c r="AW549" s="20" t="str">
        <f t="shared" si="15"/>
        <v>May</v>
      </c>
      <c r="AX549" s="21">
        <f t="shared" si="16"/>
        <v>2024</v>
      </c>
    </row>
    <row r="550" spans="1:50" ht="15.75" customHeight="1">
      <c r="A550" s="10" t="s">
        <v>1771</v>
      </c>
      <c r="B550" s="11">
        <v>45441</v>
      </c>
      <c r="C550" s="11">
        <v>45441</v>
      </c>
      <c r="D550" s="10" t="s">
        <v>1772</v>
      </c>
      <c r="E550" s="10" t="s">
        <v>170</v>
      </c>
      <c r="F550" s="10" t="s">
        <v>119</v>
      </c>
      <c r="G550" s="10" t="s">
        <v>67</v>
      </c>
      <c r="H550" s="10" t="s">
        <v>174</v>
      </c>
      <c r="I550" s="10" t="s">
        <v>175</v>
      </c>
      <c r="J550" s="10" t="s">
        <v>70</v>
      </c>
      <c r="K550" s="10" t="s">
        <v>187</v>
      </c>
      <c r="L550" s="10" t="s">
        <v>1773</v>
      </c>
      <c r="M550" s="10" t="s">
        <v>73</v>
      </c>
      <c r="N550" s="12">
        <v>1</v>
      </c>
      <c r="O550" s="12">
        <v>1072.01</v>
      </c>
      <c r="P550" s="12">
        <v>0</v>
      </c>
      <c r="Q550" s="12">
        <v>1072.01</v>
      </c>
      <c r="R550" s="12">
        <v>852.62</v>
      </c>
      <c r="S550" s="12">
        <v>219.39</v>
      </c>
      <c r="T550" s="10" t="s">
        <v>140</v>
      </c>
      <c r="U550" s="13" t="s">
        <v>97</v>
      </c>
      <c r="V550" s="14" t="e">
        <f t="shared" ca="1" si="0"/>
        <v>#NAME?</v>
      </c>
      <c r="W550" s="10" t="str">
        <f ca="1">IFERROR(__xludf.DUMMYFUNCTION("IF(COUNTIF($A:$A,A544)=1,
""Unique"",
IF(COUNTUNIQUE(FILTER($V$2:$V$934,$A$2:$A$934=A544))&gt;1,
""Conflicting Duplicate"",
""Exact Duplicate""))"),"Unique")</f>
        <v>Unique</v>
      </c>
      <c r="X550" s="10" t="b">
        <f t="shared" ca="1" si="1"/>
        <v>1</v>
      </c>
      <c r="Y550" s="10" t="str">
        <f t="shared" si="2"/>
        <v>Unique</v>
      </c>
      <c r="Z550" s="10"/>
      <c r="AA550" s="10" t="str">
        <f t="shared" si="3"/>
        <v>Clean</v>
      </c>
      <c r="AB550" s="15" t="str">
        <f t="shared" si="4"/>
        <v>Valid</v>
      </c>
      <c r="AC550" s="15">
        <v>0</v>
      </c>
      <c r="AD550" s="16" t="str">
        <f t="shared" si="5"/>
        <v>Valid</v>
      </c>
      <c r="AE550" s="16" t="str">
        <f t="shared" si="6"/>
        <v>Valid</v>
      </c>
      <c r="AF550" s="16" t="str">
        <f t="shared" ref="AF550:AG550" si="1111">IF(ISNUMBER(B550),"Valid","Invalid")</f>
        <v>Valid</v>
      </c>
      <c r="AG550" s="16" t="str">
        <f t="shared" si="1111"/>
        <v>Valid</v>
      </c>
      <c r="AH550" s="16" t="str">
        <f t="shared" ref="AH550:AI550" si="1112">IF(OR(B550="",ISBLANK(B550)),"Missing","Valid")</f>
        <v>Valid</v>
      </c>
      <c r="AI550" s="16" t="str">
        <f t="shared" si="1112"/>
        <v>Valid</v>
      </c>
      <c r="AJ550" s="16" t="b">
        <v>0</v>
      </c>
      <c r="AK550" s="16" t="b">
        <v>0</v>
      </c>
      <c r="AL550" s="16" t="b">
        <v>0</v>
      </c>
      <c r="AM550" s="16" t="b">
        <v>0</v>
      </c>
      <c r="AN550" s="16" t="b">
        <v>0</v>
      </c>
      <c r="AO550" s="16" t="b">
        <v>0</v>
      </c>
      <c r="AP550" s="16" t="b">
        <v>0</v>
      </c>
      <c r="AQ550" s="17">
        <f t="shared" si="9"/>
        <v>0</v>
      </c>
      <c r="AR550" s="12">
        <f t="shared" si="10"/>
        <v>1072.01</v>
      </c>
      <c r="AS550" s="18">
        <f t="shared" si="11"/>
        <v>0</v>
      </c>
      <c r="AT550" s="12">
        <f t="shared" si="12"/>
        <v>219.39</v>
      </c>
      <c r="AU550" s="18">
        <f t="shared" si="13"/>
        <v>0</v>
      </c>
      <c r="AV550" s="19">
        <f t="shared" si="14"/>
        <v>0.20465294167032022</v>
      </c>
      <c r="AW550" s="20" t="str">
        <f t="shared" si="15"/>
        <v>May</v>
      </c>
      <c r="AX550" s="21">
        <f t="shared" si="16"/>
        <v>2024</v>
      </c>
    </row>
    <row r="551" spans="1:50" ht="15.75" customHeight="1">
      <c r="A551" s="10" t="s">
        <v>1774</v>
      </c>
      <c r="B551" s="11">
        <v>45941</v>
      </c>
      <c r="C551" s="11">
        <v>45943</v>
      </c>
      <c r="D551" s="10" t="s">
        <v>1775</v>
      </c>
      <c r="E551" s="10" t="s">
        <v>65</v>
      </c>
      <c r="F551" s="10" t="s">
        <v>119</v>
      </c>
      <c r="G551" s="10" t="s">
        <v>83</v>
      </c>
      <c r="H551" s="10" t="s">
        <v>84</v>
      </c>
      <c r="I551" s="10" t="s">
        <v>85</v>
      </c>
      <c r="J551" s="10" t="s">
        <v>57</v>
      </c>
      <c r="K551" s="10" t="s">
        <v>77</v>
      </c>
      <c r="L551" s="10" t="s">
        <v>1776</v>
      </c>
      <c r="M551" s="10" t="s">
        <v>60</v>
      </c>
      <c r="N551" s="12">
        <v>3</v>
      </c>
      <c r="O551" s="12">
        <v>3804.27</v>
      </c>
      <c r="P551" s="12">
        <v>0.1</v>
      </c>
      <c r="Q551" s="12">
        <v>10271.530000000001</v>
      </c>
      <c r="R551" s="12">
        <v>8272.24</v>
      </c>
      <c r="S551" s="12">
        <v>1999.29</v>
      </c>
      <c r="T551" s="10" t="s">
        <v>61</v>
      </c>
      <c r="U551" s="13" t="s">
        <v>62</v>
      </c>
      <c r="V551" s="14" t="e">
        <f t="shared" ca="1" si="0"/>
        <v>#NAME?</v>
      </c>
      <c r="W551" s="10" t="str">
        <f ca="1">IFERROR(__xludf.DUMMYFUNCTION("IF(COUNTIF($A:$A,A545)=1,
""Unique"",
IF(COUNTUNIQUE(FILTER($V$2:$V$934,$A$2:$A$934=A545))&gt;1,
""Conflicting Duplicate"",
""Exact Duplicate""))"),"Unique")</f>
        <v>Unique</v>
      </c>
      <c r="X551" s="10" t="b">
        <f t="shared" ca="1" si="1"/>
        <v>1</v>
      </c>
      <c r="Y551" s="10" t="str">
        <f t="shared" si="2"/>
        <v>Duplicate Order ID</v>
      </c>
      <c r="Z551" s="10"/>
      <c r="AA551" s="10" t="str">
        <f t="shared" si="3"/>
        <v>Clean</v>
      </c>
      <c r="AB551" s="15" t="str">
        <f t="shared" si="4"/>
        <v>Valid</v>
      </c>
      <c r="AC551" s="15">
        <v>2</v>
      </c>
      <c r="AD551" s="16" t="str">
        <f t="shared" si="5"/>
        <v>Valid</v>
      </c>
      <c r="AE551" s="16" t="str">
        <f t="shared" si="6"/>
        <v>Valid</v>
      </c>
      <c r="AF551" s="16" t="str">
        <f t="shared" ref="AF551:AG551" si="1113">IF(ISNUMBER(B551),"Valid","Invalid")</f>
        <v>Valid</v>
      </c>
      <c r="AG551" s="16" t="str">
        <f t="shared" si="1113"/>
        <v>Valid</v>
      </c>
      <c r="AH551" s="16" t="str">
        <f t="shared" ref="AH551:AI551" si="1114">IF(OR(B551="",ISBLANK(B551)),"Missing","Valid")</f>
        <v>Valid</v>
      </c>
      <c r="AI551" s="16" t="str">
        <f t="shared" si="1114"/>
        <v>Valid</v>
      </c>
      <c r="AJ551" s="16" t="b">
        <v>0</v>
      </c>
      <c r="AK551" s="16" t="b">
        <v>0</v>
      </c>
      <c r="AL551" s="16" t="b">
        <v>0</v>
      </c>
      <c r="AM551" s="16" t="b">
        <v>0</v>
      </c>
      <c r="AN551" s="16" t="b">
        <v>0</v>
      </c>
      <c r="AO551" s="16" t="b">
        <v>0</v>
      </c>
      <c r="AP551" s="16" t="b">
        <v>0</v>
      </c>
      <c r="AQ551" s="17">
        <f t="shared" si="9"/>
        <v>0.1</v>
      </c>
      <c r="AR551" s="12">
        <f t="shared" si="10"/>
        <v>10271.529</v>
      </c>
      <c r="AS551" s="18">
        <f t="shared" si="11"/>
        <v>1.0000000002037268E-3</v>
      </c>
      <c r="AT551" s="12">
        <f t="shared" si="12"/>
        <v>1999.2890000000007</v>
      </c>
      <c r="AU551" s="18">
        <f t="shared" si="13"/>
        <v>9.9999999929423211E-4</v>
      </c>
      <c r="AV551" s="19">
        <f t="shared" si="14"/>
        <v>0.19464375751652949</v>
      </c>
      <c r="AW551" s="20" t="str">
        <f t="shared" si="15"/>
        <v>October</v>
      </c>
      <c r="AX551" s="21">
        <f t="shared" si="16"/>
        <v>2025</v>
      </c>
    </row>
    <row r="552" spans="1:50" ht="15.75" customHeight="1">
      <c r="A552" s="10" t="s">
        <v>1777</v>
      </c>
      <c r="B552" s="11">
        <v>45506</v>
      </c>
      <c r="C552" s="11">
        <v>45514</v>
      </c>
      <c r="D552" s="10" t="s">
        <v>1778</v>
      </c>
      <c r="E552" s="10" t="s">
        <v>65</v>
      </c>
      <c r="F552" s="10" t="s">
        <v>124</v>
      </c>
      <c r="G552" s="10" t="s">
        <v>67</v>
      </c>
      <c r="H552" s="10" t="s">
        <v>68</v>
      </c>
      <c r="I552" s="10" t="s">
        <v>69</v>
      </c>
      <c r="J552" s="10" t="s">
        <v>103</v>
      </c>
      <c r="K552" s="10" t="s">
        <v>104</v>
      </c>
      <c r="L552" s="10" t="s">
        <v>1779</v>
      </c>
      <c r="M552" s="10" t="s">
        <v>88</v>
      </c>
      <c r="N552" s="12">
        <v>6</v>
      </c>
      <c r="O552" s="12">
        <v>2126.44</v>
      </c>
      <c r="P552" s="12">
        <v>0.2</v>
      </c>
      <c r="Q552" s="12">
        <v>10206.91</v>
      </c>
      <c r="R552" s="12">
        <v>6764.53</v>
      </c>
      <c r="S552" s="12">
        <v>3442.38</v>
      </c>
      <c r="T552" s="10" t="s">
        <v>61</v>
      </c>
      <c r="U552" s="13" t="s">
        <v>62</v>
      </c>
      <c r="V552" s="14" t="e">
        <f t="shared" ca="1" si="0"/>
        <v>#NAME?</v>
      </c>
      <c r="W552" s="10" t="str">
        <f ca="1">IFERROR(__xludf.DUMMYFUNCTION("IF(COUNTIF($A:$A,A546)=1,
""Unique"",
IF(COUNTUNIQUE(FILTER($V$2:$V$934,$A$2:$A$934=A546))&gt;1,
""Conflicting Duplicate"",
""Exact Duplicate""))"),"Unique")</f>
        <v>Unique</v>
      </c>
      <c r="X552" s="10" t="b">
        <f t="shared" ca="1" si="1"/>
        <v>1</v>
      </c>
      <c r="Y552" s="10" t="str">
        <f t="shared" si="2"/>
        <v>Unique</v>
      </c>
      <c r="Z552" s="10"/>
      <c r="AA552" s="10" t="str">
        <f t="shared" si="3"/>
        <v>Clean</v>
      </c>
      <c r="AB552" s="15" t="str">
        <f t="shared" si="4"/>
        <v>Valid</v>
      </c>
      <c r="AC552" s="15">
        <v>8</v>
      </c>
      <c r="AD552" s="16" t="str">
        <f t="shared" si="5"/>
        <v>Valid</v>
      </c>
      <c r="AE552" s="16" t="str">
        <f t="shared" si="6"/>
        <v>Valid</v>
      </c>
      <c r="AF552" s="16" t="str">
        <f t="shared" ref="AF552:AG552" si="1115">IF(ISNUMBER(B552),"Valid","Invalid")</f>
        <v>Valid</v>
      </c>
      <c r="AG552" s="16" t="str">
        <f t="shared" si="1115"/>
        <v>Valid</v>
      </c>
      <c r="AH552" s="16" t="str">
        <f t="shared" ref="AH552:AI552" si="1116">IF(OR(B552="",ISBLANK(B552)),"Missing","Valid")</f>
        <v>Valid</v>
      </c>
      <c r="AI552" s="16" t="str">
        <f t="shared" si="1116"/>
        <v>Valid</v>
      </c>
      <c r="AJ552" s="16" t="b">
        <v>0</v>
      </c>
      <c r="AK552" s="16" t="b">
        <v>0</v>
      </c>
      <c r="AL552" s="16" t="b">
        <v>0</v>
      </c>
      <c r="AM552" s="16" t="b">
        <v>0</v>
      </c>
      <c r="AN552" s="16" t="b">
        <v>0</v>
      </c>
      <c r="AO552" s="16" t="b">
        <v>0</v>
      </c>
      <c r="AP552" s="16" t="b">
        <v>0</v>
      </c>
      <c r="AQ552" s="17">
        <f t="shared" si="9"/>
        <v>0.2</v>
      </c>
      <c r="AR552" s="12">
        <f t="shared" si="10"/>
        <v>10206.912</v>
      </c>
      <c r="AS552" s="18">
        <f t="shared" si="11"/>
        <v>-2.0000000004074536E-3</v>
      </c>
      <c r="AT552" s="12">
        <f t="shared" si="12"/>
        <v>3442.3820000000005</v>
      </c>
      <c r="AU552" s="18">
        <f t="shared" si="13"/>
        <v>-2.0000000004074536E-3</v>
      </c>
      <c r="AV552" s="19">
        <f t="shared" si="14"/>
        <v>0.33725988820125036</v>
      </c>
      <c r="AW552" s="20" t="str">
        <f t="shared" si="15"/>
        <v>August</v>
      </c>
      <c r="AX552" s="21">
        <f t="shared" si="16"/>
        <v>2024</v>
      </c>
    </row>
    <row r="553" spans="1:50" ht="15.75" customHeight="1">
      <c r="A553" s="10" t="s">
        <v>1780</v>
      </c>
      <c r="B553" s="11">
        <v>45349</v>
      </c>
      <c r="C553" s="11">
        <v>45349</v>
      </c>
      <c r="D553" s="10" t="s">
        <v>1781</v>
      </c>
      <c r="E553" s="10" t="s">
        <v>161</v>
      </c>
      <c r="F553" s="10" t="s">
        <v>53</v>
      </c>
      <c r="G553" s="10" t="s">
        <v>67</v>
      </c>
      <c r="H553" s="10" t="s">
        <v>258</v>
      </c>
      <c r="I553" s="10" t="s">
        <v>259</v>
      </c>
      <c r="J553" s="10" t="s">
        <v>70</v>
      </c>
      <c r="K553" s="10" t="s">
        <v>95</v>
      </c>
      <c r="L553" s="10" t="s">
        <v>1782</v>
      </c>
      <c r="M553" s="10" t="s">
        <v>60</v>
      </c>
      <c r="N553" s="12">
        <v>3</v>
      </c>
      <c r="O553" s="12">
        <v>3148.09</v>
      </c>
      <c r="P553" s="12">
        <v>0.15</v>
      </c>
      <c r="Q553" s="12">
        <v>8027.63</v>
      </c>
      <c r="R553" s="12">
        <v>5496.09</v>
      </c>
      <c r="S553" s="12">
        <v>2531.54</v>
      </c>
      <c r="T553" s="10" t="s">
        <v>61</v>
      </c>
      <c r="U553" s="13" t="s">
        <v>62</v>
      </c>
      <c r="V553" s="14" t="e">
        <f t="shared" ca="1" si="0"/>
        <v>#NAME?</v>
      </c>
      <c r="W553" s="10" t="str">
        <f ca="1">IFERROR(__xludf.DUMMYFUNCTION("IF(COUNTIF($A:$A,A547)=1,
""Unique"",
IF(COUNTUNIQUE(FILTER($V$2:$V$934,$A$2:$A$934=A547))&gt;1,
""Conflicting Duplicate"",
""Exact Duplicate""))"),"Unique")</f>
        <v>Unique</v>
      </c>
      <c r="X553" s="10" t="b">
        <f t="shared" ca="1" si="1"/>
        <v>1</v>
      </c>
      <c r="Y553" s="10" t="str">
        <f t="shared" si="2"/>
        <v>Unique</v>
      </c>
      <c r="Z553" s="10"/>
      <c r="AA553" s="10" t="str">
        <f t="shared" si="3"/>
        <v>Clean</v>
      </c>
      <c r="AB553" s="15" t="str">
        <f t="shared" si="4"/>
        <v>Valid</v>
      </c>
      <c r="AC553" s="15">
        <v>0</v>
      </c>
      <c r="AD553" s="16" t="str">
        <f t="shared" si="5"/>
        <v>Valid</v>
      </c>
      <c r="AE553" s="16" t="str">
        <f t="shared" si="6"/>
        <v>Valid</v>
      </c>
      <c r="AF553" s="16" t="str">
        <f t="shared" ref="AF553:AG553" si="1117">IF(ISNUMBER(B553),"Valid","Invalid")</f>
        <v>Valid</v>
      </c>
      <c r="AG553" s="16" t="str">
        <f t="shared" si="1117"/>
        <v>Valid</v>
      </c>
      <c r="AH553" s="16" t="str">
        <f t="shared" ref="AH553:AI553" si="1118">IF(OR(B553="",ISBLANK(B553)),"Missing","Valid")</f>
        <v>Valid</v>
      </c>
      <c r="AI553" s="16" t="str">
        <f t="shared" si="1118"/>
        <v>Valid</v>
      </c>
      <c r="AJ553" s="16" t="b">
        <v>0</v>
      </c>
      <c r="AK553" s="16" t="b">
        <v>0</v>
      </c>
      <c r="AL553" s="16" t="b">
        <v>0</v>
      </c>
      <c r="AM553" s="16" t="b">
        <v>0</v>
      </c>
      <c r="AN553" s="16" t="b">
        <v>0</v>
      </c>
      <c r="AO553" s="16" t="b">
        <v>0</v>
      </c>
      <c r="AP553" s="16" t="b">
        <v>0</v>
      </c>
      <c r="AQ553" s="17">
        <f t="shared" si="9"/>
        <v>0.15</v>
      </c>
      <c r="AR553" s="12">
        <f t="shared" si="10"/>
        <v>8027.6295</v>
      </c>
      <c r="AS553" s="18">
        <f t="shared" si="11"/>
        <v>5.0000000010186341E-4</v>
      </c>
      <c r="AT553" s="12">
        <f t="shared" si="12"/>
        <v>2531.5394999999999</v>
      </c>
      <c r="AU553" s="18">
        <f t="shared" si="13"/>
        <v>5.0000000010186341E-4</v>
      </c>
      <c r="AV553" s="19">
        <f t="shared" si="14"/>
        <v>0.31535330572991688</v>
      </c>
      <c r="AW553" s="20" t="str">
        <f t="shared" si="15"/>
        <v>February</v>
      </c>
      <c r="AX553" s="21">
        <f t="shared" si="16"/>
        <v>2024</v>
      </c>
    </row>
    <row r="554" spans="1:50" ht="15.75" customHeight="1">
      <c r="A554" s="10" t="s">
        <v>1783</v>
      </c>
      <c r="B554" s="11">
        <v>45681</v>
      </c>
      <c r="C554" s="11">
        <v>45687</v>
      </c>
      <c r="D554" s="10" t="s">
        <v>1784</v>
      </c>
      <c r="E554" s="10" t="s">
        <v>91</v>
      </c>
      <c r="F554" s="10" t="s">
        <v>119</v>
      </c>
      <c r="G554" s="10" t="s">
        <v>67</v>
      </c>
      <c r="H554" s="10" t="s">
        <v>128</v>
      </c>
      <c r="I554" s="10" t="s">
        <v>129</v>
      </c>
      <c r="J554" s="10" t="s">
        <v>103</v>
      </c>
      <c r="K554" s="10" t="s">
        <v>109</v>
      </c>
      <c r="L554" s="10" t="s">
        <v>1785</v>
      </c>
      <c r="M554" s="10" t="s">
        <v>88</v>
      </c>
      <c r="N554" s="12">
        <v>8</v>
      </c>
      <c r="O554" s="12">
        <v>312.52999999999997</v>
      </c>
      <c r="P554" s="10" t="s">
        <v>493</v>
      </c>
      <c r="Q554" s="12">
        <v>1875.18</v>
      </c>
      <c r="R554" s="12">
        <v>1579.17</v>
      </c>
      <c r="S554" s="12">
        <v>296.01</v>
      </c>
      <c r="T554" s="10" t="s">
        <v>61</v>
      </c>
      <c r="U554" s="13" t="s">
        <v>62</v>
      </c>
      <c r="V554" s="14" t="e">
        <f t="shared" ca="1" si="0"/>
        <v>#NAME?</v>
      </c>
      <c r="W554" s="10" t="str">
        <f ca="1">IFERROR(__xludf.DUMMYFUNCTION("IF(COUNTIF($A:$A,A548)=1,
""Unique"",
IF(COUNTUNIQUE(FILTER($V$2:$V$934,$A$2:$A$934=A548))&gt;1,
""Conflicting Duplicate"",
""Exact Duplicate""))"),"Unique")</f>
        <v>Unique</v>
      </c>
      <c r="X554" s="10" t="b">
        <f t="shared" ca="1" si="1"/>
        <v>1</v>
      </c>
      <c r="Y554" s="10" t="str">
        <f t="shared" si="2"/>
        <v>Unique</v>
      </c>
      <c r="Z554" s="10"/>
      <c r="AA554" s="10" t="str">
        <f t="shared" si="3"/>
        <v>Invalid</v>
      </c>
      <c r="AB554" s="15" t="str">
        <f t="shared" si="4"/>
        <v>Valid</v>
      </c>
      <c r="AC554" s="15">
        <v>6</v>
      </c>
      <c r="AD554" s="16" t="str">
        <f t="shared" si="5"/>
        <v>Valid</v>
      </c>
      <c r="AE554" s="16" t="str">
        <f t="shared" si="6"/>
        <v>Valid</v>
      </c>
      <c r="AF554" s="16" t="str">
        <f t="shared" ref="AF554:AG554" si="1119">IF(ISNUMBER(B554),"Valid","Invalid")</f>
        <v>Valid</v>
      </c>
      <c r="AG554" s="16" t="str">
        <f t="shared" si="1119"/>
        <v>Valid</v>
      </c>
      <c r="AH554" s="16" t="str">
        <f t="shared" ref="AH554:AI554" si="1120">IF(OR(B554="",ISBLANK(B554)),"Missing","Valid")</f>
        <v>Valid</v>
      </c>
      <c r="AI554" s="16" t="str">
        <f t="shared" si="1120"/>
        <v>Valid</v>
      </c>
      <c r="AJ554" s="16" t="b">
        <v>0</v>
      </c>
      <c r="AK554" s="16" t="b">
        <v>0</v>
      </c>
      <c r="AL554" s="16" t="b">
        <v>0</v>
      </c>
      <c r="AM554" s="16" t="b">
        <v>0</v>
      </c>
      <c r="AN554" s="16" t="b">
        <v>0</v>
      </c>
      <c r="AO554" s="16" t="b">
        <v>0</v>
      </c>
      <c r="AP554" s="16" t="b">
        <v>0</v>
      </c>
      <c r="AQ554" s="17" t="str">
        <f t="shared" si="9"/>
        <v>70%</v>
      </c>
      <c r="AR554" s="12">
        <f t="shared" si="10"/>
        <v>750.072</v>
      </c>
      <c r="AS554" s="18">
        <f t="shared" si="11"/>
        <v>1125.1080000000002</v>
      </c>
      <c r="AT554" s="12">
        <f t="shared" si="12"/>
        <v>-829.09800000000007</v>
      </c>
      <c r="AU554" s="18">
        <f t="shared" si="13"/>
        <v>1125.1080000000002</v>
      </c>
      <c r="AV554" s="19">
        <f t="shared" si="14"/>
        <v>-1.1053578856429784</v>
      </c>
      <c r="AW554" s="20" t="str">
        <f t="shared" si="15"/>
        <v>January</v>
      </c>
      <c r="AX554" s="21">
        <f t="shared" si="16"/>
        <v>2025</v>
      </c>
    </row>
    <row r="555" spans="1:50" ht="15.75" customHeight="1">
      <c r="A555" s="10" t="s">
        <v>1786</v>
      </c>
      <c r="B555" s="11">
        <v>45772</v>
      </c>
      <c r="C555" s="11">
        <v>45775</v>
      </c>
      <c r="D555" s="10" t="s">
        <v>1787</v>
      </c>
      <c r="E555" s="10" t="s">
        <v>157</v>
      </c>
      <c r="F555" s="10" t="s">
        <v>66</v>
      </c>
      <c r="G555" s="10" t="s">
        <v>92</v>
      </c>
      <c r="H555" s="10" t="s">
        <v>209</v>
      </c>
      <c r="I555" s="10" t="s">
        <v>210</v>
      </c>
      <c r="J555" s="10" t="s">
        <v>57</v>
      </c>
      <c r="K555" s="10" t="s">
        <v>153</v>
      </c>
      <c r="L555" s="10" t="s">
        <v>1788</v>
      </c>
      <c r="M555" s="10" t="s">
        <v>79</v>
      </c>
      <c r="N555" s="12">
        <v>9</v>
      </c>
      <c r="O555" s="12">
        <v>1294.1099999999999</v>
      </c>
      <c r="P555" s="12">
        <v>0.25</v>
      </c>
      <c r="Q555" s="12">
        <v>8735.24</v>
      </c>
      <c r="R555" s="12">
        <v>6620.07</v>
      </c>
      <c r="S555" s="12">
        <v>2115.17</v>
      </c>
      <c r="T555" s="10" t="s">
        <v>61</v>
      </c>
      <c r="U555" s="13" t="s">
        <v>62</v>
      </c>
      <c r="V555" s="14" t="e">
        <f t="shared" ca="1" si="0"/>
        <v>#NAME?</v>
      </c>
      <c r="W555" s="10" t="str">
        <f ca="1">IFERROR(__xludf.DUMMYFUNCTION("IF(COUNTIF($A:$A,A549)=1,
""Unique"",
IF(COUNTUNIQUE(FILTER($V$2:$V$934,$A$2:$A$934=A549))&gt;1,
""Conflicting Duplicate"",
""Exact Duplicate""))"),"Unique")</f>
        <v>Unique</v>
      </c>
      <c r="X555" s="10" t="b">
        <f t="shared" ca="1" si="1"/>
        <v>1</v>
      </c>
      <c r="Y555" s="10" t="str">
        <f t="shared" si="2"/>
        <v>Unique</v>
      </c>
      <c r="Z555" s="10"/>
      <c r="AA555" s="10" t="str">
        <f t="shared" si="3"/>
        <v>Clean</v>
      </c>
      <c r="AB555" s="15" t="str">
        <f t="shared" si="4"/>
        <v>Valid</v>
      </c>
      <c r="AC555" s="15">
        <v>3</v>
      </c>
      <c r="AD555" s="16" t="str">
        <f t="shared" si="5"/>
        <v>Valid</v>
      </c>
      <c r="AE555" s="16" t="str">
        <f t="shared" si="6"/>
        <v>Valid</v>
      </c>
      <c r="AF555" s="16" t="str">
        <f t="shared" ref="AF555:AG555" si="1121">IF(ISNUMBER(B555),"Valid","Invalid")</f>
        <v>Valid</v>
      </c>
      <c r="AG555" s="16" t="str">
        <f t="shared" si="1121"/>
        <v>Valid</v>
      </c>
      <c r="AH555" s="16" t="str">
        <f t="shared" ref="AH555:AI555" si="1122">IF(OR(B555="",ISBLANK(B555)),"Missing","Valid")</f>
        <v>Valid</v>
      </c>
      <c r="AI555" s="16" t="str">
        <f t="shared" si="1122"/>
        <v>Valid</v>
      </c>
      <c r="AJ555" s="16" t="b">
        <v>0</v>
      </c>
      <c r="AK555" s="16" t="b">
        <v>0</v>
      </c>
      <c r="AL555" s="16" t="b">
        <v>0</v>
      </c>
      <c r="AM555" s="16" t="b">
        <v>0</v>
      </c>
      <c r="AN555" s="16" t="b">
        <v>0</v>
      </c>
      <c r="AO555" s="16" t="b">
        <v>0</v>
      </c>
      <c r="AP555" s="16" t="b">
        <v>0</v>
      </c>
      <c r="AQ555" s="17">
        <f t="shared" si="9"/>
        <v>0.25</v>
      </c>
      <c r="AR555" s="12">
        <f t="shared" si="10"/>
        <v>8735.2425000000003</v>
      </c>
      <c r="AS555" s="18">
        <f t="shared" si="11"/>
        <v>-2.500000000509317E-3</v>
      </c>
      <c r="AT555" s="12">
        <f t="shared" si="12"/>
        <v>2115.1725000000006</v>
      </c>
      <c r="AU555" s="18">
        <f t="shared" si="13"/>
        <v>-2.500000000509317E-3</v>
      </c>
      <c r="AV555" s="19">
        <f t="shared" si="14"/>
        <v>0.24214239043735769</v>
      </c>
      <c r="AW555" s="20" t="str">
        <f t="shared" si="15"/>
        <v>April</v>
      </c>
      <c r="AX555" s="21">
        <f t="shared" si="16"/>
        <v>2025</v>
      </c>
    </row>
    <row r="556" spans="1:50" ht="15.75" customHeight="1">
      <c r="A556" s="10" t="s">
        <v>1789</v>
      </c>
      <c r="B556" s="11">
        <v>45577</v>
      </c>
      <c r="C556" s="11">
        <v>45582</v>
      </c>
      <c r="D556" s="10" t="s">
        <v>1790</v>
      </c>
      <c r="E556" s="10" t="s">
        <v>82</v>
      </c>
      <c r="F556" s="10" t="s">
        <v>53</v>
      </c>
      <c r="G556" s="10" t="s">
        <v>234</v>
      </c>
      <c r="H556" s="10" t="s">
        <v>258</v>
      </c>
      <c r="I556" s="10" t="s">
        <v>259</v>
      </c>
      <c r="J556" s="10" t="s">
        <v>70</v>
      </c>
      <c r="K556" s="10" t="s">
        <v>86</v>
      </c>
      <c r="L556" s="10" t="s">
        <v>1791</v>
      </c>
      <c r="M556" s="10" t="s">
        <v>88</v>
      </c>
      <c r="N556" s="12">
        <v>4</v>
      </c>
      <c r="O556" s="12">
        <v>1071.22</v>
      </c>
      <c r="P556" s="12">
        <v>0.05</v>
      </c>
      <c r="Q556" s="12">
        <v>4070.64</v>
      </c>
      <c r="R556" s="12">
        <v>2831.62</v>
      </c>
      <c r="S556" s="12">
        <v>1239.02</v>
      </c>
      <c r="T556" s="10" t="s">
        <v>61</v>
      </c>
      <c r="U556" s="13" t="s">
        <v>62</v>
      </c>
      <c r="V556" s="14" t="e">
        <f t="shared" ca="1" si="0"/>
        <v>#NAME?</v>
      </c>
      <c r="W556" s="10" t="str">
        <f ca="1">IFERROR(__xludf.DUMMYFUNCTION("IF(COUNTIF($A:$A,A550)=1,
""Unique"",
IF(COUNTUNIQUE(FILTER($V$2:$V$934,$A$2:$A$934=A550))&gt;1,
""Conflicting Duplicate"",
""Exact Duplicate""))"),"Unique")</f>
        <v>Unique</v>
      </c>
      <c r="X556" s="10" t="b">
        <f t="shared" ca="1" si="1"/>
        <v>1</v>
      </c>
      <c r="Y556" s="10" t="str">
        <f t="shared" si="2"/>
        <v>Unique</v>
      </c>
      <c r="Z556" s="10"/>
      <c r="AA556" s="10" t="str">
        <f t="shared" si="3"/>
        <v>Warning</v>
      </c>
      <c r="AB556" s="15" t="str">
        <f t="shared" si="4"/>
        <v>Valid</v>
      </c>
      <c r="AC556" s="15">
        <v>5</v>
      </c>
      <c r="AD556" s="16" t="str">
        <f t="shared" si="5"/>
        <v>Valid</v>
      </c>
      <c r="AE556" s="16" t="str">
        <f t="shared" si="6"/>
        <v>Valid</v>
      </c>
      <c r="AF556" s="16" t="str">
        <f t="shared" ref="AF556:AG556" si="1123">IF(ISNUMBER(B556),"Valid","Invalid")</f>
        <v>Valid</v>
      </c>
      <c r="AG556" s="16" t="str">
        <f t="shared" si="1123"/>
        <v>Valid</v>
      </c>
      <c r="AH556" s="16" t="str">
        <f t="shared" ref="AH556:AI556" si="1124">IF(OR(B556="",ISBLANK(B556)),"Missing","Valid")</f>
        <v>Valid</v>
      </c>
      <c r="AI556" s="16" t="str">
        <f t="shared" si="1124"/>
        <v>Valid</v>
      </c>
      <c r="AJ556" s="16" t="b">
        <v>1</v>
      </c>
      <c r="AK556" s="16" t="b">
        <v>0</v>
      </c>
      <c r="AL556" s="16" t="b">
        <v>0</v>
      </c>
      <c r="AM556" s="16" t="b">
        <v>0</v>
      </c>
      <c r="AN556" s="16" t="b">
        <v>0</v>
      </c>
      <c r="AO556" s="16" t="b">
        <v>0</v>
      </c>
      <c r="AP556" s="16" t="b">
        <v>1</v>
      </c>
      <c r="AQ556" s="17">
        <f t="shared" si="9"/>
        <v>0.05</v>
      </c>
      <c r="AR556" s="12">
        <f t="shared" si="10"/>
        <v>4070.636</v>
      </c>
      <c r="AS556" s="18">
        <f t="shared" si="11"/>
        <v>3.9999999999054126E-3</v>
      </c>
      <c r="AT556" s="12">
        <f t="shared" si="12"/>
        <v>1239.0160000000001</v>
      </c>
      <c r="AU556" s="18">
        <f t="shared" si="13"/>
        <v>3.9999999999054126E-3</v>
      </c>
      <c r="AV556" s="19">
        <f t="shared" si="14"/>
        <v>0.30437897173807732</v>
      </c>
      <c r="AW556" s="20" t="str">
        <f t="shared" si="15"/>
        <v>October</v>
      </c>
      <c r="AX556" s="21">
        <f t="shared" si="16"/>
        <v>2024</v>
      </c>
    </row>
    <row r="557" spans="1:50" ht="15.75" customHeight="1">
      <c r="A557" s="10" t="s">
        <v>1792</v>
      </c>
      <c r="B557" s="11">
        <v>45692</v>
      </c>
      <c r="C557" s="11">
        <v>45698</v>
      </c>
      <c r="D557" s="10" t="s">
        <v>1793</v>
      </c>
      <c r="E557" s="10" t="s">
        <v>91</v>
      </c>
      <c r="F557" s="10" t="s">
        <v>66</v>
      </c>
      <c r="G557" s="10" t="s">
        <v>83</v>
      </c>
      <c r="H557" s="10" t="s">
        <v>84</v>
      </c>
      <c r="I557" s="10" t="s">
        <v>85</v>
      </c>
      <c r="J557" s="10" t="s">
        <v>57</v>
      </c>
      <c r="K557" s="10" t="s">
        <v>153</v>
      </c>
      <c r="L557" s="10" t="s">
        <v>1794</v>
      </c>
      <c r="M557" s="10" t="s">
        <v>88</v>
      </c>
      <c r="N557" s="12">
        <v>6</v>
      </c>
      <c r="O557" s="12">
        <v>1042.8</v>
      </c>
      <c r="P557" s="12">
        <v>0.05</v>
      </c>
      <c r="Q557" s="12">
        <v>5943.96</v>
      </c>
      <c r="R557" s="12">
        <v>3604.14</v>
      </c>
      <c r="S557" s="12">
        <v>2339.8200000000002</v>
      </c>
      <c r="T557" s="10" t="s">
        <v>61</v>
      </c>
      <c r="U557" s="13" t="s">
        <v>62</v>
      </c>
      <c r="V557" s="14" t="e">
        <f t="shared" ca="1" si="0"/>
        <v>#NAME?</v>
      </c>
      <c r="W557" s="10" t="str">
        <f ca="1">IFERROR(__xludf.DUMMYFUNCTION("IF(COUNTIF($A:$A,A551)=1,
""Unique"",
IF(COUNTUNIQUE(FILTER($V$2:$V$934,$A$2:$A$934=A551))&gt;1,
""Conflicting Duplicate"",
""Exact Duplicate""))"),"Exact Duplicate")</f>
        <v>Exact Duplicate</v>
      </c>
      <c r="X557" s="10" t="b">
        <f t="shared" ca="1" si="1"/>
        <v>1</v>
      </c>
      <c r="Y557" s="10" t="str">
        <f t="shared" si="2"/>
        <v>Unique</v>
      </c>
      <c r="Z557" s="10"/>
      <c r="AA557" s="10" t="str">
        <f t="shared" si="3"/>
        <v>Clean</v>
      </c>
      <c r="AB557" s="15" t="str">
        <f t="shared" si="4"/>
        <v>Valid</v>
      </c>
      <c r="AC557" s="15">
        <v>6</v>
      </c>
      <c r="AD557" s="16" t="str">
        <f t="shared" si="5"/>
        <v>Valid</v>
      </c>
      <c r="AE557" s="16" t="str">
        <f t="shared" si="6"/>
        <v>Valid</v>
      </c>
      <c r="AF557" s="16" t="str">
        <f t="shared" ref="AF557:AG557" si="1125">IF(ISNUMBER(B557),"Valid","Invalid")</f>
        <v>Valid</v>
      </c>
      <c r="AG557" s="16" t="str">
        <f t="shared" si="1125"/>
        <v>Valid</v>
      </c>
      <c r="AH557" s="16" t="str">
        <f t="shared" ref="AH557:AI557" si="1126">IF(OR(B557="",ISBLANK(B557)),"Missing","Valid")</f>
        <v>Valid</v>
      </c>
      <c r="AI557" s="16" t="str">
        <f t="shared" si="1126"/>
        <v>Valid</v>
      </c>
      <c r="AJ557" s="16" t="b">
        <v>0</v>
      </c>
      <c r="AK557" s="16" t="b">
        <v>0</v>
      </c>
      <c r="AL557" s="16" t="b">
        <v>0</v>
      </c>
      <c r="AM557" s="16" t="b">
        <v>0</v>
      </c>
      <c r="AN557" s="16" t="b">
        <v>0</v>
      </c>
      <c r="AO557" s="16" t="b">
        <v>0</v>
      </c>
      <c r="AP557" s="16" t="b">
        <v>0</v>
      </c>
      <c r="AQ557" s="17">
        <f t="shared" si="9"/>
        <v>0.05</v>
      </c>
      <c r="AR557" s="12">
        <f t="shared" si="10"/>
        <v>5943.9599999999991</v>
      </c>
      <c r="AS557" s="18">
        <f t="shared" si="11"/>
        <v>0</v>
      </c>
      <c r="AT557" s="12">
        <f t="shared" si="12"/>
        <v>2339.8199999999993</v>
      </c>
      <c r="AU557" s="18">
        <f t="shared" si="13"/>
        <v>0</v>
      </c>
      <c r="AV557" s="19">
        <f t="shared" si="14"/>
        <v>0.39364665980255581</v>
      </c>
      <c r="AW557" s="20" t="str">
        <f t="shared" si="15"/>
        <v>February</v>
      </c>
      <c r="AX557" s="21">
        <f t="shared" si="16"/>
        <v>2025</v>
      </c>
    </row>
    <row r="558" spans="1:50" ht="15.75" customHeight="1">
      <c r="A558" s="10" t="s">
        <v>1795</v>
      </c>
      <c r="B558" s="11">
        <v>45466</v>
      </c>
      <c r="C558" s="11">
        <v>45472</v>
      </c>
      <c r="D558" s="10" t="s">
        <v>1796</v>
      </c>
      <c r="E558" s="10" t="s">
        <v>108</v>
      </c>
      <c r="F558" s="10" t="s">
        <v>53</v>
      </c>
      <c r="G558" s="10" t="s">
        <v>54</v>
      </c>
      <c r="H558" s="10" t="s">
        <v>266</v>
      </c>
      <c r="I558" s="10" t="s">
        <v>267</v>
      </c>
      <c r="J558" s="10" t="s">
        <v>70</v>
      </c>
      <c r="K558" s="10" t="s">
        <v>71</v>
      </c>
      <c r="L558" s="10" t="s">
        <v>1797</v>
      </c>
      <c r="M558" s="10" t="s">
        <v>79</v>
      </c>
      <c r="N558" s="12">
        <v>1</v>
      </c>
      <c r="O558" s="12">
        <v>4426.66</v>
      </c>
      <c r="P558" s="12">
        <v>0</v>
      </c>
      <c r="Q558" s="12">
        <v>4426.66</v>
      </c>
      <c r="R558" s="12">
        <v>3035.2</v>
      </c>
      <c r="S558" s="12">
        <v>1816.23</v>
      </c>
      <c r="T558" s="10" t="s">
        <v>61</v>
      </c>
      <c r="U558" s="13" t="s">
        <v>132</v>
      </c>
      <c r="V558" s="14" t="e">
        <f t="shared" ca="1" si="0"/>
        <v>#NAME?</v>
      </c>
      <c r="W558" s="10" t="str">
        <f ca="1">IFERROR(__xludf.DUMMYFUNCTION("IF(COUNTIF($A:$A,A552)=1,
""Unique"",
IF(COUNTUNIQUE(FILTER($V$2:$V$934,$A$2:$A$934=A552))&gt;1,
""Conflicting Duplicate"",
""Exact Duplicate""))"),"Unique")</f>
        <v>Unique</v>
      </c>
      <c r="X558" s="10" t="b">
        <f t="shared" ca="1" si="1"/>
        <v>1</v>
      </c>
      <c r="Y558" s="10" t="str">
        <f t="shared" si="2"/>
        <v>Unique</v>
      </c>
      <c r="Z558" s="10"/>
      <c r="AA558" s="10" t="str">
        <f t="shared" si="3"/>
        <v>Clean</v>
      </c>
      <c r="AB558" s="15" t="str">
        <f t="shared" si="4"/>
        <v>Valid</v>
      </c>
      <c r="AC558" s="15">
        <v>6</v>
      </c>
      <c r="AD558" s="16" t="str">
        <f t="shared" si="5"/>
        <v>Valid</v>
      </c>
      <c r="AE558" s="16" t="str">
        <f t="shared" si="6"/>
        <v>Valid</v>
      </c>
      <c r="AF558" s="16" t="str">
        <f t="shared" ref="AF558:AG558" si="1127">IF(ISNUMBER(B558),"Valid","Invalid")</f>
        <v>Valid</v>
      </c>
      <c r="AG558" s="16" t="str">
        <f t="shared" si="1127"/>
        <v>Valid</v>
      </c>
      <c r="AH558" s="16" t="str">
        <f t="shared" ref="AH558:AI558" si="1128">IF(OR(B558="",ISBLANK(B558)),"Missing","Valid")</f>
        <v>Valid</v>
      </c>
      <c r="AI558" s="16" t="str">
        <f t="shared" si="1128"/>
        <v>Valid</v>
      </c>
      <c r="AJ558" s="16" t="b">
        <v>0</v>
      </c>
      <c r="AK558" s="16" t="b">
        <v>0</v>
      </c>
      <c r="AL558" s="16" t="b">
        <v>0</v>
      </c>
      <c r="AM558" s="16" t="b">
        <v>0</v>
      </c>
      <c r="AN558" s="16" t="b">
        <v>0</v>
      </c>
      <c r="AO558" s="16" t="b">
        <v>0</v>
      </c>
      <c r="AP558" s="16" t="b">
        <v>0</v>
      </c>
      <c r="AQ558" s="17">
        <f t="shared" si="9"/>
        <v>0</v>
      </c>
      <c r="AR558" s="12">
        <f t="shared" si="10"/>
        <v>4426.66</v>
      </c>
      <c r="AS558" s="18">
        <f t="shared" si="11"/>
        <v>0</v>
      </c>
      <c r="AT558" s="12">
        <f t="shared" si="12"/>
        <v>1391.46</v>
      </c>
      <c r="AU558" s="18">
        <f t="shared" si="13"/>
        <v>424.77</v>
      </c>
      <c r="AV558" s="19">
        <f t="shared" si="14"/>
        <v>0.31433631677156143</v>
      </c>
      <c r="AW558" s="20" t="str">
        <f t="shared" si="15"/>
        <v>June</v>
      </c>
      <c r="AX558" s="21">
        <f t="shared" si="16"/>
        <v>2024</v>
      </c>
    </row>
    <row r="559" spans="1:50" ht="15.75" customHeight="1">
      <c r="A559" s="10" t="s">
        <v>1798</v>
      </c>
      <c r="B559" s="11">
        <v>45420</v>
      </c>
      <c r="C559" s="11">
        <v>45426</v>
      </c>
      <c r="D559" s="10" t="s">
        <v>1799</v>
      </c>
      <c r="E559" s="10" t="s">
        <v>100</v>
      </c>
      <c r="F559" s="10" t="s">
        <v>124</v>
      </c>
      <c r="G559" s="10" t="s">
        <v>54</v>
      </c>
      <c r="H559" s="10" t="s">
        <v>266</v>
      </c>
      <c r="I559" s="10" t="s">
        <v>267</v>
      </c>
      <c r="J559" s="10" t="s">
        <v>103</v>
      </c>
      <c r="K559" s="10" t="s">
        <v>200</v>
      </c>
      <c r="L559" s="10" t="s">
        <v>1800</v>
      </c>
      <c r="M559" s="10" t="s">
        <v>79</v>
      </c>
      <c r="N559" s="12">
        <v>9</v>
      </c>
      <c r="O559" s="12">
        <v>3769.46</v>
      </c>
      <c r="P559" s="12">
        <v>0.05</v>
      </c>
      <c r="Q559" s="12">
        <v>32228.880000000001</v>
      </c>
      <c r="R559" s="12">
        <v>24971.360000000001</v>
      </c>
      <c r="S559" s="12">
        <v>7257.52</v>
      </c>
      <c r="T559" s="10" t="s">
        <v>61</v>
      </c>
      <c r="U559" s="13" t="s">
        <v>97</v>
      </c>
      <c r="V559" s="14" t="e">
        <f t="shared" ca="1" si="0"/>
        <v>#NAME?</v>
      </c>
      <c r="W559" s="10" t="str">
        <f ca="1">IFERROR(__xludf.DUMMYFUNCTION("IF(COUNTIF($A:$A,A553)=1,
""Unique"",
IF(COUNTUNIQUE(FILTER($V$2:$V$934,$A$2:$A$934=A553))&gt;1,
""Conflicting Duplicate"",
""Exact Duplicate""))"),"Unique")</f>
        <v>Unique</v>
      </c>
      <c r="X559" s="10" t="b">
        <f t="shared" ca="1" si="1"/>
        <v>1</v>
      </c>
      <c r="Y559" s="10" t="str">
        <f t="shared" si="2"/>
        <v>Unique</v>
      </c>
      <c r="Z559" s="10"/>
      <c r="AA559" s="10" t="str">
        <f t="shared" si="3"/>
        <v>Clean</v>
      </c>
      <c r="AB559" s="15" t="str">
        <f t="shared" si="4"/>
        <v>Valid</v>
      </c>
      <c r="AC559" s="15">
        <v>6</v>
      </c>
      <c r="AD559" s="16" t="str">
        <f t="shared" si="5"/>
        <v>Valid</v>
      </c>
      <c r="AE559" s="16" t="str">
        <f t="shared" si="6"/>
        <v>Valid</v>
      </c>
      <c r="AF559" s="16" t="str">
        <f t="shared" ref="AF559:AG559" si="1129">IF(ISNUMBER(B559),"Valid","Invalid")</f>
        <v>Valid</v>
      </c>
      <c r="AG559" s="16" t="str">
        <f t="shared" si="1129"/>
        <v>Valid</v>
      </c>
      <c r="AH559" s="16" t="str">
        <f t="shared" ref="AH559:AI559" si="1130">IF(OR(B559="",ISBLANK(B559)),"Missing","Valid")</f>
        <v>Valid</v>
      </c>
      <c r="AI559" s="16" t="str">
        <f t="shared" si="1130"/>
        <v>Valid</v>
      </c>
      <c r="AJ559" s="16" t="b">
        <v>0</v>
      </c>
      <c r="AK559" s="16" t="b">
        <v>0</v>
      </c>
      <c r="AL559" s="16" t="b">
        <v>0</v>
      </c>
      <c r="AM559" s="16" t="b">
        <v>0</v>
      </c>
      <c r="AN559" s="16" t="b">
        <v>0</v>
      </c>
      <c r="AO559" s="16" t="b">
        <v>0</v>
      </c>
      <c r="AP559" s="16" t="b">
        <v>0</v>
      </c>
      <c r="AQ559" s="17">
        <f t="shared" si="9"/>
        <v>0.05</v>
      </c>
      <c r="AR559" s="12">
        <f t="shared" si="10"/>
        <v>32228.882999999998</v>
      </c>
      <c r="AS559" s="18">
        <f t="shared" si="11"/>
        <v>-2.9999999969732016E-3</v>
      </c>
      <c r="AT559" s="12">
        <f t="shared" si="12"/>
        <v>7257.5229999999974</v>
      </c>
      <c r="AU559" s="18">
        <f t="shared" si="13"/>
        <v>-2.9999999969732016E-3</v>
      </c>
      <c r="AV559" s="19">
        <f t="shared" si="14"/>
        <v>0.22518692317074712</v>
      </c>
      <c r="AW559" s="20" t="str">
        <f t="shared" si="15"/>
        <v>May</v>
      </c>
      <c r="AX559" s="21">
        <f t="shared" si="16"/>
        <v>2024</v>
      </c>
    </row>
    <row r="560" spans="1:50" ht="15.75" customHeight="1">
      <c r="A560" s="10" t="s">
        <v>1801</v>
      </c>
      <c r="B560" s="11">
        <v>45904</v>
      </c>
      <c r="C560" s="11">
        <v>45904</v>
      </c>
      <c r="D560" s="10" t="s">
        <v>1802</v>
      </c>
      <c r="E560" s="10" t="s">
        <v>118</v>
      </c>
      <c r="F560" s="10" t="s">
        <v>119</v>
      </c>
      <c r="G560" s="10" t="s">
        <v>54</v>
      </c>
      <c r="H560" s="10" t="s">
        <v>151</v>
      </c>
      <c r="I560" s="10" t="s">
        <v>152</v>
      </c>
      <c r="J560" s="10" t="s">
        <v>103</v>
      </c>
      <c r="K560" s="10" t="s">
        <v>304</v>
      </c>
      <c r="L560" s="10" t="s">
        <v>1803</v>
      </c>
      <c r="M560" s="10" t="s">
        <v>79</v>
      </c>
      <c r="N560" s="12">
        <v>8</v>
      </c>
      <c r="O560" s="12">
        <v>3079.95</v>
      </c>
      <c r="P560" s="12">
        <v>0.2</v>
      </c>
      <c r="Q560" s="12">
        <v>19711.68</v>
      </c>
      <c r="R560" s="12">
        <v>14461.8</v>
      </c>
      <c r="S560" s="12">
        <v>5249.88</v>
      </c>
      <c r="T560" s="10" t="s">
        <v>61</v>
      </c>
      <c r="U560" s="13" t="s">
        <v>62</v>
      </c>
      <c r="V560" s="14" t="e">
        <f t="shared" ca="1" si="0"/>
        <v>#NAME?</v>
      </c>
      <c r="W560" s="10" t="str">
        <f ca="1">IFERROR(__xludf.DUMMYFUNCTION("IF(COUNTIF($A:$A,A554)=1,
""Unique"",
IF(COUNTUNIQUE(FILTER($V$2:$V$934,$A$2:$A$934=A554))&gt;1,
""Conflicting Duplicate"",
""Exact Duplicate""))"),"Unique")</f>
        <v>Unique</v>
      </c>
      <c r="X560" s="10" t="b">
        <f t="shared" ca="1" si="1"/>
        <v>1</v>
      </c>
      <c r="Y560" s="10" t="str">
        <f t="shared" si="2"/>
        <v>Unique</v>
      </c>
      <c r="Z560" s="10"/>
      <c r="AA560" s="10" t="str">
        <f t="shared" si="3"/>
        <v>Clean</v>
      </c>
      <c r="AB560" s="15" t="str">
        <f t="shared" si="4"/>
        <v>Valid</v>
      </c>
      <c r="AC560" s="15">
        <v>0</v>
      </c>
      <c r="AD560" s="16" t="str">
        <f t="shared" si="5"/>
        <v>Valid</v>
      </c>
      <c r="AE560" s="16" t="str">
        <f t="shared" si="6"/>
        <v>Valid</v>
      </c>
      <c r="AF560" s="16" t="str">
        <f t="shared" ref="AF560:AG560" si="1131">IF(ISNUMBER(B560),"Valid","Invalid")</f>
        <v>Valid</v>
      </c>
      <c r="AG560" s="16" t="str">
        <f t="shared" si="1131"/>
        <v>Valid</v>
      </c>
      <c r="AH560" s="16" t="str">
        <f t="shared" ref="AH560:AI560" si="1132">IF(OR(B560="",ISBLANK(B560)),"Missing","Valid")</f>
        <v>Valid</v>
      </c>
      <c r="AI560" s="16" t="str">
        <f t="shared" si="1132"/>
        <v>Valid</v>
      </c>
      <c r="AJ560" s="16" t="b">
        <v>0</v>
      </c>
      <c r="AK560" s="16" t="b">
        <v>0</v>
      </c>
      <c r="AL560" s="16" t="b">
        <v>0</v>
      </c>
      <c r="AM560" s="16" t="b">
        <v>0</v>
      </c>
      <c r="AN560" s="16" t="b">
        <v>0</v>
      </c>
      <c r="AO560" s="16" t="b">
        <v>0</v>
      </c>
      <c r="AP560" s="16" t="b">
        <v>0</v>
      </c>
      <c r="AQ560" s="17">
        <f t="shared" si="9"/>
        <v>0.2</v>
      </c>
      <c r="AR560" s="12">
        <f t="shared" si="10"/>
        <v>19711.68</v>
      </c>
      <c r="AS560" s="18">
        <f t="shared" si="11"/>
        <v>0</v>
      </c>
      <c r="AT560" s="12">
        <f t="shared" si="12"/>
        <v>5249.880000000001</v>
      </c>
      <c r="AU560" s="18">
        <f t="shared" si="13"/>
        <v>0</v>
      </c>
      <c r="AV560" s="19">
        <f t="shared" si="14"/>
        <v>0.26633346320557155</v>
      </c>
      <c r="AW560" s="20" t="str">
        <f t="shared" si="15"/>
        <v>September</v>
      </c>
      <c r="AX560" s="21">
        <f t="shared" si="16"/>
        <v>2025</v>
      </c>
    </row>
    <row r="561" spans="1:50" ht="15.75" customHeight="1">
      <c r="A561" s="10" t="s">
        <v>1804</v>
      </c>
      <c r="B561" s="11">
        <v>45930</v>
      </c>
      <c r="C561" s="11">
        <v>45937</v>
      </c>
      <c r="D561" s="10" t="s">
        <v>1805</v>
      </c>
      <c r="E561" s="10" t="s">
        <v>191</v>
      </c>
      <c r="F561" s="10" t="s">
        <v>119</v>
      </c>
      <c r="G561" s="10" t="s">
        <v>67</v>
      </c>
      <c r="H561" s="10" t="s">
        <v>174</v>
      </c>
      <c r="I561" s="10" t="s">
        <v>175</v>
      </c>
      <c r="J561" s="10" t="s">
        <v>103</v>
      </c>
      <c r="K561" s="10" t="s">
        <v>109</v>
      </c>
      <c r="L561" s="10" t="s">
        <v>1806</v>
      </c>
      <c r="M561" s="10" t="s">
        <v>60</v>
      </c>
      <c r="N561" s="12">
        <v>5</v>
      </c>
      <c r="O561" s="12">
        <v>3277.82</v>
      </c>
      <c r="P561" s="12">
        <v>0.1</v>
      </c>
      <c r="Q561" s="12">
        <v>14750.19</v>
      </c>
      <c r="R561" s="12">
        <v>9482.58</v>
      </c>
      <c r="S561" s="12">
        <v>5267.61</v>
      </c>
      <c r="T561" s="10" t="s">
        <v>61</v>
      </c>
      <c r="U561" s="13" t="s">
        <v>132</v>
      </c>
      <c r="V561" s="14" t="e">
        <f t="shared" ca="1" si="0"/>
        <v>#NAME?</v>
      </c>
      <c r="W561" s="10" t="str">
        <f ca="1">IFERROR(__xludf.DUMMYFUNCTION("IF(COUNTIF($A:$A,A555)=1,
""Unique"",
IF(COUNTUNIQUE(FILTER($V$2:$V$934,$A$2:$A$934=A555))&gt;1,
""Conflicting Duplicate"",
""Exact Duplicate""))"),"Unique")</f>
        <v>Unique</v>
      </c>
      <c r="X561" s="10" t="b">
        <f t="shared" ca="1" si="1"/>
        <v>1</v>
      </c>
      <c r="Y561" s="10" t="str">
        <f t="shared" si="2"/>
        <v>Unique</v>
      </c>
      <c r="Z561" s="10"/>
      <c r="AA561" s="10" t="str">
        <f t="shared" si="3"/>
        <v>Clean</v>
      </c>
      <c r="AB561" s="15" t="str">
        <f t="shared" si="4"/>
        <v>Valid</v>
      </c>
      <c r="AC561" s="15">
        <v>7</v>
      </c>
      <c r="AD561" s="16" t="str">
        <f t="shared" si="5"/>
        <v>Valid</v>
      </c>
      <c r="AE561" s="16" t="str">
        <f t="shared" si="6"/>
        <v>Valid</v>
      </c>
      <c r="AF561" s="16" t="str">
        <f t="shared" ref="AF561:AG561" si="1133">IF(ISNUMBER(B561),"Valid","Invalid")</f>
        <v>Valid</v>
      </c>
      <c r="AG561" s="16" t="str">
        <f t="shared" si="1133"/>
        <v>Valid</v>
      </c>
      <c r="AH561" s="16" t="str">
        <f t="shared" ref="AH561:AI561" si="1134">IF(OR(B561="",ISBLANK(B561)),"Missing","Valid")</f>
        <v>Valid</v>
      </c>
      <c r="AI561" s="16" t="str">
        <f t="shared" si="1134"/>
        <v>Valid</v>
      </c>
      <c r="AJ561" s="16" t="b">
        <v>0</v>
      </c>
      <c r="AK561" s="16" t="b">
        <v>0</v>
      </c>
      <c r="AL561" s="16" t="b">
        <v>0</v>
      </c>
      <c r="AM561" s="16" t="b">
        <v>0</v>
      </c>
      <c r="AN561" s="16" t="b">
        <v>0</v>
      </c>
      <c r="AO561" s="16" t="b">
        <v>0</v>
      </c>
      <c r="AP561" s="16" t="b">
        <v>0</v>
      </c>
      <c r="AQ561" s="17">
        <f t="shared" si="9"/>
        <v>0.1</v>
      </c>
      <c r="AR561" s="12">
        <f t="shared" si="10"/>
        <v>14750.190000000002</v>
      </c>
      <c r="AS561" s="18">
        <f t="shared" si="11"/>
        <v>0</v>
      </c>
      <c r="AT561" s="12">
        <f t="shared" si="12"/>
        <v>5267.6100000000024</v>
      </c>
      <c r="AU561" s="18">
        <f t="shared" si="13"/>
        <v>0</v>
      </c>
      <c r="AV561" s="19">
        <f t="shared" si="14"/>
        <v>0.35712150148574368</v>
      </c>
      <c r="AW561" s="20" t="str">
        <f t="shared" si="15"/>
        <v>September</v>
      </c>
      <c r="AX561" s="21">
        <f t="shared" si="16"/>
        <v>2025</v>
      </c>
    </row>
    <row r="562" spans="1:50" ht="15.75" customHeight="1">
      <c r="A562" s="10" t="s">
        <v>1807</v>
      </c>
      <c r="B562" s="11">
        <v>45307</v>
      </c>
      <c r="C562" s="11">
        <v>45313</v>
      </c>
      <c r="D562" s="10" t="s">
        <v>1808</v>
      </c>
      <c r="E562" s="10" t="s">
        <v>82</v>
      </c>
      <c r="F562" s="10" t="s">
        <v>53</v>
      </c>
      <c r="G562" s="10" t="s">
        <v>92</v>
      </c>
      <c r="H562" s="10" t="s">
        <v>219</v>
      </c>
      <c r="I562" s="10" t="s">
        <v>220</v>
      </c>
      <c r="J562" s="10" t="s">
        <v>57</v>
      </c>
      <c r="K562" s="10" t="s">
        <v>153</v>
      </c>
      <c r="L562" s="10" t="s">
        <v>1809</v>
      </c>
      <c r="M562" s="10" t="s">
        <v>88</v>
      </c>
      <c r="N562" s="12">
        <v>4</v>
      </c>
      <c r="O562" s="12">
        <v>282.52999999999997</v>
      </c>
      <c r="P562" s="12">
        <v>0</v>
      </c>
      <c r="Q562" s="12">
        <v>1130.1199999999999</v>
      </c>
      <c r="R562" s="12">
        <v>848.62</v>
      </c>
      <c r="S562" s="12">
        <v>281.5</v>
      </c>
      <c r="T562" s="10" t="s">
        <v>61</v>
      </c>
      <c r="U562" s="13" t="s">
        <v>97</v>
      </c>
      <c r="V562" s="14" t="e">
        <f t="shared" ca="1" si="0"/>
        <v>#NAME?</v>
      </c>
      <c r="W562" s="10" t="str">
        <f ca="1">IFERROR(__xludf.DUMMYFUNCTION("IF(COUNTIF($A:$A,A556)=1,
""Unique"",
IF(COUNTUNIQUE(FILTER($V$2:$V$934,$A$2:$A$934=A556))&gt;1,
""Conflicting Duplicate"",
""Exact Duplicate""))"),"Unique")</f>
        <v>Unique</v>
      </c>
      <c r="X562" s="10" t="b">
        <f t="shared" ca="1" si="1"/>
        <v>1</v>
      </c>
      <c r="Y562" s="10" t="str">
        <f t="shared" si="2"/>
        <v>Unique</v>
      </c>
      <c r="Z562" s="10"/>
      <c r="AA562" s="10" t="str">
        <f t="shared" si="3"/>
        <v>Clean</v>
      </c>
      <c r="AB562" s="15" t="str">
        <f t="shared" si="4"/>
        <v>Valid</v>
      </c>
      <c r="AC562" s="15">
        <v>6</v>
      </c>
      <c r="AD562" s="16" t="str">
        <f t="shared" si="5"/>
        <v>Valid</v>
      </c>
      <c r="AE562" s="16" t="str">
        <f t="shared" si="6"/>
        <v>Valid</v>
      </c>
      <c r="AF562" s="16" t="str">
        <f t="shared" ref="AF562:AG562" si="1135">IF(ISNUMBER(B562),"Valid","Invalid")</f>
        <v>Valid</v>
      </c>
      <c r="AG562" s="16" t="str">
        <f t="shared" si="1135"/>
        <v>Valid</v>
      </c>
      <c r="AH562" s="16" t="str">
        <f t="shared" ref="AH562:AI562" si="1136">IF(OR(B562="",ISBLANK(B562)),"Missing","Valid")</f>
        <v>Valid</v>
      </c>
      <c r="AI562" s="16" t="str">
        <f t="shared" si="1136"/>
        <v>Valid</v>
      </c>
      <c r="AJ562" s="16" t="b">
        <v>0</v>
      </c>
      <c r="AK562" s="16" t="b">
        <v>0</v>
      </c>
      <c r="AL562" s="16" t="b">
        <v>0</v>
      </c>
      <c r="AM562" s="16" t="b">
        <v>0</v>
      </c>
      <c r="AN562" s="16" t="b">
        <v>0</v>
      </c>
      <c r="AO562" s="16" t="b">
        <v>0</v>
      </c>
      <c r="AP562" s="16" t="b">
        <v>0</v>
      </c>
      <c r="AQ562" s="17">
        <f t="shared" si="9"/>
        <v>0</v>
      </c>
      <c r="AR562" s="12">
        <f t="shared" si="10"/>
        <v>1130.1199999999999</v>
      </c>
      <c r="AS562" s="18">
        <f t="shared" si="11"/>
        <v>0</v>
      </c>
      <c r="AT562" s="12">
        <f t="shared" si="12"/>
        <v>281.49999999999989</v>
      </c>
      <c r="AU562" s="18">
        <f t="shared" si="13"/>
        <v>0</v>
      </c>
      <c r="AV562" s="19">
        <f t="shared" si="14"/>
        <v>0.249088592361873</v>
      </c>
      <c r="AW562" s="20" t="str">
        <f t="shared" si="15"/>
        <v>January</v>
      </c>
      <c r="AX562" s="21">
        <f t="shared" si="16"/>
        <v>2024</v>
      </c>
    </row>
    <row r="563" spans="1:50" ht="15.75" customHeight="1">
      <c r="A563" s="10" t="s">
        <v>1810</v>
      </c>
      <c r="B563" s="11">
        <v>45852</v>
      </c>
      <c r="C563" s="11">
        <v>45856</v>
      </c>
      <c r="D563" s="10" t="s">
        <v>1811</v>
      </c>
      <c r="E563" s="10" t="s">
        <v>118</v>
      </c>
      <c r="F563" s="10" t="s">
        <v>53</v>
      </c>
      <c r="G563" s="10" t="s">
        <v>54</v>
      </c>
      <c r="H563" s="10" t="s">
        <v>151</v>
      </c>
      <c r="I563" s="10" t="s">
        <v>152</v>
      </c>
      <c r="J563" s="10" t="s">
        <v>103</v>
      </c>
      <c r="K563" s="10" t="s">
        <v>109</v>
      </c>
      <c r="L563" s="10" t="s">
        <v>1812</v>
      </c>
      <c r="M563" s="10" t="s">
        <v>79</v>
      </c>
      <c r="N563" s="12">
        <v>4</v>
      </c>
      <c r="O563" s="12">
        <v>725.22</v>
      </c>
      <c r="P563" s="12">
        <v>0</v>
      </c>
      <c r="Q563" s="12">
        <v>2900.88</v>
      </c>
      <c r="R563" s="12">
        <v>2391.85</v>
      </c>
      <c r="S563" s="12">
        <v>509.03</v>
      </c>
      <c r="T563" s="10" t="s">
        <v>140</v>
      </c>
      <c r="U563" s="13" t="s">
        <v>132</v>
      </c>
      <c r="V563" s="14" t="e">
        <f t="shared" ca="1" si="0"/>
        <v>#NAME?</v>
      </c>
      <c r="W563" s="10" t="str">
        <f ca="1">IFERROR(__xludf.DUMMYFUNCTION("IF(COUNTIF($A:$A,A557)=1,
""Unique"",
IF(COUNTUNIQUE(FILTER($V$2:$V$934,$A$2:$A$934=A557))&gt;1,
""Conflicting Duplicate"",
""Exact Duplicate""))"),"Unique")</f>
        <v>Unique</v>
      </c>
      <c r="X563" s="10" t="b">
        <f t="shared" ca="1" si="1"/>
        <v>1</v>
      </c>
      <c r="Y563" s="10" t="str">
        <f t="shared" si="2"/>
        <v>Unique</v>
      </c>
      <c r="Z563" s="10"/>
      <c r="AA563" s="10" t="str">
        <f t="shared" si="3"/>
        <v>Clean</v>
      </c>
      <c r="AB563" s="15" t="str">
        <f t="shared" si="4"/>
        <v>Valid</v>
      </c>
      <c r="AC563" s="15">
        <v>4</v>
      </c>
      <c r="AD563" s="16" t="str">
        <f t="shared" si="5"/>
        <v>Valid</v>
      </c>
      <c r="AE563" s="16" t="str">
        <f t="shared" si="6"/>
        <v>Valid</v>
      </c>
      <c r="AF563" s="16" t="str">
        <f t="shared" ref="AF563:AG563" si="1137">IF(ISNUMBER(B563),"Valid","Invalid")</f>
        <v>Valid</v>
      </c>
      <c r="AG563" s="16" t="str">
        <f t="shared" si="1137"/>
        <v>Valid</v>
      </c>
      <c r="AH563" s="16" t="str">
        <f t="shared" ref="AH563:AI563" si="1138">IF(OR(B563="",ISBLANK(B563)),"Missing","Valid")</f>
        <v>Valid</v>
      </c>
      <c r="AI563" s="16" t="str">
        <f t="shared" si="1138"/>
        <v>Valid</v>
      </c>
      <c r="AJ563" s="16" t="b">
        <v>0</v>
      </c>
      <c r="AK563" s="16" t="b">
        <v>0</v>
      </c>
      <c r="AL563" s="16" t="b">
        <v>0</v>
      </c>
      <c r="AM563" s="16" t="b">
        <v>0</v>
      </c>
      <c r="AN563" s="16" t="b">
        <v>0</v>
      </c>
      <c r="AO563" s="16" t="b">
        <v>0</v>
      </c>
      <c r="AP563" s="16" t="b">
        <v>0</v>
      </c>
      <c r="AQ563" s="17">
        <f t="shared" si="9"/>
        <v>0</v>
      </c>
      <c r="AR563" s="12">
        <f t="shared" si="10"/>
        <v>2900.88</v>
      </c>
      <c r="AS563" s="18">
        <f t="shared" si="11"/>
        <v>0</v>
      </c>
      <c r="AT563" s="12">
        <f t="shared" si="12"/>
        <v>509.0300000000002</v>
      </c>
      <c r="AU563" s="18">
        <f t="shared" si="13"/>
        <v>0</v>
      </c>
      <c r="AV563" s="19">
        <f t="shared" si="14"/>
        <v>0.17547433882132324</v>
      </c>
      <c r="AW563" s="20" t="str">
        <f t="shared" si="15"/>
        <v>July</v>
      </c>
      <c r="AX563" s="21">
        <f t="shared" si="16"/>
        <v>2025</v>
      </c>
    </row>
    <row r="564" spans="1:50" ht="15.75" customHeight="1">
      <c r="A564" s="10" t="s">
        <v>1813</v>
      </c>
      <c r="B564" s="11">
        <v>45422</v>
      </c>
      <c r="C564" s="11">
        <v>45428</v>
      </c>
      <c r="D564" s="10" t="s">
        <v>1814</v>
      </c>
      <c r="E564" s="10" t="s">
        <v>52</v>
      </c>
      <c r="F564" s="10" t="s">
        <v>53</v>
      </c>
      <c r="G564" s="10" t="s">
        <v>54</v>
      </c>
      <c r="H564" s="10" t="s">
        <v>151</v>
      </c>
      <c r="I564" s="10" t="s">
        <v>152</v>
      </c>
      <c r="J564" s="10" t="s">
        <v>57</v>
      </c>
      <c r="K564" s="10" t="s">
        <v>182</v>
      </c>
      <c r="L564" s="10" t="s">
        <v>1815</v>
      </c>
      <c r="M564" s="10" t="s">
        <v>73</v>
      </c>
      <c r="N564" s="12">
        <v>7</v>
      </c>
      <c r="O564" s="12">
        <v>121.54</v>
      </c>
      <c r="P564" s="12">
        <v>0.2</v>
      </c>
      <c r="Q564" s="12">
        <v>680.62</v>
      </c>
      <c r="R564" s="12">
        <v>463.49</v>
      </c>
      <c r="S564" s="12">
        <v>217.13</v>
      </c>
      <c r="T564" s="10" t="s">
        <v>184</v>
      </c>
      <c r="U564" s="13" t="s">
        <v>132</v>
      </c>
      <c r="V564" s="14" t="e">
        <f t="shared" ca="1" si="0"/>
        <v>#NAME?</v>
      </c>
      <c r="W564" s="10" t="str">
        <f ca="1">IFERROR(__xludf.DUMMYFUNCTION("IF(COUNTIF($A:$A,A558)=1,
""Unique"",
IF(COUNTUNIQUE(FILTER($V$2:$V$934,$A$2:$A$934=A558))&gt;1,
""Conflicting Duplicate"",
""Exact Duplicate""))"),"Unique")</f>
        <v>Unique</v>
      </c>
      <c r="X564" s="10" t="b">
        <f t="shared" ca="1" si="1"/>
        <v>1</v>
      </c>
      <c r="Y564" s="10" t="str">
        <f t="shared" si="2"/>
        <v>Unique</v>
      </c>
      <c r="Z564" s="10"/>
      <c r="AA564" s="10" t="str">
        <f t="shared" si="3"/>
        <v>Clean</v>
      </c>
      <c r="AB564" s="15" t="str">
        <f t="shared" si="4"/>
        <v>Valid</v>
      </c>
      <c r="AC564" s="15">
        <v>6</v>
      </c>
      <c r="AD564" s="16" t="str">
        <f t="shared" si="5"/>
        <v>Valid</v>
      </c>
      <c r="AE564" s="16" t="str">
        <f t="shared" si="6"/>
        <v>Valid</v>
      </c>
      <c r="AF564" s="16" t="str">
        <f t="shared" ref="AF564:AG564" si="1139">IF(ISNUMBER(B564),"Valid","Invalid")</f>
        <v>Valid</v>
      </c>
      <c r="AG564" s="16" t="str">
        <f t="shared" si="1139"/>
        <v>Valid</v>
      </c>
      <c r="AH564" s="16" t="str">
        <f t="shared" ref="AH564:AI564" si="1140">IF(OR(B564="",ISBLANK(B564)),"Missing","Valid")</f>
        <v>Valid</v>
      </c>
      <c r="AI564" s="16" t="str">
        <f t="shared" si="1140"/>
        <v>Valid</v>
      </c>
      <c r="AJ564" s="16" t="b">
        <v>0</v>
      </c>
      <c r="AK564" s="16" t="b">
        <v>0</v>
      </c>
      <c r="AL564" s="16" t="b">
        <v>0</v>
      </c>
      <c r="AM564" s="16" t="b">
        <v>0</v>
      </c>
      <c r="AN564" s="16" t="b">
        <v>0</v>
      </c>
      <c r="AO564" s="16" t="b">
        <v>0</v>
      </c>
      <c r="AP564" s="16" t="b">
        <v>0</v>
      </c>
      <c r="AQ564" s="17">
        <f t="shared" si="9"/>
        <v>0.2</v>
      </c>
      <c r="AR564" s="12">
        <f t="shared" si="10"/>
        <v>680.62400000000014</v>
      </c>
      <c r="AS564" s="18">
        <f t="shared" si="11"/>
        <v>-4.0000000001327862E-3</v>
      </c>
      <c r="AT564" s="12">
        <f t="shared" si="12"/>
        <v>217.13400000000013</v>
      </c>
      <c r="AU564" s="18">
        <f t="shared" si="13"/>
        <v>-4.0000000001327862E-3</v>
      </c>
      <c r="AV564" s="19">
        <f t="shared" si="14"/>
        <v>0.31902195632243363</v>
      </c>
      <c r="AW564" s="20" t="str">
        <f t="shared" si="15"/>
        <v>May</v>
      </c>
      <c r="AX564" s="21">
        <f t="shared" si="16"/>
        <v>2024</v>
      </c>
    </row>
    <row r="565" spans="1:50" ht="15.75" customHeight="1">
      <c r="A565" s="10" t="s">
        <v>1816</v>
      </c>
      <c r="B565" s="11">
        <v>45418</v>
      </c>
      <c r="C565" s="11">
        <v>45424</v>
      </c>
      <c r="D565" s="10" t="s">
        <v>1817</v>
      </c>
      <c r="E565" s="10" t="s">
        <v>82</v>
      </c>
      <c r="F565" s="10" t="s">
        <v>119</v>
      </c>
      <c r="G565" s="10" t="s">
        <v>92</v>
      </c>
      <c r="H565" s="10" t="s">
        <v>219</v>
      </c>
      <c r="I565" s="10" t="s">
        <v>220</v>
      </c>
      <c r="J565" s="10" t="s">
        <v>70</v>
      </c>
      <c r="K565" s="10" t="s">
        <v>71</v>
      </c>
      <c r="L565" s="10" t="s">
        <v>1818</v>
      </c>
      <c r="M565" s="10" t="s">
        <v>88</v>
      </c>
      <c r="N565" s="12">
        <v>9</v>
      </c>
      <c r="O565" s="12">
        <v>790.97</v>
      </c>
      <c r="P565" s="12">
        <v>0.2</v>
      </c>
      <c r="Q565" s="12">
        <v>5694.98</v>
      </c>
      <c r="R565" s="12">
        <v>4618.33</v>
      </c>
      <c r="S565" s="12">
        <v>1076.6500000000001</v>
      </c>
      <c r="T565" s="10" t="s">
        <v>140</v>
      </c>
      <c r="U565" s="13" t="s">
        <v>97</v>
      </c>
      <c r="V565" s="14" t="e">
        <f t="shared" ca="1" si="0"/>
        <v>#NAME?</v>
      </c>
      <c r="W565" s="10" t="str">
        <f ca="1">IFERROR(__xludf.DUMMYFUNCTION("IF(COUNTIF($A:$A,A559)=1,
""Unique"",
IF(COUNTUNIQUE(FILTER($V$2:$V$934,$A$2:$A$934=A559))&gt;1,
""Conflicting Duplicate"",
""Exact Duplicate""))"),"Unique")</f>
        <v>Unique</v>
      </c>
      <c r="X565" s="10" t="b">
        <f t="shared" ca="1" si="1"/>
        <v>1</v>
      </c>
      <c r="Y565" s="10" t="str">
        <f t="shared" si="2"/>
        <v>Unique</v>
      </c>
      <c r="Z565" s="10"/>
      <c r="AA565" s="10" t="str">
        <f t="shared" si="3"/>
        <v>Clean</v>
      </c>
      <c r="AB565" s="15" t="str">
        <f t="shared" si="4"/>
        <v>Valid</v>
      </c>
      <c r="AC565" s="15">
        <v>6</v>
      </c>
      <c r="AD565" s="16" t="str">
        <f t="shared" si="5"/>
        <v>Valid</v>
      </c>
      <c r="AE565" s="16" t="str">
        <f t="shared" si="6"/>
        <v>Valid</v>
      </c>
      <c r="AF565" s="16" t="str">
        <f t="shared" ref="AF565:AG565" si="1141">IF(ISNUMBER(B565),"Valid","Invalid")</f>
        <v>Valid</v>
      </c>
      <c r="AG565" s="16" t="str">
        <f t="shared" si="1141"/>
        <v>Valid</v>
      </c>
      <c r="AH565" s="16" t="str">
        <f t="shared" ref="AH565:AI565" si="1142">IF(OR(B565="",ISBLANK(B565)),"Missing","Valid")</f>
        <v>Valid</v>
      </c>
      <c r="AI565" s="16" t="str">
        <f t="shared" si="1142"/>
        <v>Valid</v>
      </c>
      <c r="AJ565" s="16" t="b">
        <v>0</v>
      </c>
      <c r="AK565" s="16" t="b">
        <v>0</v>
      </c>
      <c r="AL565" s="16" t="b">
        <v>0</v>
      </c>
      <c r="AM565" s="16" t="b">
        <v>0</v>
      </c>
      <c r="AN565" s="16" t="b">
        <v>0</v>
      </c>
      <c r="AO565" s="16" t="b">
        <v>0</v>
      </c>
      <c r="AP565" s="16" t="b">
        <v>0</v>
      </c>
      <c r="AQ565" s="17">
        <f t="shared" si="9"/>
        <v>0.2</v>
      </c>
      <c r="AR565" s="12">
        <f t="shared" si="10"/>
        <v>5694.9840000000004</v>
      </c>
      <c r="AS565" s="18">
        <f t="shared" si="11"/>
        <v>-4.0000000008149073E-3</v>
      </c>
      <c r="AT565" s="12">
        <f t="shared" si="12"/>
        <v>1076.6540000000005</v>
      </c>
      <c r="AU565" s="18">
        <f t="shared" si="13"/>
        <v>-4.0000000003601599E-3</v>
      </c>
      <c r="AV565" s="19">
        <f t="shared" si="14"/>
        <v>0.1890530333360024</v>
      </c>
      <c r="AW565" s="20" t="str">
        <f t="shared" si="15"/>
        <v>May</v>
      </c>
      <c r="AX565" s="21">
        <f t="shared" si="16"/>
        <v>2024</v>
      </c>
    </row>
    <row r="566" spans="1:50" ht="15.75" customHeight="1">
      <c r="A566" s="10" t="s">
        <v>1819</v>
      </c>
      <c r="B566" s="11">
        <v>45606</v>
      </c>
      <c r="C566" s="11">
        <v>45610</v>
      </c>
      <c r="D566" s="10" t="s">
        <v>1820</v>
      </c>
      <c r="E566" s="10" t="s">
        <v>161</v>
      </c>
      <c r="F566" s="10" t="s">
        <v>119</v>
      </c>
      <c r="G566" s="10" t="s">
        <v>83</v>
      </c>
      <c r="H566" s="10" t="s">
        <v>113</v>
      </c>
      <c r="I566" s="10" t="s">
        <v>114</v>
      </c>
      <c r="J566" s="10" t="s">
        <v>70</v>
      </c>
      <c r="K566" s="10" t="s">
        <v>71</v>
      </c>
      <c r="L566" s="10" t="s">
        <v>1821</v>
      </c>
      <c r="M566" s="10" t="s">
        <v>79</v>
      </c>
      <c r="N566" s="12">
        <v>2</v>
      </c>
      <c r="O566" s="12">
        <v>921.34</v>
      </c>
      <c r="P566" s="12">
        <v>0.2</v>
      </c>
      <c r="Q566" s="12">
        <v>1474.14</v>
      </c>
      <c r="R566" s="12">
        <v>968.46</v>
      </c>
      <c r="S566" s="12">
        <v>505.68</v>
      </c>
      <c r="T566" s="10" t="s">
        <v>61</v>
      </c>
      <c r="U566" s="13" t="s">
        <v>62</v>
      </c>
      <c r="V566" s="14" t="e">
        <f t="shared" ca="1" si="0"/>
        <v>#NAME?</v>
      </c>
      <c r="W566" s="10" t="str">
        <f ca="1">IFERROR(__xludf.DUMMYFUNCTION("IF(COUNTIF($A:$A,A560)=1,
""Unique"",
IF(COUNTUNIQUE(FILTER($V$2:$V$934,$A$2:$A$934=A560))&gt;1,
""Conflicting Duplicate"",
""Exact Duplicate""))"),"Unique")</f>
        <v>Unique</v>
      </c>
      <c r="X566" s="10" t="b">
        <f t="shared" ca="1" si="1"/>
        <v>1</v>
      </c>
      <c r="Y566" s="10" t="str">
        <f t="shared" si="2"/>
        <v>Unique</v>
      </c>
      <c r="Z566" s="10"/>
      <c r="AA566" s="10" t="str">
        <f t="shared" si="3"/>
        <v>Clean</v>
      </c>
      <c r="AB566" s="15" t="str">
        <f t="shared" si="4"/>
        <v>Valid</v>
      </c>
      <c r="AC566" s="15">
        <v>4</v>
      </c>
      <c r="AD566" s="16" t="str">
        <f t="shared" si="5"/>
        <v>Valid</v>
      </c>
      <c r="AE566" s="16" t="str">
        <f t="shared" si="6"/>
        <v>Valid</v>
      </c>
      <c r="AF566" s="16" t="str">
        <f t="shared" ref="AF566:AG566" si="1143">IF(ISNUMBER(B566),"Valid","Invalid")</f>
        <v>Valid</v>
      </c>
      <c r="AG566" s="16" t="str">
        <f t="shared" si="1143"/>
        <v>Valid</v>
      </c>
      <c r="AH566" s="16" t="str">
        <f t="shared" ref="AH566:AI566" si="1144">IF(OR(B566="",ISBLANK(B566)),"Missing","Valid")</f>
        <v>Valid</v>
      </c>
      <c r="AI566" s="16" t="str">
        <f t="shared" si="1144"/>
        <v>Valid</v>
      </c>
      <c r="AJ566" s="16" t="b">
        <v>0</v>
      </c>
      <c r="AK566" s="16" t="b">
        <v>0</v>
      </c>
      <c r="AL566" s="16" t="b">
        <v>0</v>
      </c>
      <c r="AM566" s="16" t="b">
        <v>0</v>
      </c>
      <c r="AN566" s="16" t="b">
        <v>0</v>
      </c>
      <c r="AO566" s="16" t="b">
        <v>0</v>
      </c>
      <c r="AP566" s="16" t="b">
        <v>0</v>
      </c>
      <c r="AQ566" s="17">
        <f t="shared" si="9"/>
        <v>0.2</v>
      </c>
      <c r="AR566" s="12">
        <f t="shared" si="10"/>
        <v>1474.1440000000002</v>
      </c>
      <c r="AS566" s="18">
        <f t="shared" si="11"/>
        <v>-4.0000000001327862E-3</v>
      </c>
      <c r="AT566" s="12">
        <f t="shared" si="12"/>
        <v>505.6840000000002</v>
      </c>
      <c r="AU566" s="18">
        <f t="shared" si="13"/>
        <v>-4.0000000001896296E-3</v>
      </c>
      <c r="AV566" s="19">
        <f t="shared" si="14"/>
        <v>0.34303568715132315</v>
      </c>
      <c r="AW566" s="20" t="str">
        <f t="shared" si="15"/>
        <v>November</v>
      </c>
      <c r="AX566" s="21">
        <f t="shared" si="16"/>
        <v>2024</v>
      </c>
    </row>
    <row r="567" spans="1:50" ht="15.75" customHeight="1">
      <c r="A567" s="10" t="s">
        <v>1822</v>
      </c>
      <c r="B567" s="11">
        <v>45876</v>
      </c>
      <c r="C567" s="11">
        <v>45882</v>
      </c>
      <c r="D567" s="10" t="s">
        <v>1823</v>
      </c>
      <c r="E567" s="10" t="s">
        <v>65</v>
      </c>
      <c r="F567" s="10" t="s">
        <v>119</v>
      </c>
      <c r="G567" s="10" t="s">
        <v>54</v>
      </c>
      <c r="H567" s="10" t="s">
        <v>380</v>
      </c>
      <c r="I567" s="10" t="s">
        <v>381</v>
      </c>
      <c r="J567" s="10" t="s">
        <v>103</v>
      </c>
      <c r="K567" s="10" t="s">
        <v>200</v>
      </c>
      <c r="L567" s="10" t="s">
        <v>1824</v>
      </c>
      <c r="M567" s="10" t="s">
        <v>88</v>
      </c>
      <c r="N567" s="12">
        <v>6</v>
      </c>
      <c r="O567" s="12">
        <v>1921.86</v>
      </c>
      <c r="P567" s="12">
        <v>0.2</v>
      </c>
      <c r="Q567" s="12">
        <v>9224.93</v>
      </c>
      <c r="R567" s="12">
        <v>7005.2</v>
      </c>
      <c r="S567" s="12">
        <v>2219.73</v>
      </c>
      <c r="T567" s="10" t="s">
        <v>131</v>
      </c>
      <c r="U567" s="13" t="s">
        <v>97</v>
      </c>
      <c r="V567" s="14" t="e">
        <f t="shared" ca="1" si="0"/>
        <v>#NAME?</v>
      </c>
      <c r="W567" s="10" t="str">
        <f ca="1">IFERROR(__xludf.DUMMYFUNCTION("IF(COUNTIF($A:$A,A561)=1,
""Unique"",
IF(COUNTUNIQUE(FILTER($V$2:$V$934,$A$2:$A$934=A561))&gt;1,
""Conflicting Duplicate"",
""Exact Duplicate""))"),"Unique")</f>
        <v>Unique</v>
      </c>
      <c r="X567" s="10" t="b">
        <f t="shared" ca="1" si="1"/>
        <v>1</v>
      </c>
      <c r="Y567" s="10" t="str">
        <f t="shared" si="2"/>
        <v>Unique</v>
      </c>
      <c r="Z567" s="10"/>
      <c r="AA567" s="10" t="str">
        <f t="shared" si="3"/>
        <v>Clean</v>
      </c>
      <c r="AB567" s="15" t="str">
        <f t="shared" si="4"/>
        <v>Valid</v>
      </c>
      <c r="AC567" s="15">
        <v>6</v>
      </c>
      <c r="AD567" s="16" t="str">
        <f t="shared" si="5"/>
        <v>Valid</v>
      </c>
      <c r="AE567" s="16" t="str">
        <f t="shared" si="6"/>
        <v>Valid</v>
      </c>
      <c r="AF567" s="16" t="str">
        <f t="shared" ref="AF567:AG567" si="1145">IF(ISNUMBER(B567),"Valid","Invalid")</f>
        <v>Valid</v>
      </c>
      <c r="AG567" s="16" t="str">
        <f t="shared" si="1145"/>
        <v>Valid</v>
      </c>
      <c r="AH567" s="16" t="str">
        <f t="shared" ref="AH567:AI567" si="1146">IF(OR(B567="",ISBLANK(B567)),"Missing","Valid")</f>
        <v>Valid</v>
      </c>
      <c r="AI567" s="16" t="str">
        <f t="shared" si="1146"/>
        <v>Valid</v>
      </c>
      <c r="AJ567" s="16" t="b">
        <v>0</v>
      </c>
      <c r="AK567" s="16" t="b">
        <v>0</v>
      </c>
      <c r="AL567" s="16" t="b">
        <v>0</v>
      </c>
      <c r="AM567" s="16" t="b">
        <v>0</v>
      </c>
      <c r="AN567" s="16" t="b">
        <v>0</v>
      </c>
      <c r="AO567" s="16" t="b">
        <v>0</v>
      </c>
      <c r="AP567" s="16" t="b">
        <v>0</v>
      </c>
      <c r="AQ567" s="17">
        <f t="shared" si="9"/>
        <v>0.2</v>
      </c>
      <c r="AR567" s="12">
        <f t="shared" si="10"/>
        <v>9224.9279999999999</v>
      </c>
      <c r="AS567" s="18">
        <f t="shared" si="11"/>
        <v>2.0000000004074536E-3</v>
      </c>
      <c r="AT567" s="12">
        <f t="shared" si="12"/>
        <v>2219.7280000000001</v>
      </c>
      <c r="AU567" s="18">
        <f t="shared" si="13"/>
        <v>1.9999999999527063E-3</v>
      </c>
      <c r="AV567" s="19">
        <f t="shared" si="14"/>
        <v>0.24062279944081949</v>
      </c>
      <c r="AW567" s="20" t="str">
        <f t="shared" si="15"/>
        <v>August</v>
      </c>
      <c r="AX567" s="21">
        <f t="shared" si="16"/>
        <v>2025</v>
      </c>
    </row>
    <row r="568" spans="1:50" ht="15.75" customHeight="1">
      <c r="A568" s="10" t="s">
        <v>1825</v>
      </c>
      <c r="B568" s="11">
        <v>45515</v>
      </c>
      <c r="C568" s="11">
        <v>45523</v>
      </c>
      <c r="D568" s="10" t="s">
        <v>1826</v>
      </c>
      <c r="E568" s="10" t="s">
        <v>161</v>
      </c>
      <c r="F568" s="10" t="s">
        <v>66</v>
      </c>
      <c r="G568" s="10" t="s">
        <v>92</v>
      </c>
      <c r="H568" s="10" t="s">
        <v>93</v>
      </c>
      <c r="I568" s="10" t="s">
        <v>94</v>
      </c>
      <c r="J568" s="10" t="s">
        <v>57</v>
      </c>
      <c r="K568" s="10" t="s">
        <v>58</v>
      </c>
      <c r="L568" s="10" t="s">
        <v>1827</v>
      </c>
      <c r="M568" s="10" t="s">
        <v>73</v>
      </c>
      <c r="N568" s="12">
        <v>2</v>
      </c>
      <c r="O568" s="12">
        <v>2617.89</v>
      </c>
      <c r="P568" s="12">
        <v>0.1</v>
      </c>
      <c r="Q568" s="12">
        <v>4712.2</v>
      </c>
      <c r="R568" s="12">
        <v>3851.91</v>
      </c>
      <c r="S568" s="12">
        <v>860.29</v>
      </c>
      <c r="T568" s="10" t="s">
        <v>184</v>
      </c>
      <c r="U568" s="13" t="s">
        <v>132</v>
      </c>
      <c r="V568" s="14" t="e">
        <f t="shared" ca="1" si="0"/>
        <v>#NAME?</v>
      </c>
      <c r="W568" s="10" t="str">
        <f ca="1">IFERROR(__xludf.DUMMYFUNCTION("IF(COUNTIF($A:$A,A562)=1,
""Unique"",
IF(COUNTUNIQUE(FILTER($V$2:$V$934,$A$2:$A$934=A562))&gt;1,
""Conflicting Duplicate"",
""Exact Duplicate""))"),"Unique")</f>
        <v>Unique</v>
      </c>
      <c r="X568" s="10" t="b">
        <f t="shared" ca="1" si="1"/>
        <v>1</v>
      </c>
      <c r="Y568" s="10" t="str">
        <f t="shared" si="2"/>
        <v>Unique</v>
      </c>
      <c r="Z568" s="10"/>
      <c r="AA568" s="10" t="str">
        <f t="shared" si="3"/>
        <v>Clean</v>
      </c>
      <c r="AB568" s="15" t="str">
        <f t="shared" si="4"/>
        <v>Valid</v>
      </c>
      <c r="AC568" s="15">
        <v>8</v>
      </c>
      <c r="AD568" s="16" t="str">
        <f t="shared" si="5"/>
        <v>Valid</v>
      </c>
      <c r="AE568" s="16" t="str">
        <f t="shared" si="6"/>
        <v>Valid</v>
      </c>
      <c r="AF568" s="16" t="str">
        <f t="shared" ref="AF568:AG568" si="1147">IF(ISNUMBER(B568),"Valid","Invalid")</f>
        <v>Valid</v>
      </c>
      <c r="AG568" s="16" t="str">
        <f t="shared" si="1147"/>
        <v>Valid</v>
      </c>
      <c r="AH568" s="16" t="str">
        <f t="shared" ref="AH568:AI568" si="1148">IF(OR(B568="",ISBLANK(B568)),"Missing","Valid")</f>
        <v>Valid</v>
      </c>
      <c r="AI568" s="16" t="str">
        <f t="shared" si="1148"/>
        <v>Valid</v>
      </c>
      <c r="AJ568" s="16" t="b">
        <v>0</v>
      </c>
      <c r="AK568" s="16" t="b">
        <v>0</v>
      </c>
      <c r="AL568" s="16" t="b">
        <v>0</v>
      </c>
      <c r="AM568" s="16" t="b">
        <v>0</v>
      </c>
      <c r="AN568" s="16" t="b">
        <v>0</v>
      </c>
      <c r="AO568" s="16" t="b">
        <v>0</v>
      </c>
      <c r="AP568" s="16" t="b">
        <v>0</v>
      </c>
      <c r="AQ568" s="17">
        <f t="shared" si="9"/>
        <v>0.1</v>
      </c>
      <c r="AR568" s="12">
        <f t="shared" si="10"/>
        <v>4712.2020000000002</v>
      </c>
      <c r="AS568" s="18">
        <f t="shared" si="11"/>
        <v>-2.0000000004074536E-3</v>
      </c>
      <c r="AT568" s="12">
        <f t="shared" si="12"/>
        <v>860.29200000000037</v>
      </c>
      <c r="AU568" s="18">
        <f t="shared" si="13"/>
        <v>-2.0000000004074536E-3</v>
      </c>
      <c r="AV568" s="19">
        <f t="shared" si="14"/>
        <v>0.18256687637754077</v>
      </c>
      <c r="AW568" s="20" t="str">
        <f t="shared" si="15"/>
        <v>August</v>
      </c>
      <c r="AX568" s="21">
        <f t="shared" si="16"/>
        <v>2024</v>
      </c>
    </row>
    <row r="569" spans="1:50" ht="15.75" customHeight="1">
      <c r="A569" s="10" t="s">
        <v>1828</v>
      </c>
      <c r="B569" s="11">
        <v>45328</v>
      </c>
      <c r="C569" s="11">
        <v>45332</v>
      </c>
      <c r="D569" s="10" t="s">
        <v>1829</v>
      </c>
      <c r="E569" s="10" t="s">
        <v>82</v>
      </c>
      <c r="F569" s="10" t="s">
        <v>124</v>
      </c>
      <c r="G569" s="10" t="s">
        <v>54</v>
      </c>
      <c r="H569" s="10" t="s">
        <v>165</v>
      </c>
      <c r="I569" s="10" t="s">
        <v>166</v>
      </c>
      <c r="J569" s="10" t="s">
        <v>70</v>
      </c>
      <c r="K569" s="10" t="s">
        <v>86</v>
      </c>
      <c r="L569" s="10" t="s">
        <v>627</v>
      </c>
      <c r="M569" s="10" t="s">
        <v>73</v>
      </c>
      <c r="N569" s="12">
        <v>1</v>
      </c>
      <c r="O569" s="12">
        <v>1374.06</v>
      </c>
      <c r="P569" s="12">
        <v>0.05</v>
      </c>
      <c r="Q569" s="12">
        <v>1305.3599999999999</v>
      </c>
      <c r="R569" s="12">
        <v>731.89</v>
      </c>
      <c r="S569" s="12">
        <v>573.47</v>
      </c>
      <c r="T569" s="10" t="s">
        <v>61</v>
      </c>
      <c r="U569" s="13" t="s">
        <v>62</v>
      </c>
      <c r="V569" s="14" t="e">
        <f t="shared" ca="1" si="0"/>
        <v>#NAME?</v>
      </c>
      <c r="W569" s="10" t="str">
        <f ca="1">IFERROR(__xludf.DUMMYFUNCTION("IF(COUNTIF($A:$A,A563)=1,
""Unique"",
IF(COUNTUNIQUE(FILTER($V$2:$V$934,$A$2:$A$934=A563))&gt;1,
""Conflicting Duplicate"",
""Exact Duplicate""))"),"Unique")</f>
        <v>Unique</v>
      </c>
      <c r="X569" s="10" t="b">
        <f t="shared" ca="1" si="1"/>
        <v>1</v>
      </c>
      <c r="Y569" s="10" t="str">
        <f t="shared" si="2"/>
        <v>Unique</v>
      </c>
      <c r="Z569" s="10"/>
      <c r="AA569" s="10" t="str">
        <f t="shared" si="3"/>
        <v>Clean</v>
      </c>
      <c r="AB569" s="15" t="str">
        <f t="shared" si="4"/>
        <v>Valid</v>
      </c>
      <c r="AC569" s="15">
        <v>4</v>
      </c>
      <c r="AD569" s="16" t="str">
        <f t="shared" si="5"/>
        <v>Valid</v>
      </c>
      <c r="AE569" s="16" t="str">
        <f t="shared" si="6"/>
        <v>Valid</v>
      </c>
      <c r="AF569" s="16" t="str">
        <f t="shared" ref="AF569:AG569" si="1149">IF(ISNUMBER(B569),"Valid","Invalid")</f>
        <v>Valid</v>
      </c>
      <c r="AG569" s="16" t="str">
        <f t="shared" si="1149"/>
        <v>Valid</v>
      </c>
      <c r="AH569" s="16" t="str">
        <f t="shared" ref="AH569:AI569" si="1150">IF(OR(B569="",ISBLANK(B569)),"Missing","Valid")</f>
        <v>Valid</v>
      </c>
      <c r="AI569" s="16" t="str">
        <f t="shared" si="1150"/>
        <v>Valid</v>
      </c>
      <c r="AJ569" s="16" t="b">
        <v>0</v>
      </c>
      <c r="AK569" s="16" t="b">
        <v>0</v>
      </c>
      <c r="AL569" s="16" t="b">
        <v>0</v>
      </c>
      <c r="AM569" s="16" t="b">
        <v>0</v>
      </c>
      <c r="AN569" s="16" t="b">
        <v>0</v>
      </c>
      <c r="AO569" s="16" t="b">
        <v>0</v>
      </c>
      <c r="AP569" s="16" t="b">
        <v>0</v>
      </c>
      <c r="AQ569" s="17">
        <f t="shared" si="9"/>
        <v>0.05</v>
      </c>
      <c r="AR569" s="12">
        <f t="shared" si="10"/>
        <v>1305.357</v>
      </c>
      <c r="AS569" s="18">
        <f t="shared" si="11"/>
        <v>2.9999999999290594E-3</v>
      </c>
      <c r="AT569" s="12">
        <f t="shared" si="12"/>
        <v>573.46699999999998</v>
      </c>
      <c r="AU569" s="18">
        <f t="shared" si="13"/>
        <v>3.0000000000427463E-3</v>
      </c>
      <c r="AV569" s="19">
        <f t="shared" si="14"/>
        <v>0.4393181328939133</v>
      </c>
      <c r="AW569" s="20" t="str">
        <f t="shared" si="15"/>
        <v>February</v>
      </c>
      <c r="AX569" s="21">
        <f t="shared" si="16"/>
        <v>2024</v>
      </c>
    </row>
    <row r="570" spans="1:50" ht="15.75" customHeight="1">
      <c r="A570" s="10" t="s">
        <v>1830</v>
      </c>
      <c r="B570" s="11">
        <v>45312</v>
      </c>
      <c r="C570" s="11">
        <v>45315</v>
      </c>
      <c r="D570" s="10" t="s">
        <v>1831</v>
      </c>
      <c r="E570" s="10" t="s">
        <v>294</v>
      </c>
      <c r="F570" s="10" t="s">
        <v>119</v>
      </c>
      <c r="G570" s="10" t="s">
        <v>54</v>
      </c>
      <c r="H570" s="10" t="s">
        <v>151</v>
      </c>
      <c r="I570" s="10" t="s">
        <v>152</v>
      </c>
      <c r="J570" s="10" t="s">
        <v>103</v>
      </c>
      <c r="K570" s="10" t="s">
        <v>304</v>
      </c>
      <c r="L570" s="10" t="s">
        <v>1832</v>
      </c>
      <c r="M570" s="10" t="s">
        <v>73</v>
      </c>
      <c r="N570" s="12">
        <v>1</v>
      </c>
      <c r="O570" s="12">
        <v>3806.3</v>
      </c>
      <c r="P570" s="12">
        <v>0.25</v>
      </c>
      <c r="Q570" s="12">
        <v>2854.73</v>
      </c>
      <c r="R570" s="12">
        <v>1968.12</v>
      </c>
      <c r="S570" s="12">
        <v>886.61</v>
      </c>
      <c r="T570" s="10" t="s">
        <v>61</v>
      </c>
      <c r="U570" s="13" t="s">
        <v>62</v>
      </c>
      <c r="V570" s="14" t="e">
        <f t="shared" ca="1" si="0"/>
        <v>#NAME?</v>
      </c>
      <c r="W570" s="10" t="str">
        <f ca="1">IFERROR(__xludf.DUMMYFUNCTION("IF(COUNTIF($A:$A,A564)=1,
""Unique"",
IF(COUNTUNIQUE(FILTER($V$2:$V$934,$A$2:$A$934=A564))&gt;1,
""Conflicting Duplicate"",
""Exact Duplicate""))"),"Unique")</f>
        <v>Unique</v>
      </c>
      <c r="X570" s="10" t="b">
        <f t="shared" ca="1" si="1"/>
        <v>1</v>
      </c>
      <c r="Y570" s="10" t="str">
        <f t="shared" si="2"/>
        <v>Unique</v>
      </c>
      <c r="Z570" s="10"/>
      <c r="AA570" s="10" t="str">
        <f t="shared" si="3"/>
        <v>Clean</v>
      </c>
      <c r="AB570" s="15" t="str">
        <f t="shared" si="4"/>
        <v>Valid</v>
      </c>
      <c r="AC570" s="15">
        <v>3</v>
      </c>
      <c r="AD570" s="16" t="str">
        <f t="shared" si="5"/>
        <v>Valid</v>
      </c>
      <c r="AE570" s="16" t="str">
        <f t="shared" si="6"/>
        <v>Valid</v>
      </c>
      <c r="AF570" s="16" t="str">
        <f t="shared" ref="AF570:AG570" si="1151">IF(ISNUMBER(B570),"Valid","Invalid")</f>
        <v>Valid</v>
      </c>
      <c r="AG570" s="16" t="str">
        <f t="shared" si="1151"/>
        <v>Valid</v>
      </c>
      <c r="AH570" s="16" t="str">
        <f t="shared" ref="AH570:AI570" si="1152">IF(OR(B570="",ISBLANK(B570)),"Missing","Valid")</f>
        <v>Valid</v>
      </c>
      <c r="AI570" s="16" t="str">
        <f t="shared" si="1152"/>
        <v>Valid</v>
      </c>
      <c r="AJ570" s="16" t="b">
        <v>0</v>
      </c>
      <c r="AK570" s="16" t="b">
        <v>0</v>
      </c>
      <c r="AL570" s="16" t="b">
        <v>0</v>
      </c>
      <c r="AM570" s="16" t="b">
        <v>0</v>
      </c>
      <c r="AN570" s="16" t="b">
        <v>0</v>
      </c>
      <c r="AO570" s="16" t="b">
        <v>0</v>
      </c>
      <c r="AP570" s="16" t="b">
        <v>0</v>
      </c>
      <c r="AQ570" s="17">
        <f t="shared" si="9"/>
        <v>0.25</v>
      </c>
      <c r="AR570" s="12">
        <f t="shared" si="10"/>
        <v>2854.7250000000004</v>
      </c>
      <c r="AS570" s="18">
        <f t="shared" si="11"/>
        <v>4.999999999654392E-3</v>
      </c>
      <c r="AT570" s="12">
        <f t="shared" si="12"/>
        <v>886.60500000000047</v>
      </c>
      <c r="AU570" s="18">
        <f t="shared" si="13"/>
        <v>4.9999999995407052E-3</v>
      </c>
      <c r="AV570" s="19">
        <f t="shared" si="14"/>
        <v>0.31057457373302172</v>
      </c>
      <c r="AW570" s="20" t="str">
        <f t="shared" si="15"/>
        <v>January</v>
      </c>
      <c r="AX570" s="21">
        <f t="shared" si="16"/>
        <v>2024</v>
      </c>
    </row>
    <row r="571" spans="1:50" ht="15.75" customHeight="1">
      <c r="A571" s="10" t="s">
        <v>1833</v>
      </c>
      <c r="B571" s="11">
        <v>45908</v>
      </c>
      <c r="C571" s="11">
        <v>45910</v>
      </c>
      <c r="D571" s="10" t="s">
        <v>1834</v>
      </c>
      <c r="E571" s="10" t="s">
        <v>147</v>
      </c>
      <c r="F571" s="10" t="s">
        <v>124</v>
      </c>
      <c r="G571" s="10" t="s">
        <v>92</v>
      </c>
      <c r="H571" s="10" t="s">
        <v>93</v>
      </c>
      <c r="I571" s="10" t="s">
        <v>94</v>
      </c>
      <c r="J571" s="10" t="s">
        <v>70</v>
      </c>
      <c r="K571" s="10" t="s">
        <v>86</v>
      </c>
      <c r="L571" s="10" t="s">
        <v>1835</v>
      </c>
      <c r="M571" s="10" t="s">
        <v>88</v>
      </c>
      <c r="N571" s="12">
        <v>6</v>
      </c>
      <c r="O571" s="12">
        <v>3251.17</v>
      </c>
      <c r="P571" s="12">
        <v>0.25</v>
      </c>
      <c r="Q571" s="12">
        <v>14630.26</v>
      </c>
      <c r="R571" s="12">
        <v>11906.36</v>
      </c>
      <c r="S571" s="12">
        <v>2723.9</v>
      </c>
      <c r="T571" s="10" t="s">
        <v>131</v>
      </c>
      <c r="U571" s="13" t="s">
        <v>132</v>
      </c>
      <c r="V571" s="14" t="e">
        <f t="shared" ca="1" si="0"/>
        <v>#NAME?</v>
      </c>
      <c r="W571" s="10" t="str">
        <f ca="1">IFERROR(__xludf.DUMMYFUNCTION("IF(COUNTIF($A:$A,A565)=1,
""Unique"",
IF(COUNTUNIQUE(FILTER($V$2:$V$934,$A$2:$A$934=A565))&gt;1,
""Conflicting Duplicate"",
""Exact Duplicate""))"),"Unique")</f>
        <v>Unique</v>
      </c>
      <c r="X571" s="10" t="b">
        <f t="shared" ca="1" si="1"/>
        <v>1</v>
      </c>
      <c r="Y571" s="10" t="str">
        <f t="shared" si="2"/>
        <v>Unique</v>
      </c>
      <c r="Z571" s="10"/>
      <c r="AA571" s="10" t="str">
        <f t="shared" si="3"/>
        <v>Clean</v>
      </c>
      <c r="AB571" s="15" t="str">
        <f t="shared" si="4"/>
        <v>Valid</v>
      </c>
      <c r="AC571" s="15">
        <v>2</v>
      </c>
      <c r="AD571" s="16" t="str">
        <f t="shared" si="5"/>
        <v>Valid</v>
      </c>
      <c r="AE571" s="16" t="str">
        <f t="shared" si="6"/>
        <v>Valid</v>
      </c>
      <c r="AF571" s="16" t="str">
        <f t="shared" ref="AF571:AG571" si="1153">IF(ISNUMBER(B571),"Valid","Invalid")</f>
        <v>Valid</v>
      </c>
      <c r="AG571" s="16" t="str">
        <f t="shared" si="1153"/>
        <v>Valid</v>
      </c>
      <c r="AH571" s="16" t="str">
        <f t="shared" ref="AH571:AI571" si="1154">IF(OR(B571="",ISBLANK(B571)),"Missing","Valid")</f>
        <v>Valid</v>
      </c>
      <c r="AI571" s="16" t="str">
        <f t="shared" si="1154"/>
        <v>Valid</v>
      </c>
      <c r="AJ571" s="16" t="b">
        <v>0</v>
      </c>
      <c r="AK571" s="16" t="b">
        <v>0</v>
      </c>
      <c r="AL571" s="16" t="b">
        <v>0</v>
      </c>
      <c r="AM571" s="16" t="b">
        <v>0</v>
      </c>
      <c r="AN571" s="16" t="b">
        <v>0</v>
      </c>
      <c r="AO571" s="16" t="b">
        <v>0</v>
      </c>
      <c r="AP571" s="16" t="b">
        <v>0</v>
      </c>
      <c r="AQ571" s="17">
        <f t="shared" si="9"/>
        <v>0.25</v>
      </c>
      <c r="AR571" s="12">
        <f t="shared" si="10"/>
        <v>14630.264999999999</v>
      </c>
      <c r="AS571" s="18">
        <f t="shared" si="11"/>
        <v>-4.9999999991996447E-3</v>
      </c>
      <c r="AT571" s="12">
        <f t="shared" si="12"/>
        <v>2723.9049999999988</v>
      </c>
      <c r="AU571" s="18">
        <f t="shared" si="13"/>
        <v>-4.9999999987448973E-3</v>
      </c>
      <c r="AV571" s="19">
        <f t="shared" si="14"/>
        <v>0.18618288868998606</v>
      </c>
      <c r="AW571" s="20" t="str">
        <f t="shared" si="15"/>
        <v>September</v>
      </c>
      <c r="AX571" s="21">
        <f t="shared" si="16"/>
        <v>2025</v>
      </c>
    </row>
    <row r="572" spans="1:50" ht="15.75" customHeight="1">
      <c r="A572" s="10" t="s">
        <v>1836</v>
      </c>
      <c r="B572" s="11">
        <v>45887</v>
      </c>
      <c r="C572" s="11">
        <v>45891</v>
      </c>
      <c r="D572" s="10" t="s">
        <v>1837</v>
      </c>
      <c r="E572" s="10" t="s">
        <v>82</v>
      </c>
      <c r="F572" s="10" t="s">
        <v>53</v>
      </c>
      <c r="G572" s="10" t="s">
        <v>67</v>
      </c>
      <c r="H572" s="10" t="s">
        <v>258</v>
      </c>
      <c r="I572" s="10" t="s">
        <v>259</v>
      </c>
      <c r="J572" s="10" t="s">
        <v>70</v>
      </c>
      <c r="K572" s="10" t="s">
        <v>86</v>
      </c>
      <c r="L572" s="10" t="s">
        <v>1838</v>
      </c>
      <c r="M572" s="10" t="s">
        <v>60</v>
      </c>
      <c r="N572" s="12">
        <v>3</v>
      </c>
      <c r="O572" s="12">
        <v>3946.44</v>
      </c>
      <c r="P572" s="12">
        <v>0.25</v>
      </c>
      <c r="Q572" s="12">
        <v>8879.49</v>
      </c>
      <c r="R572" s="12">
        <v>6344.57</v>
      </c>
      <c r="S572" s="12">
        <v>2534.92</v>
      </c>
      <c r="T572" s="10" t="s">
        <v>184</v>
      </c>
      <c r="U572" s="13" t="s">
        <v>132</v>
      </c>
      <c r="V572" s="14" t="e">
        <f t="shared" ca="1" si="0"/>
        <v>#NAME?</v>
      </c>
      <c r="W572" s="10" t="str">
        <f ca="1">IFERROR(__xludf.DUMMYFUNCTION("IF(COUNTIF($A:$A,A566)=1,
""Unique"",
IF(COUNTUNIQUE(FILTER($V$2:$V$934,$A$2:$A$934=A566))&gt;1,
""Conflicting Duplicate"",
""Exact Duplicate""))"),"Unique")</f>
        <v>Unique</v>
      </c>
      <c r="X572" s="10" t="b">
        <f t="shared" ca="1" si="1"/>
        <v>1</v>
      </c>
      <c r="Y572" s="10" t="str">
        <f t="shared" si="2"/>
        <v>Unique</v>
      </c>
      <c r="Z572" s="10"/>
      <c r="AA572" s="10" t="str">
        <f t="shared" si="3"/>
        <v>Clean</v>
      </c>
      <c r="AB572" s="15" t="str">
        <f t="shared" si="4"/>
        <v>Valid</v>
      </c>
      <c r="AC572" s="15">
        <v>4</v>
      </c>
      <c r="AD572" s="16" t="str">
        <f t="shared" si="5"/>
        <v>Valid</v>
      </c>
      <c r="AE572" s="16" t="str">
        <f t="shared" si="6"/>
        <v>Valid</v>
      </c>
      <c r="AF572" s="16" t="str">
        <f t="shared" ref="AF572:AG572" si="1155">IF(ISNUMBER(B572),"Valid","Invalid")</f>
        <v>Valid</v>
      </c>
      <c r="AG572" s="16" t="str">
        <f t="shared" si="1155"/>
        <v>Valid</v>
      </c>
      <c r="AH572" s="16" t="str">
        <f t="shared" ref="AH572:AI572" si="1156">IF(OR(B572="",ISBLANK(B572)),"Missing","Valid")</f>
        <v>Valid</v>
      </c>
      <c r="AI572" s="16" t="str">
        <f t="shared" si="1156"/>
        <v>Valid</v>
      </c>
      <c r="AJ572" s="16" t="b">
        <v>0</v>
      </c>
      <c r="AK572" s="16" t="b">
        <v>0</v>
      </c>
      <c r="AL572" s="16" t="b">
        <v>0</v>
      </c>
      <c r="AM572" s="16" t="b">
        <v>0</v>
      </c>
      <c r="AN572" s="16" t="b">
        <v>0</v>
      </c>
      <c r="AO572" s="16" t="b">
        <v>0</v>
      </c>
      <c r="AP572" s="16" t="b">
        <v>0</v>
      </c>
      <c r="AQ572" s="17">
        <f t="shared" si="9"/>
        <v>0.25</v>
      </c>
      <c r="AR572" s="12">
        <f t="shared" si="10"/>
        <v>8879.49</v>
      </c>
      <c r="AS572" s="18">
        <f t="shared" si="11"/>
        <v>0</v>
      </c>
      <c r="AT572" s="12">
        <f t="shared" si="12"/>
        <v>2534.92</v>
      </c>
      <c r="AU572" s="18">
        <f t="shared" si="13"/>
        <v>0</v>
      </c>
      <c r="AV572" s="19">
        <f t="shared" si="14"/>
        <v>0.28548035979543873</v>
      </c>
      <c r="AW572" s="20" t="str">
        <f t="shared" si="15"/>
        <v>August</v>
      </c>
      <c r="AX572" s="21">
        <f t="shared" si="16"/>
        <v>2025</v>
      </c>
    </row>
    <row r="573" spans="1:50" ht="15.75" customHeight="1">
      <c r="A573" s="10" t="s">
        <v>1839</v>
      </c>
      <c r="B573" s="11">
        <v>45698</v>
      </c>
      <c r="C573" s="11">
        <v>45702</v>
      </c>
      <c r="D573" s="10" t="s">
        <v>1840</v>
      </c>
      <c r="E573" s="10" t="s">
        <v>143</v>
      </c>
      <c r="F573" s="10" t="s">
        <v>66</v>
      </c>
      <c r="G573" s="10" t="s">
        <v>54</v>
      </c>
      <c r="H573" s="10" t="s">
        <v>165</v>
      </c>
      <c r="I573" s="10" t="s">
        <v>166</v>
      </c>
      <c r="J573" s="10" t="s">
        <v>103</v>
      </c>
      <c r="K573" s="10" t="s">
        <v>200</v>
      </c>
      <c r="L573" s="10" t="s">
        <v>1841</v>
      </c>
      <c r="M573" s="10" t="s">
        <v>234</v>
      </c>
      <c r="N573" s="12">
        <v>5</v>
      </c>
      <c r="O573" s="12">
        <v>4276.29</v>
      </c>
      <c r="P573" s="12">
        <v>0</v>
      </c>
      <c r="Q573" s="12">
        <v>21381.45</v>
      </c>
      <c r="R573" s="12">
        <v>13240.21</v>
      </c>
      <c r="S573" s="12">
        <v>8141.24</v>
      </c>
      <c r="T573" s="10" t="s">
        <v>184</v>
      </c>
      <c r="U573" s="13" t="s">
        <v>132</v>
      </c>
      <c r="V573" s="14" t="e">
        <f t="shared" ca="1" si="0"/>
        <v>#NAME?</v>
      </c>
      <c r="W573" s="10" t="str">
        <f ca="1">IFERROR(__xludf.DUMMYFUNCTION("IF(COUNTIF($A:$A,A567)=1,
""Unique"",
IF(COUNTUNIQUE(FILTER($V$2:$V$934,$A$2:$A$934=A567))&gt;1,
""Conflicting Duplicate"",
""Exact Duplicate""))"),"Unique")</f>
        <v>Unique</v>
      </c>
      <c r="X573" s="10" t="b">
        <f t="shared" ca="1" si="1"/>
        <v>1</v>
      </c>
      <c r="Y573" s="10" t="str">
        <f t="shared" si="2"/>
        <v>Duplicate Order ID</v>
      </c>
      <c r="Z573" s="10"/>
      <c r="AA573" s="10" t="str">
        <f t="shared" si="3"/>
        <v>Warning</v>
      </c>
      <c r="AB573" s="15" t="str">
        <f t="shared" si="4"/>
        <v>Valid</v>
      </c>
      <c r="AC573" s="15">
        <v>4</v>
      </c>
      <c r="AD573" s="16" t="str">
        <f t="shared" si="5"/>
        <v>Valid</v>
      </c>
      <c r="AE573" s="16" t="str">
        <f t="shared" si="6"/>
        <v>Valid</v>
      </c>
      <c r="AF573" s="16" t="str">
        <f t="shared" ref="AF573:AG573" si="1157">IF(ISNUMBER(B573),"Valid","Invalid")</f>
        <v>Valid</v>
      </c>
      <c r="AG573" s="16" t="str">
        <f t="shared" si="1157"/>
        <v>Valid</v>
      </c>
      <c r="AH573" s="16" t="str">
        <f t="shared" ref="AH573:AI573" si="1158">IF(OR(B573="",ISBLANK(B573)),"Missing","Valid")</f>
        <v>Valid</v>
      </c>
      <c r="AI573" s="16" t="str">
        <f t="shared" si="1158"/>
        <v>Valid</v>
      </c>
      <c r="AJ573" s="16" t="b">
        <v>0</v>
      </c>
      <c r="AK573" s="16" t="b">
        <v>1</v>
      </c>
      <c r="AL573" s="16" t="b">
        <v>0</v>
      </c>
      <c r="AM573" s="16" t="b">
        <v>0</v>
      </c>
      <c r="AN573" s="16" t="b">
        <v>0</v>
      </c>
      <c r="AO573" s="16" t="b">
        <v>0</v>
      </c>
      <c r="AP573" s="16" t="b">
        <v>1</v>
      </c>
      <c r="AQ573" s="17">
        <f t="shared" si="9"/>
        <v>0</v>
      </c>
      <c r="AR573" s="12">
        <f t="shared" si="10"/>
        <v>21381.45</v>
      </c>
      <c r="AS573" s="18">
        <f t="shared" si="11"/>
        <v>0</v>
      </c>
      <c r="AT573" s="12">
        <f t="shared" si="12"/>
        <v>8141.2400000000016</v>
      </c>
      <c r="AU573" s="18">
        <f t="shared" si="13"/>
        <v>0</v>
      </c>
      <c r="AV573" s="19">
        <f t="shared" si="14"/>
        <v>0.38076182859441249</v>
      </c>
      <c r="AW573" s="20" t="str">
        <f t="shared" si="15"/>
        <v>February</v>
      </c>
      <c r="AX573" s="21">
        <f t="shared" si="16"/>
        <v>2025</v>
      </c>
    </row>
    <row r="574" spans="1:50" ht="15.75" customHeight="1">
      <c r="A574" s="10" t="s">
        <v>1842</v>
      </c>
      <c r="B574" s="11">
        <v>45293</v>
      </c>
      <c r="C574" s="11">
        <v>45300</v>
      </c>
      <c r="D574" s="10" t="s">
        <v>1843</v>
      </c>
      <c r="E574" s="10" t="s">
        <v>191</v>
      </c>
      <c r="F574" s="10" t="s">
        <v>119</v>
      </c>
      <c r="G574" s="10" t="s">
        <v>54</v>
      </c>
      <c r="H574" s="10" t="s">
        <v>380</v>
      </c>
      <c r="I574" s="10" t="s">
        <v>381</v>
      </c>
      <c r="J574" s="10" t="s">
        <v>103</v>
      </c>
      <c r="K574" s="10" t="s">
        <v>200</v>
      </c>
      <c r="L574" s="10" t="s">
        <v>1844</v>
      </c>
      <c r="M574" s="10" t="s">
        <v>88</v>
      </c>
      <c r="N574" s="12">
        <v>3</v>
      </c>
      <c r="O574" s="12">
        <v>739.56</v>
      </c>
      <c r="P574" s="12">
        <v>0.2</v>
      </c>
      <c r="Q574" s="12">
        <v>1774.94</v>
      </c>
      <c r="R574" s="12">
        <v>1007.4</v>
      </c>
      <c r="S574" s="12">
        <v>767.54</v>
      </c>
      <c r="T574" s="10" t="s">
        <v>61</v>
      </c>
      <c r="U574" s="13" t="s">
        <v>62</v>
      </c>
      <c r="V574" s="14" t="e">
        <f t="shared" ca="1" si="0"/>
        <v>#NAME?</v>
      </c>
      <c r="W574" s="10" t="str">
        <f ca="1">IFERROR(__xludf.DUMMYFUNCTION("IF(COUNTIF($A:$A,A568)=1,
""Unique"",
IF(COUNTUNIQUE(FILTER($V$2:$V$934,$A$2:$A$934=A568))&gt;1,
""Conflicting Duplicate"",
""Exact Duplicate""))"),"Unique")</f>
        <v>Unique</v>
      </c>
      <c r="X574" s="10" t="b">
        <f t="shared" ca="1" si="1"/>
        <v>1</v>
      </c>
      <c r="Y574" s="10" t="str">
        <f t="shared" si="2"/>
        <v>Unique</v>
      </c>
      <c r="Z574" s="10"/>
      <c r="AA574" s="10" t="str">
        <f t="shared" si="3"/>
        <v>Clean</v>
      </c>
      <c r="AB574" s="15" t="str">
        <f t="shared" si="4"/>
        <v>Valid</v>
      </c>
      <c r="AC574" s="15">
        <v>7</v>
      </c>
      <c r="AD574" s="16" t="str">
        <f t="shared" si="5"/>
        <v>Valid</v>
      </c>
      <c r="AE574" s="16" t="str">
        <f t="shared" si="6"/>
        <v>Valid</v>
      </c>
      <c r="AF574" s="16" t="str">
        <f t="shared" ref="AF574:AG574" si="1159">IF(ISNUMBER(B574),"Valid","Invalid")</f>
        <v>Valid</v>
      </c>
      <c r="AG574" s="16" t="str">
        <f t="shared" si="1159"/>
        <v>Valid</v>
      </c>
      <c r="AH574" s="16" t="str">
        <f t="shared" ref="AH574:AI574" si="1160">IF(OR(B574="",ISBLANK(B574)),"Missing","Valid")</f>
        <v>Valid</v>
      </c>
      <c r="AI574" s="16" t="str">
        <f t="shared" si="1160"/>
        <v>Valid</v>
      </c>
      <c r="AJ574" s="16" t="b">
        <v>0</v>
      </c>
      <c r="AK574" s="16" t="b">
        <v>0</v>
      </c>
      <c r="AL574" s="16" t="b">
        <v>0</v>
      </c>
      <c r="AM574" s="16" t="b">
        <v>0</v>
      </c>
      <c r="AN574" s="16" t="b">
        <v>0</v>
      </c>
      <c r="AO574" s="16" t="b">
        <v>0</v>
      </c>
      <c r="AP574" s="16" t="b">
        <v>0</v>
      </c>
      <c r="AQ574" s="17">
        <f t="shared" si="9"/>
        <v>0.2</v>
      </c>
      <c r="AR574" s="12">
        <f t="shared" si="10"/>
        <v>1774.944</v>
      </c>
      <c r="AS574" s="18">
        <f t="shared" si="11"/>
        <v>-3.9999999999054126E-3</v>
      </c>
      <c r="AT574" s="12">
        <f t="shared" si="12"/>
        <v>767.54399999999998</v>
      </c>
      <c r="AU574" s="18">
        <f t="shared" si="13"/>
        <v>-4.0000000000190994E-3</v>
      </c>
      <c r="AV574" s="19">
        <f t="shared" si="14"/>
        <v>0.43243279787982042</v>
      </c>
      <c r="AW574" s="20" t="str">
        <f t="shared" si="15"/>
        <v>January</v>
      </c>
      <c r="AX574" s="21">
        <f t="shared" si="16"/>
        <v>2024</v>
      </c>
    </row>
    <row r="575" spans="1:50" ht="15.75" customHeight="1">
      <c r="A575" s="10" t="s">
        <v>1845</v>
      </c>
      <c r="B575" s="11">
        <v>45922</v>
      </c>
      <c r="C575" s="11">
        <v>45926</v>
      </c>
      <c r="D575" s="10" t="s">
        <v>1846</v>
      </c>
      <c r="E575" s="10" t="s">
        <v>76</v>
      </c>
      <c r="F575" s="10" t="s">
        <v>53</v>
      </c>
      <c r="G575" s="10" t="s">
        <v>83</v>
      </c>
      <c r="H575" s="10" t="s">
        <v>113</v>
      </c>
      <c r="I575" s="10" t="s">
        <v>114</v>
      </c>
      <c r="J575" s="10" t="s">
        <v>103</v>
      </c>
      <c r="K575" s="10" t="s">
        <v>200</v>
      </c>
      <c r="L575" s="10" t="s">
        <v>1847</v>
      </c>
      <c r="M575" s="10" t="s">
        <v>88</v>
      </c>
      <c r="N575" s="12">
        <v>1</v>
      </c>
      <c r="O575" s="12">
        <v>573.65</v>
      </c>
      <c r="P575" s="12">
        <v>0</v>
      </c>
      <c r="Q575" s="12">
        <v>573.65</v>
      </c>
      <c r="R575" s="12">
        <v>322.67</v>
      </c>
      <c r="S575" s="12">
        <v>250.98</v>
      </c>
      <c r="T575" s="10" t="s">
        <v>61</v>
      </c>
      <c r="U575" s="13" t="s">
        <v>62</v>
      </c>
      <c r="V575" s="14" t="e">
        <f t="shared" ca="1" si="0"/>
        <v>#NAME?</v>
      </c>
      <c r="W575" s="10" t="str">
        <f ca="1">IFERROR(__xludf.DUMMYFUNCTION("IF(COUNTIF($A:$A,A569)=1,
""Unique"",
IF(COUNTUNIQUE(FILTER($V$2:$V$934,$A$2:$A$934=A569))&gt;1,
""Conflicting Duplicate"",
""Exact Duplicate""))"),"Unique")</f>
        <v>Unique</v>
      </c>
      <c r="X575" s="10" t="b">
        <f t="shared" ca="1" si="1"/>
        <v>1</v>
      </c>
      <c r="Y575" s="10" t="str">
        <f t="shared" si="2"/>
        <v>Unique</v>
      </c>
      <c r="Z575" s="10"/>
      <c r="AA575" s="10" t="str">
        <f t="shared" si="3"/>
        <v>Clean</v>
      </c>
      <c r="AB575" s="15" t="str">
        <f t="shared" si="4"/>
        <v>Valid</v>
      </c>
      <c r="AC575" s="15">
        <v>4</v>
      </c>
      <c r="AD575" s="16" t="str">
        <f t="shared" si="5"/>
        <v>Valid</v>
      </c>
      <c r="AE575" s="16" t="str">
        <f t="shared" si="6"/>
        <v>Valid</v>
      </c>
      <c r="AF575" s="16" t="str">
        <f t="shared" ref="AF575:AG575" si="1161">IF(ISNUMBER(B575),"Valid","Invalid")</f>
        <v>Valid</v>
      </c>
      <c r="AG575" s="16" t="str">
        <f t="shared" si="1161"/>
        <v>Valid</v>
      </c>
      <c r="AH575" s="16" t="str">
        <f t="shared" ref="AH575:AI575" si="1162">IF(OR(B575="",ISBLANK(B575)),"Missing","Valid")</f>
        <v>Valid</v>
      </c>
      <c r="AI575" s="16" t="str">
        <f t="shared" si="1162"/>
        <v>Valid</v>
      </c>
      <c r="AJ575" s="16" t="b">
        <v>0</v>
      </c>
      <c r="AK575" s="16" t="b">
        <v>0</v>
      </c>
      <c r="AL575" s="16" t="b">
        <v>0</v>
      </c>
      <c r="AM575" s="16" t="b">
        <v>0</v>
      </c>
      <c r="AN575" s="16" t="b">
        <v>0</v>
      </c>
      <c r="AO575" s="16" t="b">
        <v>0</v>
      </c>
      <c r="AP575" s="16" t="b">
        <v>0</v>
      </c>
      <c r="AQ575" s="17">
        <f t="shared" si="9"/>
        <v>0</v>
      </c>
      <c r="AR575" s="12">
        <f t="shared" si="10"/>
        <v>573.65</v>
      </c>
      <c r="AS575" s="18">
        <f t="shared" si="11"/>
        <v>0</v>
      </c>
      <c r="AT575" s="12">
        <f t="shared" si="12"/>
        <v>250.97999999999996</v>
      </c>
      <c r="AU575" s="18">
        <f t="shared" si="13"/>
        <v>0</v>
      </c>
      <c r="AV575" s="19">
        <f t="shared" si="14"/>
        <v>0.43751416368866031</v>
      </c>
      <c r="AW575" s="20" t="str">
        <f t="shared" si="15"/>
        <v>September</v>
      </c>
      <c r="AX575" s="21">
        <f t="shared" si="16"/>
        <v>2025</v>
      </c>
    </row>
    <row r="576" spans="1:50" ht="15.75" customHeight="1">
      <c r="A576" s="10" t="s">
        <v>1848</v>
      </c>
      <c r="B576" s="11">
        <v>45342</v>
      </c>
      <c r="C576" s="11">
        <v>45347</v>
      </c>
      <c r="D576" s="10" t="s">
        <v>832</v>
      </c>
      <c r="E576" s="10" t="s">
        <v>191</v>
      </c>
      <c r="F576" s="10" t="s">
        <v>124</v>
      </c>
      <c r="G576" s="10" t="s">
        <v>54</v>
      </c>
      <c r="H576" s="10" t="s">
        <v>151</v>
      </c>
      <c r="I576" s="10" t="s">
        <v>152</v>
      </c>
      <c r="J576" s="10" t="s">
        <v>103</v>
      </c>
      <c r="K576" s="10" t="s">
        <v>304</v>
      </c>
      <c r="L576" s="10" t="s">
        <v>1849</v>
      </c>
      <c r="M576" s="10" t="s">
        <v>88</v>
      </c>
      <c r="N576" s="12">
        <v>4</v>
      </c>
      <c r="O576" s="12">
        <v>1355.8</v>
      </c>
      <c r="P576" s="12">
        <v>0</v>
      </c>
      <c r="Q576" s="12">
        <v>5423.2</v>
      </c>
      <c r="R576" s="12">
        <v>4072.44</v>
      </c>
      <c r="S576" s="12">
        <v>1350.76</v>
      </c>
      <c r="T576" s="10" t="s">
        <v>61</v>
      </c>
      <c r="U576" s="13" t="s">
        <v>62</v>
      </c>
      <c r="V576" s="14" t="e">
        <f t="shared" ca="1" si="0"/>
        <v>#NAME?</v>
      </c>
      <c r="W576" s="10" t="str">
        <f ca="1">IFERROR(__xludf.DUMMYFUNCTION("IF(COUNTIF($A:$A,A570)=1,
""Unique"",
IF(COUNTUNIQUE(FILTER($V$2:$V$934,$A$2:$A$934=A570))&gt;1,
""Conflicting Duplicate"",
""Exact Duplicate""))"),"Unique")</f>
        <v>Unique</v>
      </c>
      <c r="X576" s="10" t="b">
        <f t="shared" ca="1" si="1"/>
        <v>1</v>
      </c>
      <c r="Y576" s="10" t="str">
        <f t="shared" si="2"/>
        <v>Unique</v>
      </c>
      <c r="Z576" s="10"/>
      <c r="AA576" s="10" t="str">
        <f t="shared" si="3"/>
        <v>Clean</v>
      </c>
      <c r="AB576" s="15" t="str">
        <f t="shared" si="4"/>
        <v>Valid</v>
      </c>
      <c r="AC576" s="15">
        <v>5</v>
      </c>
      <c r="AD576" s="16" t="str">
        <f t="shared" si="5"/>
        <v>Valid</v>
      </c>
      <c r="AE576" s="16" t="str">
        <f t="shared" si="6"/>
        <v>Valid</v>
      </c>
      <c r="AF576" s="16" t="str">
        <f t="shared" ref="AF576:AG576" si="1163">IF(ISNUMBER(B576),"Valid","Invalid")</f>
        <v>Valid</v>
      </c>
      <c r="AG576" s="16" t="str">
        <f t="shared" si="1163"/>
        <v>Valid</v>
      </c>
      <c r="AH576" s="16" t="str">
        <f t="shared" ref="AH576:AI576" si="1164">IF(OR(B576="",ISBLANK(B576)),"Missing","Valid")</f>
        <v>Valid</v>
      </c>
      <c r="AI576" s="16" t="str">
        <f t="shared" si="1164"/>
        <v>Valid</v>
      </c>
      <c r="AJ576" s="16" t="b">
        <v>0</v>
      </c>
      <c r="AK576" s="16" t="b">
        <v>0</v>
      </c>
      <c r="AL576" s="16" t="b">
        <v>0</v>
      </c>
      <c r="AM576" s="16" t="b">
        <v>0</v>
      </c>
      <c r="AN576" s="16" t="b">
        <v>0</v>
      </c>
      <c r="AO576" s="16" t="b">
        <v>0</v>
      </c>
      <c r="AP576" s="16" t="b">
        <v>0</v>
      </c>
      <c r="AQ576" s="17">
        <f t="shared" si="9"/>
        <v>0</v>
      </c>
      <c r="AR576" s="12">
        <f t="shared" si="10"/>
        <v>5423.2</v>
      </c>
      <c r="AS576" s="18">
        <f t="shared" si="11"/>
        <v>0</v>
      </c>
      <c r="AT576" s="12">
        <f t="shared" si="12"/>
        <v>1350.7599999999998</v>
      </c>
      <c r="AU576" s="18">
        <f t="shared" si="13"/>
        <v>0</v>
      </c>
      <c r="AV576" s="19">
        <f t="shared" si="14"/>
        <v>0.24907065938929043</v>
      </c>
      <c r="AW576" s="20" t="str">
        <f t="shared" si="15"/>
        <v>February</v>
      </c>
      <c r="AX576" s="21">
        <f t="shared" si="16"/>
        <v>2024</v>
      </c>
    </row>
    <row r="577" spans="1:50" ht="15.75" customHeight="1">
      <c r="A577" s="10" t="s">
        <v>1850</v>
      </c>
      <c r="B577" s="11">
        <v>45727</v>
      </c>
      <c r="C577" s="11">
        <v>45730</v>
      </c>
      <c r="D577" s="10" t="s">
        <v>1851</v>
      </c>
      <c r="E577" s="10" t="s">
        <v>161</v>
      </c>
      <c r="F577" s="10" t="s">
        <v>124</v>
      </c>
      <c r="G577" s="10" t="s">
        <v>83</v>
      </c>
      <c r="H577" s="10" t="s">
        <v>214</v>
      </c>
      <c r="I577" s="10" t="s">
        <v>215</v>
      </c>
      <c r="J577" s="10" t="s">
        <v>70</v>
      </c>
      <c r="K577" s="10" t="s">
        <v>86</v>
      </c>
      <c r="L577" s="10" t="s">
        <v>1852</v>
      </c>
      <c r="M577" s="10" t="s">
        <v>73</v>
      </c>
      <c r="N577" s="12">
        <v>4</v>
      </c>
      <c r="O577" s="12">
        <v>1244.82</v>
      </c>
      <c r="P577" s="12">
        <v>0.2</v>
      </c>
      <c r="Q577" s="12">
        <v>3983.42</v>
      </c>
      <c r="R577" s="12">
        <v>3174.91</v>
      </c>
      <c r="S577" s="12">
        <v>808.51</v>
      </c>
      <c r="T577" s="10" t="s">
        <v>184</v>
      </c>
      <c r="U577" s="13" t="s">
        <v>132</v>
      </c>
      <c r="V577" s="14" t="e">
        <f t="shared" ca="1" si="0"/>
        <v>#NAME?</v>
      </c>
      <c r="W577" s="10" t="str">
        <f ca="1">IFERROR(__xludf.DUMMYFUNCTION("IF(COUNTIF($A:$A,A571)=1,
""Unique"",
IF(COUNTUNIQUE(FILTER($V$2:$V$934,$A$2:$A$934=A571))&gt;1,
""Conflicting Duplicate"",
""Exact Duplicate""))"),"Unique")</f>
        <v>Unique</v>
      </c>
      <c r="X577" s="10" t="b">
        <f t="shared" ca="1" si="1"/>
        <v>1</v>
      </c>
      <c r="Y577" s="10" t="str">
        <f t="shared" si="2"/>
        <v>Unique</v>
      </c>
      <c r="Z577" s="10"/>
      <c r="AA577" s="10" t="str">
        <f t="shared" si="3"/>
        <v>Clean</v>
      </c>
      <c r="AB577" s="15" t="str">
        <f t="shared" si="4"/>
        <v>Valid</v>
      </c>
      <c r="AC577" s="15">
        <v>3</v>
      </c>
      <c r="AD577" s="16" t="str">
        <f t="shared" si="5"/>
        <v>Valid</v>
      </c>
      <c r="AE577" s="16" t="str">
        <f t="shared" si="6"/>
        <v>Valid</v>
      </c>
      <c r="AF577" s="16" t="str">
        <f t="shared" ref="AF577:AG577" si="1165">IF(ISNUMBER(B577),"Valid","Invalid")</f>
        <v>Valid</v>
      </c>
      <c r="AG577" s="16" t="str">
        <f t="shared" si="1165"/>
        <v>Valid</v>
      </c>
      <c r="AH577" s="16" t="str">
        <f t="shared" ref="AH577:AI577" si="1166">IF(OR(B577="",ISBLANK(B577)),"Missing","Valid")</f>
        <v>Valid</v>
      </c>
      <c r="AI577" s="16" t="str">
        <f t="shared" si="1166"/>
        <v>Valid</v>
      </c>
      <c r="AJ577" s="16" t="b">
        <v>0</v>
      </c>
      <c r="AK577" s="16" t="b">
        <v>0</v>
      </c>
      <c r="AL577" s="16" t="b">
        <v>0</v>
      </c>
      <c r="AM577" s="16" t="b">
        <v>0</v>
      </c>
      <c r="AN577" s="16" t="b">
        <v>0</v>
      </c>
      <c r="AO577" s="16" t="b">
        <v>0</v>
      </c>
      <c r="AP577" s="16" t="b">
        <v>0</v>
      </c>
      <c r="AQ577" s="17">
        <f t="shared" si="9"/>
        <v>0.2</v>
      </c>
      <c r="AR577" s="12">
        <f t="shared" si="10"/>
        <v>3983.424</v>
      </c>
      <c r="AS577" s="18">
        <f t="shared" si="11"/>
        <v>-3.9999999999054126E-3</v>
      </c>
      <c r="AT577" s="12">
        <f t="shared" si="12"/>
        <v>808.51400000000012</v>
      </c>
      <c r="AU577" s="18">
        <f t="shared" si="13"/>
        <v>-4.0000000001327862E-3</v>
      </c>
      <c r="AV577" s="19">
        <f t="shared" si="14"/>
        <v>0.2029696060474607</v>
      </c>
      <c r="AW577" s="20" t="str">
        <f t="shared" si="15"/>
        <v>March</v>
      </c>
      <c r="AX577" s="21">
        <f t="shared" si="16"/>
        <v>2025</v>
      </c>
    </row>
    <row r="578" spans="1:50" ht="15.75" customHeight="1">
      <c r="A578" s="10" t="s">
        <v>1853</v>
      </c>
      <c r="B578" s="11">
        <v>45339</v>
      </c>
      <c r="C578" s="11">
        <v>45345</v>
      </c>
      <c r="D578" s="10" t="s">
        <v>1854</v>
      </c>
      <c r="E578" s="10" t="s">
        <v>170</v>
      </c>
      <c r="F578" s="10" t="s">
        <v>124</v>
      </c>
      <c r="G578" s="10" t="s">
        <v>234</v>
      </c>
      <c r="H578" s="10" t="s">
        <v>174</v>
      </c>
      <c r="I578" s="10" t="s">
        <v>175</v>
      </c>
      <c r="J578" s="10" t="s">
        <v>57</v>
      </c>
      <c r="K578" s="10" t="s">
        <v>182</v>
      </c>
      <c r="L578" s="10" t="s">
        <v>1855</v>
      </c>
      <c r="M578" s="10" t="s">
        <v>88</v>
      </c>
      <c r="N578" s="12">
        <v>9</v>
      </c>
      <c r="O578" s="12">
        <v>2614.46</v>
      </c>
      <c r="P578" s="12">
        <v>0</v>
      </c>
      <c r="Q578" s="12">
        <v>23530.14</v>
      </c>
      <c r="R578" s="12">
        <v>19537.79</v>
      </c>
      <c r="S578" s="12">
        <v>3992.35</v>
      </c>
      <c r="T578" s="10" t="s">
        <v>131</v>
      </c>
      <c r="U578" s="13" t="s">
        <v>132</v>
      </c>
      <c r="V578" s="14" t="e">
        <f t="shared" ca="1" si="0"/>
        <v>#NAME?</v>
      </c>
      <c r="W578" s="10" t="str">
        <f ca="1">IFERROR(__xludf.DUMMYFUNCTION("IF(COUNTIF($A:$A,A572)=1,
""Unique"",
IF(COUNTUNIQUE(FILTER($V$2:$V$934,$A$2:$A$934=A572))&gt;1,
""Conflicting Duplicate"",
""Exact Duplicate""))"),"Unique")</f>
        <v>Unique</v>
      </c>
      <c r="X578" s="10" t="b">
        <f t="shared" ca="1" si="1"/>
        <v>1</v>
      </c>
      <c r="Y578" s="10" t="str">
        <f t="shared" si="2"/>
        <v>Unique</v>
      </c>
      <c r="Z578" s="10"/>
      <c r="AA578" s="10" t="str">
        <f t="shared" si="3"/>
        <v>Warning</v>
      </c>
      <c r="AB578" s="15" t="str">
        <f t="shared" si="4"/>
        <v>Valid</v>
      </c>
      <c r="AC578" s="15">
        <v>6</v>
      </c>
      <c r="AD578" s="16" t="str">
        <f t="shared" si="5"/>
        <v>Valid</v>
      </c>
      <c r="AE578" s="16" t="str">
        <f t="shared" si="6"/>
        <v>Valid</v>
      </c>
      <c r="AF578" s="16" t="str">
        <f t="shared" ref="AF578:AG578" si="1167">IF(ISNUMBER(B578),"Valid","Invalid")</f>
        <v>Valid</v>
      </c>
      <c r="AG578" s="16" t="str">
        <f t="shared" si="1167"/>
        <v>Valid</v>
      </c>
      <c r="AH578" s="16" t="str">
        <f t="shared" ref="AH578:AI578" si="1168">IF(OR(B578="",ISBLANK(B578)),"Missing","Valid")</f>
        <v>Valid</v>
      </c>
      <c r="AI578" s="16" t="str">
        <f t="shared" si="1168"/>
        <v>Valid</v>
      </c>
      <c r="AJ578" s="16" t="b">
        <v>1</v>
      </c>
      <c r="AK578" s="16" t="b">
        <v>0</v>
      </c>
      <c r="AL578" s="16" t="b">
        <v>0</v>
      </c>
      <c r="AM578" s="16" t="b">
        <v>0</v>
      </c>
      <c r="AN578" s="16" t="b">
        <v>0</v>
      </c>
      <c r="AO578" s="16" t="b">
        <v>0</v>
      </c>
      <c r="AP578" s="16" t="b">
        <v>1</v>
      </c>
      <c r="AQ578" s="17">
        <f t="shared" si="9"/>
        <v>0</v>
      </c>
      <c r="AR578" s="12">
        <f t="shared" si="10"/>
        <v>23530.14</v>
      </c>
      <c r="AS578" s="18">
        <f t="shared" si="11"/>
        <v>0</v>
      </c>
      <c r="AT578" s="12">
        <f t="shared" si="12"/>
        <v>3992.3499999999985</v>
      </c>
      <c r="AU578" s="18">
        <f t="shared" si="13"/>
        <v>0</v>
      </c>
      <c r="AV578" s="19">
        <f t="shared" si="14"/>
        <v>0.16966962372514566</v>
      </c>
      <c r="AW578" s="20" t="str">
        <f t="shared" si="15"/>
        <v>February</v>
      </c>
      <c r="AX578" s="21">
        <f t="shared" si="16"/>
        <v>2024</v>
      </c>
    </row>
    <row r="579" spans="1:50" ht="15.75" customHeight="1">
      <c r="A579" s="10" t="s">
        <v>1856</v>
      </c>
      <c r="B579" s="11">
        <v>45897</v>
      </c>
      <c r="C579" s="11">
        <v>45903</v>
      </c>
      <c r="D579" s="10" t="s">
        <v>1857</v>
      </c>
      <c r="E579" s="10" t="s">
        <v>143</v>
      </c>
      <c r="F579" s="10" t="s">
        <v>119</v>
      </c>
      <c r="G579" s="10" t="s">
        <v>92</v>
      </c>
      <c r="H579" s="10" t="s">
        <v>101</v>
      </c>
      <c r="I579" s="10" t="s">
        <v>102</v>
      </c>
      <c r="J579" s="10" t="s">
        <v>70</v>
      </c>
      <c r="K579" s="10" t="s">
        <v>86</v>
      </c>
      <c r="L579" s="10" t="s">
        <v>1858</v>
      </c>
      <c r="M579" s="10" t="s">
        <v>88</v>
      </c>
      <c r="N579" s="12">
        <v>7</v>
      </c>
      <c r="O579" s="12">
        <v>268.45</v>
      </c>
      <c r="P579" s="12">
        <v>0</v>
      </c>
      <c r="Q579" s="12">
        <v>1879.15</v>
      </c>
      <c r="R579" s="12">
        <v>1134.9000000000001</v>
      </c>
      <c r="S579" s="12">
        <v>744.25</v>
      </c>
      <c r="T579" s="10" t="s">
        <v>61</v>
      </c>
      <c r="U579" s="13" t="s">
        <v>62</v>
      </c>
      <c r="V579" s="14" t="e">
        <f t="shared" ca="1" si="0"/>
        <v>#NAME?</v>
      </c>
      <c r="W579" s="10" t="str">
        <f ca="1">IFERROR(__xludf.DUMMYFUNCTION("IF(COUNTIF($A:$A,A573)=1,
""Unique"",
IF(COUNTUNIQUE(FILTER($V$2:$V$934,$A$2:$A$934=A573))&gt;1,
""Conflicting Duplicate"",
""Exact Duplicate""))"),"Conflicting Duplicate")</f>
        <v>Conflicting Duplicate</v>
      </c>
      <c r="X579" s="10" t="b">
        <f t="shared" ca="1" si="1"/>
        <v>1</v>
      </c>
      <c r="Y579" s="10" t="str">
        <f t="shared" si="2"/>
        <v>Unique</v>
      </c>
      <c r="Z579" s="10"/>
      <c r="AA579" s="10" t="str">
        <f t="shared" si="3"/>
        <v>Clean</v>
      </c>
      <c r="AB579" s="15" t="str">
        <f t="shared" si="4"/>
        <v>Valid</v>
      </c>
      <c r="AC579" s="15">
        <v>6</v>
      </c>
      <c r="AD579" s="16" t="str">
        <f t="shared" si="5"/>
        <v>Valid</v>
      </c>
      <c r="AE579" s="16" t="str">
        <f t="shared" si="6"/>
        <v>Valid</v>
      </c>
      <c r="AF579" s="16" t="str">
        <f t="shared" ref="AF579:AG579" si="1169">IF(ISNUMBER(B579),"Valid","Invalid")</f>
        <v>Valid</v>
      </c>
      <c r="AG579" s="16" t="str">
        <f t="shared" si="1169"/>
        <v>Valid</v>
      </c>
      <c r="AH579" s="16" t="str">
        <f t="shared" ref="AH579:AI579" si="1170">IF(OR(B579="",ISBLANK(B579)),"Missing","Valid")</f>
        <v>Valid</v>
      </c>
      <c r="AI579" s="16" t="str">
        <f t="shared" si="1170"/>
        <v>Valid</v>
      </c>
      <c r="AJ579" s="16" t="b">
        <v>0</v>
      </c>
      <c r="AK579" s="16" t="b">
        <v>0</v>
      </c>
      <c r="AL579" s="16" t="b">
        <v>0</v>
      </c>
      <c r="AM579" s="16" t="b">
        <v>0</v>
      </c>
      <c r="AN579" s="16" t="b">
        <v>0</v>
      </c>
      <c r="AO579" s="16" t="b">
        <v>0</v>
      </c>
      <c r="AP579" s="16" t="b">
        <v>0</v>
      </c>
      <c r="AQ579" s="17">
        <f t="shared" si="9"/>
        <v>0</v>
      </c>
      <c r="AR579" s="12">
        <f t="shared" si="10"/>
        <v>1879.1499999999999</v>
      </c>
      <c r="AS579" s="18">
        <f t="shared" si="11"/>
        <v>0</v>
      </c>
      <c r="AT579" s="12">
        <f t="shared" si="12"/>
        <v>744.24999999999977</v>
      </c>
      <c r="AU579" s="18">
        <f t="shared" si="13"/>
        <v>0</v>
      </c>
      <c r="AV579" s="19">
        <f t="shared" si="14"/>
        <v>0.39605672777585599</v>
      </c>
      <c r="AW579" s="20" t="str">
        <f t="shared" si="15"/>
        <v>August</v>
      </c>
      <c r="AX579" s="21">
        <f t="shared" si="16"/>
        <v>2025</v>
      </c>
    </row>
    <row r="580" spans="1:50" ht="15.75" customHeight="1">
      <c r="A580" s="10" t="s">
        <v>1859</v>
      </c>
      <c r="B580" s="11">
        <v>45343</v>
      </c>
      <c r="C580" s="11">
        <v>45345</v>
      </c>
      <c r="D580" s="10" t="s">
        <v>325</v>
      </c>
      <c r="E580" s="10" t="s">
        <v>108</v>
      </c>
      <c r="F580" s="10" t="s">
        <v>66</v>
      </c>
      <c r="G580" s="10" t="s">
        <v>92</v>
      </c>
      <c r="H580" s="10" t="s">
        <v>209</v>
      </c>
      <c r="I580" s="10" t="s">
        <v>210</v>
      </c>
      <c r="J580" s="10" t="s">
        <v>103</v>
      </c>
      <c r="K580" s="10" t="s">
        <v>109</v>
      </c>
      <c r="L580" s="10" t="s">
        <v>1860</v>
      </c>
      <c r="M580" s="10" t="s">
        <v>79</v>
      </c>
      <c r="N580" s="12">
        <v>6</v>
      </c>
      <c r="O580" s="12">
        <v>2633.65</v>
      </c>
      <c r="P580" s="12">
        <v>0.05</v>
      </c>
      <c r="Q580" s="12">
        <v>15011.81</v>
      </c>
      <c r="R580" s="12">
        <v>9660.36</v>
      </c>
      <c r="S580" s="12">
        <v>5351.45</v>
      </c>
      <c r="T580" s="10" t="s">
        <v>61</v>
      </c>
      <c r="U580" s="13" t="s">
        <v>62</v>
      </c>
      <c r="V580" s="14" t="e">
        <f t="shared" ca="1" si="0"/>
        <v>#NAME?</v>
      </c>
      <c r="W580" s="10" t="str">
        <f ca="1">IFERROR(__xludf.DUMMYFUNCTION("IF(COUNTIF($A:$A,A574)=1,
""Unique"",
IF(COUNTUNIQUE(FILTER($V$2:$V$934,$A$2:$A$934=A574))&gt;1,
""Conflicting Duplicate"",
""Exact Duplicate""))"),"Unique")</f>
        <v>Unique</v>
      </c>
      <c r="X580" s="10" t="b">
        <f t="shared" ca="1" si="1"/>
        <v>1</v>
      </c>
      <c r="Y580" s="10" t="str">
        <f t="shared" si="2"/>
        <v>Unique</v>
      </c>
      <c r="Z580" s="10"/>
      <c r="AA580" s="10" t="str">
        <f t="shared" si="3"/>
        <v>Clean</v>
      </c>
      <c r="AB580" s="15" t="str">
        <f t="shared" si="4"/>
        <v>Valid</v>
      </c>
      <c r="AC580" s="15">
        <v>2</v>
      </c>
      <c r="AD580" s="16" t="str">
        <f t="shared" si="5"/>
        <v>Valid</v>
      </c>
      <c r="AE580" s="16" t="str">
        <f t="shared" si="6"/>
        <v>Valid</v>
      </c>
      <c r="AF580" s="16" t="str">
        <f t="shared" ref="AF580:AG580" si="1171">IF(ISNUMBER(B580),"Valid","Invalid")</f>
        <v>Valid</v>
      </c>
      <c r="AG580" s="16" t="str">
        <f t="shared" si="1171"/>
        <v>Valid</v>
      </c>
      <c r="AH580" s="16" t="str">
        <f t="shared" ref="AH580:AI580" si="1172">IF(OR(B580="",ISBLANK(B580)),"Missing","Valid")</f>
        <v>Valid</v>
      </c>
      <c r="AI580" s="16" t="str">
        <f t="shared" si="1172"/>
        <v>Valid</v>
      </c>
      <c r="AJ580" s="16" t="b">
        <v>0</v>
      </c>
      <c r="AK580" s="16" t="b">
        <v>0</v>
      </c>
      <c r="AL580" s="16" t="b">
        <v>0</v>
      </c>
      <c r="AM580" s="16" t="b">
        <v>0</v>
      </c>
      <c r="AN580" s="16" t="b">
        <v>0</v>
      </c>
      <c r="AO580" s="16" t="b">
        <v>0</v>
      </c>
      <c r="AP580" s="16" t="b">
        <v>0</v>
      </c>
      <c r="AQ580" s="17">
        <f t="shared" si="9"/>
        <v>0.05</v>
      </c>
      <c r="AR580" s="12">
        <f t="shared" si="10"/>
        <v>15011.805</v>
      </c>
      <c r="AS580" s="18">
        <f t="shared" si="11"/>
        <v>4.9999999991996447E-3</v>
      </c>
      <c r="AT580" s="12">
        <f t="shared" si="12"/>
        <v>5351.4449999999997</v>
      </c>
      <c r="AU580" s="18">
        <f t="shared" si="13"/>
        <v>5.0000000001091394E-3</v>
      </c>
      <c r="AV580" s="19">
        <f t="shared" si="14"/>
        <v>0.35648244831317749</v>
      </c>
      <c r="AW580" s="20" t="str">
        <f t="shared" si="15"/>
        <v>February</v>
      </c>
      <c r="AX580" s="21">
        <f t="shared" si="16"/>
        <v>2024</v>
      </c>
    </row>
    <row r="581" spans="1:50" ht="15.75" customHeight="1">
      <c r="A581" s="10" t="s">
        <v>1861</v>
      </c>
      <c r="B581" s="11">
        <v>45462</v>
      </c>
      <c r="C581" s="11">
        <v>45467</v>
      </c>
      <c r="D581" s="10" t="s">
        <v>1862</v>
      </c>
      <c r="E581" s="10" t="s">
        <v>157</v>
      </c>
      <c r="F581" s="10" t="s">
        <v>66</v>
      </c>
      <c r="G581" s="10" t="s">
        <v>83</v>
      </c>
      <c r="H581" s="10" t="s">
        <v>277</v>
      </c>
      <c r="I581" s="10" t="s">
        <v>278</v>
      </c>
      <c r="J581" s="10" t="s">
        <v>57</v>
      </c>
      <c r="K581" s="10" t="s">
        <v>153</v>
      </c>
      <c r="L581" s="10" t="s">
        <v>1863</v>
      </c>
      <c r="M581" s="10" t="s">
        <v>73</v>
      </c>
      <c r="N581" s="12">
        <v>1</v>
      </c>
      <c r="O581" s="12">
        <v>3202.41</v>
      </c>
      <c r="P581" s="12">
        <v>0</v>
      </c>
      <c r="Q581" s="12">
        <v>3202.41</v>
      </c>
      <c r="R581" s="12">
        <v>2608.44</v>
      </c>
      <c r="S581" s="12">
        <v>593.97</v>
      </c>
      <c r="T581" s="10" t="s">
        <v>61</v>
      </c>
      <c r="U581" s="13" t="s">
        <v>62</v>
      </c>
      <c r="V581" s="14" t="e">
        <f t="shared" ca="1" si="0"/>
        <v>#NAME?</v>
      </c>
      <c r="W581" s="10" t="str">
        <f ca="1">IFERROR(__xludf.DUMMYFUNCTION("IF(COUNTIF($A:$A,A575)=1,
""Unique"",
IF(COUNTUNIQUE(FILTER($V$2:$V$934,$A$2:$A$934=A575))&gt;1,
""Conflicting Duplicate"",
""Exact Duplicate""))"),"Unique")</f>
        <v>Unique</v>
      </c>
      <c r="X581" s="10" t="b">
        <f t="shared" ca="1" si="1"/>
        <v>1</v>
      </c>
      <c r="Y581" s="10" t="str">
        <f t="shared" si="2"/>
        <v>Unique</v>
      </c>
      <c r="Z581" s="10"/>
      <c r="AA581" s="10" t="str">
        <f t="shared" si="3"/>
        <v>Clean</v>
      </c>
      <c r="AB581" s="15" t="str">
        <f t="shared" si="4"/>
        <v>Valid</v>
      </c>
      <c r="AC581" s="15">
        <v>5</v>
      </c>
      <c r="AD581" s="16" t="str">
        <f t="shared" si="5"/>
        <v>Valid</v>
      </c>
      <c r="AE581" s="16" t="str">
        <f t="shared" si="6"/>
        <v>Valid</v>
      </c>
      <c r="AF581" s="16" t="str">
        <f t="shared" ref="AF581:AG581" si="1173">IF(ISNUMBER(B581),"Valid","Invalid")</f>
        <v>Valid</v>
      </c>
      <c r="AG581" s="16" t="str">
        <f t="shared" si="1173"/>
        <v>Valid</v>
      </c>
      <c r="AH581" s="16" t="str">
        <f t="shared" ref="AH581:AI581" si="1174">IF(OR(B581="",ISBLANK(B581)),"Missing","Valid")</f>
        <v>Valid</v>
      </c>
      <c r="AI581" s="16" t="str">
        <f t="shared" si="1174"/>
        <v>Valid</v>
      </c>
      <c r="AJ581" s="16" t="b">
        <v>0</v>
      </c>
      <c r="AK581" s="16" t="b">
        <v>0</v>
      </c>
      <c r="AL581" s="16" t="b">
        <v>0</v>
      </c>
      <c r="AM581" s="16" t="b">
        <v>0</v>
      </c>
      <c r="AN581" s="16" t="b">
        <v>0</v>
      </c>
      <c r="AO581" s="16" t="b">
        <v>0</v>
      </c>
      <c r="AP581" s="16" t="b">
        <v>0</v>
      </c>
      <c r="AQ581" s="17">
        <f t="shared" si="9"/>
        <v>0</v>
      </c>
      <c r="AR581" s="12">
        <f t="shared" si="10"/>
        <v>3202.41</v>
      </c>
      <c r="AS581" s="18">
        <f t="shared" si="11"/>
        <v>0</v>
      </c>
      <c r="AT581" s="12">
        <f t="shared" si="12"/>
        <v>593.9699999999998</v>
      </c>
      <c r="AU581" s="18">
        <f t="shared" si="13"/>
        <v>0</v>
      </c>
      <c r="AV581" s="19">
        <f t="shared" si="14"/>
        <v>0.18547593843386695</v>
      </c>
      <c r="AW581" s="20" t="str">
        <f t="shared" si="15"/>
        <v>June</v>
      </c>
      <c r="AX581" s="21">
        <f t="shared" si="16"/>
        <v>2024</v>
      </c>
    </row>
    <row r="582" spans="1:50" ht="15.75" customHeight="1">
      <c r="A582" s="10" t="s">
        <v>1864</v>
      </c>
      <c r="B582" s="11">
        <v>45722</v>
      </c>
      <c r="C582" s="11">
        <v>45729</v>
      </c>
      <c r="D582" s="10" t="s">
        <v>1865</v>
      </c>
      <c r="E582" s="10" t="s">
        <v>294</v>
      </c>
      <c r="F582" s="10" t="s">
        <v>53</v>
      </c>
      <c r="G582" s="10" t="s">
        <v>83</v>
      </c>
      <c r="H582" s="10" t="s">
        <v>214</v>
      </c>
      <c r="I582" s="10" t="s">
        <v>215</v>
      </c>
      <c r="J582" s="10" t="s">
        <v>70</v>
      </c>
      <c r="K582" s="10" t="s">
        <v>95</v>
      </c>
      <c r="L582" s="10" t="s">
        <v>1866</v>
      </c>
      <c r="M582" s="10" t="s">
        <v>88</v>
      </c>
      <c r="N582" s="12">
        <v>3</v>
      </c>
      <c r="O582" s="12">
        <v>163.72</v>
      </c>
      <c r="P582" s="12">
        <v>0.15</v>
      </c>
      <c r="Q582" s="12">
        <v>417.49</v>
      </c>
      <c r="R582" s="12">
        <v>261.67</v>
      </c>
      <c r="S582" s="12">
        <v>155.82</v>
      </c>
      <c r="T582" s="10" t="s">
        <v>184</v>
      </c>
      <c r="U582" s="13" t="s">
        <v>132</v>
      </c>
      <c r="V582" s="14" t="e">
        <f t="shared" ca="1" si="0"/>
        <v>#NAME?</v>
      </c>
      <c r="W582" s="10" t="str">
        <f ca="1">IFERROR(__xludf.DUMMYFUNCTION("IF(COUNTIF($A:$A,A576)=1,
""Unique"",
IF(COUNTUNIQUE(FILTER($V$2:$V$934,$A$2:$A$934=A576))&gt;1,
""Conflicting Duplicate"",
""Exact Duplicate""))"),"Unique")</f>
        <v>Unique</v>
      </c>
      <c r="X582" s="10" t="b">
        <f t="shared" ca="1" si="1"/>
        <v>1</v>
      </c>
      <c r="Y582" s="10" t="str">
        <f t="shared" si="2"/>
        <v>Unique</v>
      </c>
      <c r="Z582" s="10"/>
      <c r="AA582" s="10" t="str">
        <f t="shared" si="3"/>
        <v>Clean</v>
      </c>
      <c r="AB582" s="15" t="str">
        <f t="shared" si="4"/>
        <v>Valid</v>
      </c>
      <c r="AC582" s="15">
        <v>7</v>
      </c>
      <c r="AD582" s="16" t="str">
        <f t="shared" si="5"/>
        <v>Valid</v>
      </c>
      <c r="AE582" s="16" t="str">
        <f t="shared" si="6"/>
        <v>Valid</v>
      </c>
      <c r="AF582" s="16" t="str">
        <f t="shared" ref="AF582:AG582" si="1175">IF(ISNUMBER(B582),"Valid","Invalid")</f>
        <v>Valid</v>
      </c>
      <c r="AG582" s="16" t="str">
        <f t="shared" si="1175"/>
        <v>Valid</v>
      </c>
      <c r="AH582" s="16" t="str">
        <f t="shared" ref="AH582:AI582" si="1176">IF(OR(B582="",ISBLANK(B582)),"Missing","Valid")</f>
        <v>Valid</v>
      </c>
      <c r="AI582" s="16" t="str">
        <f t="shared" si="1176"/>
        <v>Valid</v>
      </c>
      <c r="AJ582" s="16" t="b">
        <v>0</v>
      </c>
      <c r="AK582" s="16" t="b">
        <v>0</v>
      </c>
      <c r="AL582" s="16" t="b">
        <v>0</v>
      </c>
      <c r="AM582" s="16" t="b">
        <v>0</v>
      </c>
      <c r="AN582" s="16" t="b">
        <v>0</v>
      </c>
      <c r="AO582" s="16" t="b">
        <v>0</v>
      </c>
      <c r="AP582" s="16" t="b">
        <v>0</v>
      </c>
      <c r="AQ582" s="17">
        <f t="shared" si="9"/>
        <v>0.15</v>
      </c>
      <c r="AR582" s="12">
        <f t="shared" si="10"/>
        <v>417.48599999999999</v>
      </c>
      <c r="AS582" s="18">
        <f t="shared" si="11"/>
        <v>4.0000000000190994E-3</v>
      </c>
      <c r="AT582" s="12">
        <f t="shared" si="12"/>
        <v>155.81599999999997</v>
      </c>
      <c r="AU582" s="18">
        <f t="shared" si="13"/>
        <v>4.0000000000190994E-3</v>
      </c>
      <c r="AV582" s="19">
        <f t="shared" si="14"/>
        <v>0.37322449136018926</v>
      </c>
      <c r="AW582" s="20" t="str">
        <f t="shared" si="15"/>
        <v>March</v>
      </c>
      <c r="AX582" s="21">
        <f t="shared" si="16"/>
        <v>2025</v>
      </c>
    </row>
    <row r="583" spans="1:50" ht="15.75" customHeight="1">
      <c r="A583" s="10" t="s">
        <v>1867</v>
      </c>
      <c r="B583" s="11">
        <v>45878</v>
      </c>
      <c r="C583" s="11">
        <v>45879</v>
      </c>
      <c r="D583" s="10" t="s">
        <v>1868</v>
      </c>
      <c r="E583" s="10" t="s">
        <v>108</v>
      </c>
      <c r="F583" s="10" t="s">
        <v>53</v>
      </c>
      <c r="G583" s="10" t="s">
        <v>54</v>
      </c>
      <c r="H583" s="10" t="s">
        <v>380</v>
      </c>
      <c r="I583" s="10" t="s">
        <v>381</v>
      </c>
      <c r="J583" s="10" t="s">
        <v>57</v>
      </c>
      <c r="K583" s="10" t="s">
        <v>77</v>
      </c>
      <c r="L583" s="10" t="s">
        <v>1869</v>
      </c>
      <c r="M583" s="10" t="s">
        <v>60</v>
      </c>
      <c r="N583" s="12">
        <v>4</v>
      </c>
      <c r="O583" s="12">
        <v>4080.95</v>
      </c>
      <c r="P583" s="12">
        <v>0</v>
      </c>
      <c r="Q583" s="12">
        <v>16323.8</v>
      </c>
      <c r="R583" s="12">
        <v>9965.7900000000009</v>
      </c>
      <c r="S583" s="12">
        <v>6358.01</v>
      </c>
      <c r="T583" s="10" t="s">
        <v>131</v>
      </c>
      <c r="U583" s="13" t="s">
        <v>132</v>
      </c>
      <c r="V583" s="14" t="e">
        <f t="shared" ca="1" si="0"/>
        <v>#NAME?</v>
      </c>
      <c r="W583" s="10" t="str">
        <f ca="1">IFERROR(__xludf.DUMMYFUNCTION("IF(COUNTIF($A:$A,A577)=1,
""Unique"",
IF(COUNTUNIQUE(FILTER($V$2:$V$934,$A$2:$A$934=A577))&gt;1,
""Conflicting Duplicate"",
""Exact Duplicate""))"),"Unique")</f>
        <v>Unique</v>
      </c>
      <c r="X583" s="10" t="b">
        <f t="shared" ca="1" si="1"/>
        <v>1</v>
      </c>
      <c r="Y583" s="10" t="str">
        <f t="shared" si="2"/>
        <v>Unique</v>
      </c>
      <c r="Z583" s="10"/>
      <c r="AA583" s="10" t="str">
        <f t="shared" si="3"/>
        <v>Clean</v>
      </c>
      <c r="AB583" s="15" t="str">
        <f t="shared" si="4"/>
        <v>Valid</v>
      </c>
      <c r="AC583" s="15">
        <v>1</v>
      </c>
      <c r="AD583" s="16" t="str">
        <f t="shared" si="5"/>
        <v>Valid</v>
      </c>
      <c r="AE583" s="16" t="str">
        <f t="shared" si="6"/>
        <v>Valid</v>
      </c>
      <c r="AF583" s="16" t="str">
        <f t="shared" ref="AF583:AG583" si="1177">IF(ISNUMBER(B583),"Valid","Invalid")</f>
        <v>Valid</v>
      </c>
      <c r="AG583" s="16" t="str">
        <f t="shared" si="1177"/>
        <v>Valid</v>
      </c>
      <c r="AH583" s="16" t="str">
        <f t="shared" ref="AH583:AI583" si="1178">IF(OR(B583="",ISBLANK(B583)),"Missing","Valid")</f>
        <v>Valid</v>
      </c>
      <c r="AI583" s="16" t="str">
        <f t="shared" si="1178"/>
        <v>Valid</v>
      </c>
      <c r="AJ583" s="16" t="b">
        <v>0</v>
      </c>
      <c r="AK583" s="16" t="b">
        <v>0</v>
      </c>
      <c r="AL583" s="16" t="b">
        <v>0</v>
      </c>
      <c r="AM583" s="16" t="b">
        <v>0</v>
      </c>
      <c r="AN583" s="16" t="b">
        <v>0</v>
      </c>
      <c r="AO583" s="16" t="b">
        <v>0</v>
      </c>
      <c r="AP583" s="16" t="b">
        <v>0</v>
      </c>
      <c r="AQ583" s="17">
        <f t="shared" si="9"/>
        <v>0</v>
      </c>
      <c r="AR583" s="12">
        <f t="shared" si="10"/>
        <v>16323.8</v>
      </c>
      <c r="AS583" s="18">
        <f t="shared" si="11"/>
        <v>0</v>
      </c>
      <c r="AT583" s="12">
        <f t="shared" si="12"/>
        <v>6358.0099999999984</v>
      </c>
      <c r="AU583" s="18">
        <f t="shared" si="13"/>
        <v>0</v>
      </c>
      <c r="AV583" s="19">
        <f t="shared" si="14"/>
        <v>0.38949325524693995</v>
      </c>
      <c r="AW583" s="20" t="str">
        <f t="shared" si="15"/>
        <v>August</v>
      </c>
      <c r="AX583" s="21">
        <f t="shared" si="16"/>
        <v>2025</v>
      </c>
    </row>
    <row r="584" spans="1:50" ht="15.75" customHeight="1">
      <c r="A584" s="10" t="s">
        <v>1870</v>
      </c>
      <c r="B584" s="11">
        <v>45580</v>
      </c>
      <c r="C584" s="11">
        <v>45585</v>
      </c>
      <c r="D584" s="10" t="s">
        <v>1871</v>
      </c>
      <c r="E584" s="10" t="s">
        <v>91</v>
      </c>
      <c r="F584" s="10" t="s">
        <v>53</v>
      </c>
      <c r="G584" s="10" t="s">
        <v>67</v>
      </c>
      <c r="H584" s="10" t="s">
        <v>68</v>
      </c>
      <c r="I584" s="10" t="s">
        <v>69</v>
      </c>
      <c r="J584" s="10" t="s">
        <v>57</v>
      </c>
      <c r="K584" s="10" t="s">
        <v>77</v>
      </c>
      <c r="L584" s="10" t="s">
        <v>1872</v>
      </c>
      <c r="M584" s="10" t="s">
        <v>79</v>
      </c>
      <c r="N584" s="12">
        <v>5</v>
      </c>
      <c r="O584" s="12">
        <v>671.24</v>
      </c>
      <c r="P584" s="12">
        <v>0</v>
      </c>
      <c r="Q584" s="12">
        <v>3356.2</v>
      </c>
      <c r="R584" s="12">
        <v>2205.7199999999998</v>
      </c>
      <c r="S584" s="12">
        <v>1150.48</v>
      </c>
      <c r="T584" s="10" t="s">
        <v>140</v>
      </c>
      <c r="U584" s="13" t="s">
        <v>132</v>
      </c>
      <c r="V584" s="14" t="e">
        <f t="shared" ca="1" si="0"/>
        <v>#NAME?</v>
      </c>
      <c r="W584" s="10" t="str">
        <f ca="1">IFERROR(__xludf.DUMMYFUNCTION("IF(COUNTIF($A:$A,A578)=1,
""Unique"",
IF(COUNTUNIQUE(FILTER($V$2:$V$934,$A$2:$A$934=A578))&gt;1,
""Conflicting Duplicate"",
""Exact Duplicate""))"),"Unique")</f>
        <v>Unique</v>
      </c>
      <c r="X584" s="10" t="b">
        <f t="shared" ca="1" si="1"/>
        <v>1</v>
      </c>
      <c r="Y584" s="10" t="str">
        <f t="shared" si="2"/>
        <v>Unique</v>
      </c>
      <c r="Z584" s="10"/>
      <c r="AA584" s="10" t="str">
        <f t="shared" si="3"/>
        <v>Clean</v>
      </c>
      <c r="AB584" s="15" t="str">
        <f t="shared" si="4"/>
        <v>Valid</v>
      </c>
      <c r="AC584" s="15">
        <v>5</v>
      </c>
      <c r="AD584" s="16" t="str">
        <f t="shared" si="5"/>
        <v>Valid</v>
      </c>
      <c r="AE584" s="16" t="str">
        <f t="shared" si="6"/>
        <v>Valid</v>
      </c>
      <c r="AF584" s="16" t="str">
        <f t="shared" ref="AF584:AG584" si="1179">IF(ISNUMBER(B584),"Valid","Invalid")</f>
        <v>Valid</v>
      </c>
      <c r="AG584" s="16" t="str">
        <f t="shared" si="1179"/>
        <v>Valid</v>
      </c>
      <c r="AH584" s="16" t="str">
        <f t="shared" ref="AH584:AI584" si="1180">IF(OR(B584="",ISBLANK(B584)),"Missing","Valid")</f>
        <v>Valid</v>
      </c>
      <c r="AI584" s="16" t="str">
        <f t="shared" si="1180"/>
        <v>Valid</v>
      </c>
      <c r="AJ584" s="16" t="b">
        <v>0</v>
      </c>
      <c r="AK584" s="16" t="b">
        <v>0</v>
      </c>
      <c r="AL584" s="16" t="b">
        <v>0</v>
      </c>
      <c r="AM584" s="16" t="b">
        <v>0</v>
      </c>
      <c r="AN584" s="16" t="b">
        <v>0</v>
      </c>
      <c r="AO584" s="16" t="b">
        <v>0</v>
      </c>
      <c r="AP584" s="16" t="b">
        <v>0</v>
      </c>
      <c r="AQ584" s="17">
        <f t="shared" si="9"/>
        <v>0</v>
      </c>
      <c r="AR584" s="12">
        <f t="shared" si="10"/>
        <v>3356.2</v>
      </c>
      <c r="AS584" s="18">
        <f t="shared" si="11"/>
        <v>0</v>
      </c>
      <c r="AT584" s="12">
        <f t="shared" si="12"/>
        <v>1150.48</v>
      </c>
      <c r="AU584" s="18">
        <f t="shared" si="13"/>
        <v>0</v>
      </c>
      <c r="AV584" s="19">
        <f t="shared" si="14"/>
        <v>0.34279244383528995</v>
      </c>
      <c r="AW584" s="20" t="str">
        <f t="shared" si="15"/>
        <v>October</v>
      </c>
      <c r="AX584" s="21">
        <f t="shared" si="16"/>
        <v>2024</v>
      </c>
    </row>
    <row r="585" spans="1:50" ht="15.75" customHeight="1">
      <c r="A585" s="10" t="s">
        <v>1873</v>
      </c>
      <c r="B585" s="11">
        <v>45350</v>
      </c>
      <c r="C585" s="11">
        <v>45350</v>
      </c>
      <c r="D585" s="10" t="s">
        <v>1874</v>
      </c>
      <c r="E585" s="10" t="s">
        <v>170</v>
      </c>
      <c r="F585" s="10" t="s">
        <v>66</v>
      </c>
      <c r="G585" s="10" t="s">
        <v>67</v>
      </c>
      <c r="H585" s="10" t="s">
        <v>128</v>
      </c>
      <c r="I585" s="10" t="s">
        <v>129</v>
      </c>
      <c r="J585" s="10" t="s">
        <v>57</v>
      </c>
      <c r="K585" s="10" t="s">
        <v>153</v>
      </c>
      <c r="L585" s="10" t="s">
        <v>1875</v>
      </c>
      <c r="M585" s="10" t="s">
        <v>79</v>
      </c>
      <c r="N585" s="12">
        <v>1</v>
      </c>
      <c r="O585" s="12">
        <v>2626.84</v>
      </c>
      <c r="P585" s="12">
        <v>0.2</v>
      </c>
      <c r="Q585" s="12">
        <v>2101.4699999999998</v>
      </c>
      <c r="R585" s="12">
        <v>1217.83</v>
      </c>
      <c r="S585" s="12">
        <v>883.64</v>
      </c>
      <c r="T585" s="10" t="s">
        <v>184</v>
      </c>
      <c r="U585" s="13" t="s">
        <v>132</v>
      </c>
      <c r="V585" s="14" t="e">
        <f t="shared" ca="1" si="0"/>
        <v>#NAME?</v>
      </c>
      <c r="W585" s="10" t="str">
        <f ca="1">IFERROR(__xludf.DUMMYFUNCTION("IF(COUNTIF($A:$A,A579)=1,
""Unique"",
IF(COUNTUNIQUE(FILTER($V$2:$V$934,$A$2:$A$934=A579))&gt;1,
""Conflicting Duplicate"",
""Exact Duplicate""))"),"Unique")</f>
        <v>Unique</v>
      </c>
      <c r="X585" s="10" t="b">
        <f t="shared" ca="1" si="1"/>
        <v>1</v>
      </c>
      <c r="Y585" s="10" t="str">
        <f t="shared" si="2"/>
        <v>Unique</v>
      </c>
      <c r="Z585" s="10"/>
      <c r="AA585" s="10" t="str">
        <f t="shared" si="3"/>
        <v>Clean</v>
      </c>
      <c r="AB585" s="15" t="str">
        <f t="shared" si="4"/>
        <v>Valid</v>
      </c>
      <c r="AC585" s="15">
        <v>0</v>
      </c>
      <c r="AD585" s="16" t="str">
        <f t="shared" si="5"/>
        <v>Valid</v>
      </c>
      <c r="AE585" s="16" t="str">
        <f t="shared" si="6"/>
        <v>Valid</v>
      </c>
      <c r="AF585" s="16" t="str">
        <f t="shared" ref="AF585:AG585" si="1181">IF(ISNUMBER(B585),"Valid","Invalid")</f>
        <v>Valid</v>
      </c>
      <c r="AG585" s="16" t="str">
        <f t="shared" si="1181"/>
        <v>Valid</v>
      </c>
      <c r="AH585" s="16" t="str">
        <f t="shared" ref="AH585:AI585" si="1182">IF(OR(B585="",ISBLANK(B585)),"Missing","Valid")</f>
        <v>Valid</v>
      </c>
      <c r="AI585" s="16" t="str">
        <f t="shared" si="1182"/>
        <v>Valid</v>
      </c>
      <c r="AJ585" s="16" t="b">
        <v>0</v>
      </c>
      <c r="AK585" s="16" t="b">
        <v>0</v>
      </c>
      <c r="AL585" s="16" t="b">
        <v>0</v>
      </c>
      <c r="AM585" s="16" t="b">
        <v>0</v>
      </c>
      <c r="AN585" s="16" t="b">
        <v>0</v>
      </c>
      <c r="AO585" s="16" t="b">
        <v>0</v>
      </c>
      <c r="AP585" s="16" t="b">
        <v>0</v>
      </c>
      <c r="AQ585" s="17">
        <f t="shared" si="9"/>
        <v>0.2</v>
      </c>
      <c r="AR585" s="12">
        <f t="shared" si="10"/>
        <v>2101.4720000000002</v>
      </c>
      <c r="AS585" s="18">
        <f t="shared" si="11"/>
        <v>-2.0000000004074536E-3</v>
      </c>
      <c r="AT585" s="12">
        <f t="shared" si="12"/>
        <v>883.64200000000028</v>
      </c>
      <c r="AU585" s="18">
        <f t="shared" si="13"/>
        <v>-2.0000000002937668E-3</v>
      </c>
      <c r="AV585" s="19">
        <f t="shared" si="14"/>
        <v>0.42048716328364127</v>
      </c>
      <c r="AW585" s="20" t="str">
        <f t="shared" si="15"/>
        <v>February</v>
      </c>
      <c r="AX585" s="21">
        <f t="shared" si="16"/>
        <v>2024</v>
      </c>
    </row>
    <row r="586" spans="1:50" ht="15.75" customHeight="1">
      <c r="A586" s="10" t="s">
        <v>1876</v>
      </c>
      <c r="B586" s="11">
        <v>45508</v>
      </c>
      <c r="C586" s="11">
        <v>45514</v>
      </c>
      <c r="D586" s="10" t="s">
        <v>1877</v>
      </c>
      <c r="E586" s="10" t="s">
        <v>100</v>
      </c>
      <c r="F586" s="10" t="s">
        <v>53</v>
      </c>
      <c r="G586" s="10" t="s">
        <v>67</v>
      </c>
      <c r="H586" s="10" t="s">
        <v>174</v>
      </c>
      <c r="I586" s="10" t="s">
        <v>175</v>
      </c>
      <c r="J586" s="10" t="s">
        <v>57</v>
      </c>
      <c r="K586" s="10" t="s">
        <v>77</v>
      </c>
      <c r="L586" s="10" t="s">
        <v>1878</v>
      </c>
      <c r="M586" s="10" t="s">
        <v>73</v>
      </c>
      <c r="N586" s="12">
        <v>1</v>
      </c>
      <c r="O586" s="12">
        <v>984.93</v>
      </c>
      <c r="P586" s="12">
        <v>0.15</v>
      </c>
      <c r="Q586" s="12">
        <v>837.19</v>
      </c>
      <c r="R586" s="12">
        <v>583.79</v>
      </c>
      <c r="S586" s="12">
        <v>253.4</v>
      </c>
      <c r="T586" s="10" t="s">
        <v>140</v>
      </c>
      <c r="U586" s="13" t="s">
        <v>132</v>
      </c>
      <c r="V586" s="14" t="e">
        <f t="shared" ca="1" si="0"/>
        <v>#NAME?</v>
      </c>
      <c r="W586" s="10" t="str">
        <f ca="1">IFERROR(__xludf.DUMMYFUNCTION("IF(COUNTIF($A:$A,A580)=1,
""Unique"",
IF(COUNTUNIQUE(FILTER($V$2:$V$934,$A$2:$A$934=A580))&gt;1,
""Conflicting Duplicate"",
""Exact Duplicate""))"),"Unique")</f>
        <v>Unique</v>
      </c>
      <c r="X586" s="10" t="b">
        <f t="shared" ca="1" si="1"/>
        <v>1</v>
      </c>
      <c r="Y586" s="10" t="str">
        <f t="shared" si="2"/>
        <v>Unique</v>
      </c>
      <c r="Z586" s="10"/>
      <c r="AA586" s="10" t="str">
        <f t="shared" si="3"/>
        <v>Clean</v>
      </c>
      <c r="AB586" s="15" t="str">
        <f t="shared" si="4"/>
        <v>Valid</v>
      </c>
      <c r="AC586" s="15">
        <v>6</v>
      </c>
      <c r="AD586" s="16" t="str">
        <f t="shared" si="5"/>
        <v>Valid</v>
      </c>
      <c r="AE586" s="16" t="str">
        <f t="shared" si="6"/>
        <v>Valid</v>
      </c>
      <c r="AF586" s="16" t="str">
        <f t="shared" ref="AF586:AG586" si="1183">IF(ISNUMBER(B586),"Valid","Invalid")</f>
        <v>Valid</v>
      </c>
      <c r="AG586" s="16" t="str">
        <f t="shared" si="1183"/>
        <v>Valid</v>
      </c>
      <c r="AH586" s="16" t="str">
        <f t="shared" ref="AH586:AI586" si="1184">IF(OR(B586="",ISBLANK(B586)),"Missing","Valid")</f>
        <v>Valid</v>
      </c>
      <c r="AI586" s="16" t="str">
        <f t="shared" si="1184"/>
        <v>Valid</v>
      </c>
      <c r="AJ586" s="16" t="b">
        <v>0</v>
      </c>
      <c r="AK586" s="16" t="b">
        <v>0</v>
      </c>
      <c r="AL586" s="16" t="b">
        <v>0</v>
      </c>
      <c r="AM586" s="16" t="b">
        <v>0</v>
      </c>
      <c r="AN586" s="16" t="b">
        <v>0</v>
      </c>
      <c r="AO586" s="16" t="b">
        <v>0</v>
      </c>
      <c r="AP586" s="16" t="b">
        <v>0</v>
      </c>
      <c r="AQ586" s="17">
        <f t="shared" si="9"/>
        <v>0.15</v>
      </c>
      <c r="AR586" s="12">
        <f t="shared" si="10"/>
        <v>837.19049999999993</v>
      </c>
      <c r="AS586" s="18">
        <f t="shared" si="11"/>
        <v>-4.9999999987448973E-4</v>
      </c>
      <c r="AT586" s="12">
        <f t="shared" si="12"/>
        <v>253.40049999999997</v>
      </c>
      <c r="AU586" s="18">
        <f t="shared" si="13"/>
        <v>-4.9999999995975486E-4</v>
      </c>
      <c r="AV586" s="19">
        <f t="shared" si="14"/>
        <v>0.30267961712417901</v>
      </c>
      <c r="AW586" s="20" t="str">
        <f t="shared" si="15"/>
        <v>August</v>
      </c>
      <c r="AX586" s="21">
        <f t="shared" si="16"/>
        <v>2024</v>
      </c>
    </row>
    <row r="587" spans="1:50" ht="15.75" customHeight="1">
      <c r="A587" s="10" t="s">
        <v>1879</v>
      </c>
      <c r="B587" s="11">
        <v>45830</v>
      </c>
      <c r="C587" s="11">
        <v>45833</v>
      </c>
      <c r="D587" s="10" t="s">
        <v>1880</v>
      </c>
      <c r="E587" s="10" t="s">
        <v>191</v>
      </c>
      <c r="F587" s="10" t="s">
        <v>66</v>
      </c>
      <c r="G587" s="10" t="s">
        <v>92</v>
      </c>
      <c r="H587" s="10" t="s">
        <v>93</v>
      </c>
      <c r="I587" s="10" t="s">
        <v>94</v>
      </c>
      <c r="J587" s="10" t="s">
        <v>103</v>
      </c>
      <c r="K587" s="10" t="s">
        <v>200</v>
      </c>
      <c r="L587" s="10" t="s">
        <v>1881</v>
      </c>
      <c r="M587" s="10" t="s">
        <v>79</v>
      </c>
      <c r="N587" s="12">
        <v>8</v>
      </c>
      <c r="O587" s="12">
        <v>3453.66</v>
      </c>
      <c r="P587" s="12">
        <v>0</v>
      </c>
      <c r="Q587" s="12">
        <v>27629.279999999999</v>
      </c>
      <c r="R587" s="12">
        <v>22026.48</v>
      </c>
      <c r="S587" s="12">
        <v>5602.8</v>
      </c>
      <c r="T587" s="10" t="s">
        <v>61</v>
      </c>
      <c r="U587" s="13" t="s">
        <v>62</v>
      </c>
      <c r="V587" s="14" t="e">
        <f t="shared" ca="1" si="0"/>
        <v>#NAME?</v>
      </c>
      <c r="W587" s="10" t="str">
        <f ca="1">IFERROR(__xludf.DUMMYFUNCTION("IF(COUNTIF($A:$A,A581)=1,
""Unique"",
IF(COUNTUNIQUE(FILTER($V$2:$V$934,$A$2:$A$934=A581))&gt;1,
""Conflicting Duplicate"",
""Exact Duplicate""))"),"Unique")</f>
        <v>Unique</v>
      </c>
      <c r="X587" s="10" t="b">
        <f t="shared" ca="1" si="1"/>
        <v>1</v>
      </c>
      <c r="Y587" s="10" t="str">
        <f t="shared" si="2"/>
        <v>Unique</v>
      </c>
      <c r="Z587" s="10"/>
      <c r="AA587" s="10" t="str">
        <f t="shared" si="3"/>
        <v>Clean</v>
      </c>
      <c r="AB587" s="15" t="str">
        <f t="shared" si="4"/>
        <v>Valid</v>
      </c>
      <c r="AC587" s="15">
        <v>3</v>
      </c>
      <c r="AD587" s="16" t="str">
        <f t="shared" si="5"/>
        <v>Valid</v>
      </c>
      <c r="AE587" s="16" t="str">
        <f t="shared" si="6"/>
        <v>Valid</v>
      </c>
      <c r="AF587" s="16" t="str">
        <f t="shared" ref="AF587:AG587" si="1185">IF(ISNUMBER(B587),"Valid","Invalid")</f>
        <v>Valid</v>
      </c>
      <c r="AG587" s="16" t="str">
        <f t="shared" si="1185"/>
        <v>Valid</v>
      </c>
      <c r="AH587" s="16" t="str">
        <f t="shared" ref="AH587:AI587" si="1186">IF(OR(B587="",ISBLANK(B587)),"Missing","Valid")</f>
        <v>Valid</v>
      </c>
      <c r="AI587" s="16" t="str">
        <f t="shared" si="1186"/>
        <v>Valid</v>
      </c>
      <c r="AJ587" s="16" t="b">
        <v>0</v>
      </c>
      <c r="AK587" s="16" t="b">
        <v>0</v>
      </c>
      <c r="AL587" s="16" t="b">
        <v>0</v>
      </c>
      <c r="AM587" s="16" t="b">
        <v>0</v>
      </c>
      <c r="AN587" s="16" t="b">
        <v>0</v>
      </c>
      <c r="AO587" s="16" t="b">
        <v>0</v>
      </c>
      <c r="AP587" s="16" t="b">
        <v>0</v>
      </c>
      <c r="AQ587" s="17">
        <f t="shared" si="9"/>
        <v>0</v>
      </c>
      <c r="AR587" s="12">
        <f t="shared" si="10"/>
        <v>27629.279999999999</v>
      </c>
      <c r="AS587" s="18">
        <f t="shared" si="11"/>
        <v>0</v>
      </c>
      <c r="AT587" s="12">
        <f t="shared" si="12"/>
        <v>5602.7999999999993</v>
      </c>
      <c r="AU587" s="18">
        <f t="shared" si="13"/>
        <v>0</v>
      </c>
      <c r="AV587" s="19">
        <f t="shared" si="14"/>
        <v>0.20278487170132553</v>
      </c>
      <c r="AW587" s="20" t="str">
        <f t="shared" si="15"/>
        <v>June</v>
      </c>
      <c r="AX587" s="21">
        <f t="shared" si="16"/>
        <v>2025</v>
      </c>
    </row>
    <row r="588" spans="1:50" ht="15.75" customHeight="1">
      <c r="A588" s="10" t="s">
        <v>1882</v>
      </c>
      <c r="B588" s="11">
        <v>45759</v>
      </c>
      <c r="C588" s="11">
        <v>45759</v>
      </c>
      <c r="D588" s="10" t="s">
        <v>1883</v>
      </c>
      <c r="E588" s="10" t="s">
        <v>65</v>
      </c>
      <c r="F588" s="10" t="s">
        <v>124</v>
      </c>
      <c r="G588" s="10" t="s">
        <v>54</v>
      </c>
      <c r="H588" s="10" t="s">
        <v>151</v>
      </c>
      <c r="I588" s="10" t="s">
        <v>152</v>
      </c>
      <c r="J588" s="10" t="s">
        <v>57</v>
      </c>
      <c r="K588" s="10" t="s">
        <v>182</v>
      </c>
      <c r="L588" s="10" t="s">
        <v>1884</v>
      </c>
      <c r="M588" s="10" t="s">
        <v>60</v>
      </c>
      <c r="N588" s="12">
        <v>7</v>
      </c>
      <c r="O588" s="12">
        <v>1334.2</v>
      </c>
      <c r="P588" s="12">
        <v>0.2</v>
      </c>
      <c r="Q588" s="12">
        <v>7471.52</v>
      </c>
      <c r="R588" s="12">
        <v>6184.32</v>
      </c>
      <c r="S588" s="12">
        <v>1287.2</v>
      </c>
      <c r="T588" s="10" t="s">
        <v>61</v>
      </c>
      <c r="U588" s="13" t="s">
        <v>62</v>
      </c>
      <c r="V588" s="14" t="e">
        <f t="shared" ca="1" si="0"/>
        <v>#NAME?</v>
      </c>
      <c r="W588" s="10" t="str">
        <f ca="1">IFERROR(__xludf.DUMMYFUNCTION("IF(COUNTIF($A:$A,A582)=1,
""Unique"",
IF(COUNTUNIQUE(FILTER($V$2:$V$934,$A$2:$A$934=A582))&gt;1,
""Conflicting Duplicate"",
""Exact Duplicate""))"),"Unique")</f>
        <v>Unique</v>
      </c>
      <c r="X588" s="10" t="b">
        <f t="shared" ca="1" si="1"/>
        <v>1</v>
      </c>
      <c r="Y588" s="10" t="str">
        <f t="shared" si="2"/>
        <v>Unique</v>
      </c>
      <c r="Z588" s="10"/>
      <c r="AA588" s="10" t="str">
        <f t="shared" si="3"/>
        <v>Clean</v>
      </c>
      <c r="AB588" s="15" t="str">
        <f t="shared" si="4"/>
        <v>Valid</v>
      </c>
      <c r="AC588" s="15">
        <v>0</v>
      </c>
      <c r="AD588" s="16" t="str">
        <f t="shared" si="5"/>
        <v>Valid</v>
      </c>
      <c r="AE588" s="16" t="str">
        <f t="shared" si="6"/>
        <v>Valid</v>
      </c>
      <c r="AF588" s="16" t="str">
        <f t="shared" ref="AF588:AG588" si="1187">IF(ISNUMBER(B588),"Valid","Invalid")</f>
        <v>Valid</v>
      </c>
      <c r="AG588" s="16" t="str">
        <f t="shared" si="1187"/>
        <v>Valid</v>
      </c>
      <c r="AH588" s="16" t="str">
        <f t="shared" ref="AH588:AI588" si="1188">IF(OR(B588="",ISBLANK(B588)),"Missing","Valid")</f>
        <v>Valid</v>
      </c>
      <c r="AI588" s="16" t="str">
        <f t="shared" si="1188"/>
        <v>Valid</v>
      </c>
      <c r="AJ588" s="16" t="b">
        <v>0</v>
      </c>
      <c r="AK588" s="16" t="b">
        <v>0</v>
      </c>
      <c r="AL588" s="16" t="b">
        <v>0</v>
      </c>
      <c r="AM588" s="16" t="b">
        <v>0</v>
      </c>
      <c r="AN588" s="16" t="b">
        <v>0</v>
      </c>
      <c r="AO588" s="16" t="b">
        <v>0</v>
      </c>
      <c r="AP588" s="16" t="b">
        <v>0</v>
      </c>
      <c r="AQ588" s="17">
        <f t="shared" si="9"/>
        <v>0.2</v>
      </c>
      <c r="AR588" s="12">
        <f t="shared" si="10"/>
        <v>7471.52</v>
      </c>
      <c r="AS588" s="18">
        <f t="shared" si="11"/>
        <v>0</v>
      </c>
      <c r="AT588" s="12">
        <f t="shared" si="12"/>
        <v>1287.2000000000007</v>
      </c>
      <c r="AU588" s="18">
        <f t="shared" si="13"/>
        <v>0</v>
      </c>
      <c r="AV588" s="19">
        <f t="shared" si="14"/>
        <v>0.17228087457438387</v>
      </c>
      <c r="AW588" s="20" t="str">
        <f t="shared" si="15"/>
        <v>April</v>
      </c>
      <c r="AX588" s="21">
        <f t="shared" si="16"/>
        <v>2025</v>
      </c>
    </row>
    <row r="589" spans="1:50" ht="15.75" customHeight="1">
      <c r="A589" s="10" t="s">
        <v>1885</v>
      </c>
      <c r="B589" s="11">
        <v>45861</v>
      </c>
      <c r="C589" s="11">
        <v>45869</v>
      </c>
      <c r="D589" s="10" t="s">
        <v>1886</v>
      </c>
      <c r="E589" s="10" t="s">
        <v>294</v>
      </c>
      <c r="F589" s="10" t="s">
        <v>124</v>
      </c>
      <c r="G589" s="10" t="s">
        <v>92</v>
      </c>
      <c r="H589" s="10" t="s">
        <v>101</v>
      </c>
      <c r="I589" s="10" t="s">
        <v>102</v>
      </c>
      <c r="J589" s="10" t="s">
        <v>103</v>
      </c>
      <c r="K589" s="10" t="s">
        <v>104</v>
      </c>
      <c r="L589" s="10" t="s">
        <v>1887</v>
      </c>
      <c r="M589" s="10" t="s">
        <v>79</v>
      </c>
      <c r="N589" s="12">
        <v>1</v>
      </c>
      <c r="O589" s="12">
        <v>4253.84</v>
      </c>
      <c r="P589" s="12">
        <v>0.15</v>
      </c>
      <c r="Q589" s="12">
        <v>3615.76</v>
      </c>
      <c r="R589" s="12">
        <v>2951.52</v>
      </c>
      <c r="S589" s="12">
        <v>664.24</v>
      </c>
      <c r="T589" s="10" t="s">
        <v>131</v>
      </c>
      <c r="U589" s="13" t="s">
        <v>97</v>
      </c>
      <c r="V589" s="14" t="e">
        <f t="shared" ca="1" si="0"/>
        <v>#NAME?</v>
      </c>
      <c r="W589" s="10" t="str">
        <f ca="1">IFERROR(__xludf.DUMMYFUNCTION("IF(COUNTIF($A:$A,A583)=1,
""Unique"",
IF(COUNTUNIQUE(FILTER($V$2:$V$934,$A$2:$A$934=A583))&gt;1,
""Conflicting Duplicate"",
""Exact Duplicate""))"),"Unique")</f>
        <v>Unique</v>
      </c>
      <c r="X589" s="10" t="b">
        <f t="shared" ca="1" si="1"/>
        <v>1</v>
      </c>
      <c r="Y589" s="10" t="str">
        <f t="shared" si="2"/>
        <v>Unique</v>
      </c>
      <c r="Z589" s="10"/>
      <c r="AA589" s="10" t="str">
        <f t="shared" si="3"/>
        <v>Clean</v>
      </c>
      <c r="AB589" s="15" t="str">
        <f t="shared" si="4"/>
        <v>Valid</v>
      </c>
      <c r="AC589" s="15">
        <v>8</v>
      </c>
      <c r="AD589" s="16" t="str">
        <f t="shared" si="5"/>
        <v>Valid</v>
      </c>
      <c r="AE589" s="16" t="str">
        <f t="shared" si="6"/>
        <v>Valid</v>
      </c>
      <c r="AF589" s="16" t="str">
        <f t="shared" ref="AF589:AG589" si="1189">IF(ISNUMBER(B589),"Valid","Invalid")</f>
        <v>Valid</v>
      </c>
      <c r="AG589" s="16" t="str">
        <f t="shared" si="1189"/>
        <v>Valid</v>
      </c>
      <c r="AH589" s="16" t="str">
        <f t="shared" ref="AH589:AI589" si="1190">IF(OR(B589="",ISBLANK(B589)),"Missing","Valid")</f>
        <v>Valid</v>
      </c>
      <c r="AI589" s="16" t="str">
        <f t="shared" si="1190"/>
        <v>Valid</v>
      </c>
      <c r="AJ589" s="16" t="b">
        <v>0</v>
      </c>
      <c r="AK589" s="16" t="b">
        <v>0</v>
      </c>
      <c r="AL589" s="16" t="b">
        <v>0</v>
      </c>
      <c r="AM589" s="16" t="b">
        <v>0</v>
      </c>
      <c r="AN589" s="16" t="b">
        <v>0</v>
      </c>
      <c r="AO589" s="16" t="b">
        <v>0</v>
      </c>
      <c r="AP589" s="16" t="b">
        <v>0</v>
      </c>
      <c r="AQ589" s="17">
        <f t="shared" si="9"/>
        <v>0.15</v>
      </c>
      <c r="AR589" s="12">
        <f t="shared" si="10"/>
        <v>3615.7640000000001</v>
      </c>
      <c r="AS589" s="18">
        <f t="shared" si="11"/>
        <v>-3.9999999999054126E-3</v>
      </c>
      <c r="AT589" s="12">
        <f t="shared" si="12"/>
        <v>664.24400000000014</v>
      </c>
      <c r="AU589" s="18">
        <f t="shared" si="13"/>
        <v>-4.0000000001327862E-3</v>
      </c>
      <c r="AV589" s="19">
        <f t="shared" si="14"/>
        <v>0.18370778623826114</v>
      </c>
      <c r="AW589" s="20" t="str">
        <f t="shared" si="15"/>
        <v>July</v>
      </c>
      <c r="AX589" s="21">
        <f t="shared" si="16"/>
        <v>2025</v>
      </c>
    </row>
    <row r="590" spans="1:50" ht="15.75" customHeight="1">
      <c r="A590" s="10" t="s">
        <v>1888</v>
      </c>
      <c r="B590" s="11">
        <v>45727</v>
      </c>
      <c r="C590" s="11">
        <v>45731</v>
      </c>
      <c r="D590" s="10" t="s">
        <v>1889</v>
      </c>
      <c r="E590" s="10" t="s">
        <v>157</v>
      </c>
      <c r="F590" s="10" t="s">
        <v>124</v>
      </c>
      <c r="G590" s="10" t="s">
        <v>83</v>
      </c>
      <c r="H590" s="10" t="s">
        <v>204</v>
      </c>
      <c r="I590" s="10" t="s">
        <v>205</v>
      </c>
      <c r="J590" s="10" t="s">
        <v>103</v>
      </c>
      <c r="K590" s="10" t="s">
        <v>104</v>
      </c>
      <c r="L590" s="10" t="s">
        <v>1890</v>
      </c>
      <c r="M590" s="10" t="s">
        <v>60</v>
      </c>
      <c r="N590" s="12">
        <v>8</v>
      </c>
      <c r="O590" s="12">
        <v>4446.3599999999997</v>
      </c>
      <c r="P590" s="12">
        <v>0.1</v>
      </c>
      <c r="Q590" s="12">
        <v>32013.79</v>
      </c>
      <c r="R590" s="12">
        <v>20896.88</v>
      </c>
      <c r="S590" s="12">
        <v>11116.91</v>
      </c>
      <c r="T590" s="10" t="s">
        <v>131</v>
      </c>
      <c r="U590" s="13" t="s">
        <v>97</v>
      </c>
      <c r="V590" s="14" t="e">
        <f t="shared" ca="1" si="0"/>
        <v>#NAME?</v>
      </c>
      <c r="W590" s="10" t="str">
        <f ca="1">IFERROR(__xludf.DUMMYFUNCTION("IF(COUNTIF($A:$A,A584)=1,
""Unique"",
IF(COUNTUNIQUE(FILTER($V$2:$V$934,$A$2:$A$934=A584))&gt;1,
""Conflicting Duplicate"",
""Exact Duplicate""))"),"Unique")</f>
        <v>Unique</v>
      </c>
      <c r="X590" s="10" t="b">
        <f t="shared" ca="1" si="1"/>
        <v>1</v>
      </c>
      <c r="Y590" s="10" t="str">
        <f t="shared" si="2"/>
        <v>Unique</v>
      </c>
      <c r="Z590" s="10"/>
      <c r="AA590" s="10" t="str">
        <f t="shared" si="3"/>
        <v>Clean</v>
      </c>
      <c r="AB590" s="15" t="str">
        <f t="shared" si="4"/>
        <v>Valid</v>
      </c>
      <c r="AC590" s="15">
        <v>4</v>
      </c>
      <c r="AD590" s="16" t="str">
        <f t="shared" si="5"/>
        <v>Valid</v>
      </c>
      <c r="AE590" s="16" t="str">
        <f t="shared" si="6"/>
        <v>Valid</v>
      </c>
      <c r="AF590" s="16" t="str">
        <f t="shared" ref="AF590:AG590" si="1191">IF(ISNUMBER(B590),"Valid","Invalid")</f>
        <v>Valid</v>
      </c>
      <c r="AG590" s="16" t="str">
        <f t="shared" si="1191"/>
        <v>Valid</v>
      </c>
      <c r="AH590" s="16" t="str">
        <f t="shared" ref="AH590:AI590" si="1192">IF(OR(B590="",ISBLANK(B590)),"Missing","Valid")</f>
        <v>Valid</v>
      </c>
      <c r="AI590" s="16" t="str">
        <f t="shared" si="1192"/>
        <v>Valid</v>
      </c>
      <c r="AJ590" s="16" t="b">
        <v>0</v>
      </c>
      <c r="AK590" s="16" t="b">
        <v>0</v>
      </c>
      <c r="AL590" s="16" t="b">
        <v>0</v>
      </c>
      <c r="AM590" s="16" t="b">
        <v>0</v>
      </c>
      <c r="AN590" s="16" t="b">
        <v>0</v>
      </c>
      <c r="AO590" s="16" t="b">
        <v>0</v>
      </c>
      <c r="AP590" s="16" t="b">
        <v>0</v>
      </c>
      <c r="AQ590" s="17">
        <f t="shared" si="9"/>
        <v>0.1</v>
      </c>
      <c r="AR590" s="12">
        <f t="shared" si="10"/>
        <v>32013.791999999998</v>
      </c>
      <c r="AS590" s="18">
        <f t="shared" si="11"/>
        <v>-1.9999999967694748E-3</v>
      </c>
      <c r="AT590" s="12">
        <f t="shared" si="12"/>
        <v>11116.911999999997</v>
      </c>
      <c r="AU590" s="18">
        <f t="shared" si="13"/>
        <v>-1.9999999967694748E-3</v>
      </c>
      <c r="AV590" s="19">
        <f t="shared" si="14"/>
        <v>0.34725383359771933</v>
      </c>
      <c r="AW590" s="20" t="str">
        <f t="shared" si="15"/>
        <v>March</v>
      </c>
      <c r="AX590" s="21">
        <f t="shared" si="16"/>
        <v>2025</v>
      </c>
    </row>
    <row r="591" spans="1:50" ht="15.75" customHeight="1">
      <c r="A591" s="10" t="s">
        <v>1891</v>
      </c>
      <c r="B591" s="11">
        <v>45632</v>
      </c>
      <c r="C591" s="11">
        <v>45638</v>
      </c>
      <c r="D591" s="10" t="s">
        <v>1892</v>
      </c>
      <c r="E591" s="10" t="s">
        <v>170</v>
      </c>
      <c r="F591" s="10" t="s">
        <v>119</v>
      </c>
      <c r="G591" s="10" t="s">
        <v>54</v>
      </c>
      <c r="H591" s="10" t="s">
        <v>165</v>
      </c>
      <c r="I591" s="10" t="s">
        <v>166</v>
      </c>
      <c r="J591" s="10" t="s">
        <v>103</v>
      </c>
      <c r="K591" s="10" t="s">
        <v>200</v>
      </c>
      <c r="L591" s="10" t="s">
        <v>1893</v>
      </c>
      <c r="M591" s="10" t="s">
        <v>79</v>
      </c>
      <c r="N591" s="12">
        <v>3</v>
      </c>
      <c r="O591" s="12">
        <v>524.75</v>
      </c>
      <c r="P591" s="12">
        <v>0</v>
      </c>
      <c r="Q591" s="12">
        <v>1574.25</v>
      </c>
      <c r="R591" s="12">
        <v>1326.12</v>
      </c>
      <c r="S591" s="12">
        <v>248.13</v>
      </c>
      <c r="T591" s="10" t="s">
        <v>61</v>
      </c>
      <c r="U591" s="13" t="s">
        <v>62</v>
      </c>
      <c r="V591" s="14" t="e">
        <f t="shared" ca="1" si="0"/>
        <v>#NAME?</v>
      </c>
      <c r="W591" s="10" t="str">
        <f ca="1">IFERROR(__xludf.DUMMYFUNCTION("IF(COUNTIF($A:$A,A585)=1,
""Unique"",
IF(COUNTUNIQUE(FILTER($V$2:$V$934,$A$2:$A$934=A585))&gt;1,
""Conflicting Duplicate"",
""Exact Duplicate""))"),"Unique")</f>
        <v>Unique</v>
      </c>
      <c r="X591" s="10" t="b">
        <f t="shared" ca="1" si="1"/>
        <v>1</v>
      </c>
      <c r="Y591" s="10" t="str">
        <f t="shared" si="2"/>
        <v>Unique</v>
      </c>
      <c r="Z591" s="10"/>
      <c r="AA591" s="10" t="str">
        <f t="shared" si="3"/>
        <v>Clean</v>
      </c>
      <c r="AB591" s="15" t="str">
        <f t="shared" si="4"/>
        <v>Valid</v>
      </c>
      <c r="AC591" s="15">
        <v>6</v>
      </c>
      <c r="AD591" s="16" t="str">
        <f t="shared" si="5"/>
        <v>Valid</v>
      </c>
      <c r="AE591" s="16" t="str">
        <f t="shared" si="6"/>
        <v>Valid</v>
      </c>
      <c r="AF591" s="16" t="str">
        <f t="shared" ref="AF591:AG591" si="1193">IF(ISNUMBER(B591),"Valid","Invalid")</f>
        <v>Valid</v>
      </c>
      <c r="AG591" s="16" t="str">
        <f t="shared" si="1193"/>
        <v>Valid</v>
      </c>
      <c r="AH591" s="16" t="str">
        <f t="shared" ref="AH591:AI591" si="1194">IF(OR(B591="",ISBLANK(B591)),"Missing","Valid")</f>
        <v>Valid</v>
      </c>
      <c r="AI591" s="16" t="str">
        <f t="shared" si="1194"/>
        <v>Valid</v>
      </c>
      <c r="AJ591" s="16" t="b">
        <v>0</v>
      </c>
      <c r="AK591" s="16" t="b">
        <v>0</v>
      </c>
      <c r="AL591" s="16" t="b">
        <v>0</v>
      </c>
      <c r="AM591" s="16" t="b">
        <v>0</v>
      </c>
      <c r="AN591" s="16" t="b">
        <v>0</v>
      </c>
      <c r="AO591" s="16" t="b">
        <v>0</v>
      </c>
      <c r="AP591" s="16" t="b">
        <v>0</v>
      </c>
      <c r="AQ591" s="17">
        <f t="shared" si="9"/>
        <v>0</v>
      </c>
      <c r="AR591" s="12">
        <f t="shared" si="10"/>
        <v>1574.25</v>
      </c>
      <c r="AS591" s="18">
        <f t="shared" si="11"/>
        <v>0</v>
      </c>
      <c r="AT591" s="12">
        <f t="shared" si="12"/>
        <v>248.13000000000011</v>
      </c>
      <c r="AU591" s="18">
        <f t="shared" si="13"/>
        <v>0</v>
      </c>
      <c r="AV591" s="19">
        <f t="shared" si="14"/>
        <v>0.15761791329204389</v>
      </c>
      <c r="AW591" s="20" t="str">
        <f t="shared" si="15"/>
        <v>December</v>
      </c>
      <c r="AX591" s="21">
        <f t="shared" si="16"/>
        <v>2024</v>
      </c>
    </row>
    <row r="592" spans="1:50" ht="15.75" customHeight="1">
      <c r="A592" s="10" t="s">
        <v>1894</v>
      </c>
      <c r="B592" s="11">
        <v>45441</v>
      </c>
      <c r="C592" s="11">
        <v>45441</v>
      </c>
      <c r="D592" s="10" t="s">
        <v>1895</v>
      </c>
      <c r="E592" s="10" t="s">
        <v>157</v>
      </c>
      <c r="F592" s="10" t="s">
        <v>124</v>
      </c>
      <c r="G592" s="10" t="s">
        <v>54</v>
      </c>
      <c r="H592" s="10" t="s">
        <v>380</v>
      </c>
      <c r="I592" s="10" t="s">
        <v>381</v>
      </c>
      <c r="J592" s="10" t="s">
        <v>70</v>
      </c>
      <c r="K592" s="10" t="s">
        <v>95</v>
      </c>
      <c r="L592" s="10" t="s">
        <v>1896</v>
      </c>
      <c r="M592" s="10" t="s">
        <v>73</v>
      </c>
      <c r="N592" s="12">
        <v>6</v>
      </c>
      <c r="O592" s="12">
        <v>3430.35</v>
      </c>
      <c r="P592" s="12">
        <v>0</v>
      </c>
      <c r="Q592" s="12">
        <v>20582.099999999999</v>
      </c>
      <c r="R592" s="12">
        <v>15897.65</v>
      </c>
      <c r="S592" s="12">
        <v>4684.45</v>
      </c>
      <c r="T592" s="10" t="s">
        <v>140</v>
      </c>
      <c r="U592" s="13" t="s">
        <v>97</v>
      </c>
      <c r="V592" s="14" t="e">
        <f t="shared" ca="1" si="0"/>
        <v>#NAME?</v>
      </c>
      <c r="W592" s="10" t="str">
        <f ca="1">IFERROR(__xludf.DUMMYFUNCTION("IF(COUNTIF($A:$A,A586)=1,
""Unique"",
IF(COUNTUNIQUE(FILTER($V$2:$V$934,$A$2:$A$934=A586))&gt;1,
""Conflicting Duplicate"",
""Exact Duplicate""))"),"Unique")</f>
        <v>Unique</v>
      </c>
      <c r="X592" s="10" t="b">
        <f t="shared" ca="1" si="1"/>
        <v>1</v>
      </c>
      <c r="Y592" s="10" t="str">
        <f t="shared" si="2"/>
        <v>Unique</v>
      </c>
      <c r="Z592" s="10"/>
      <c r="AA592" s="10" t="str">
        <f t="shared" si="3"/>
        <v>Clean</v>
      </c>
      <c r="AB592" s="15" t="str">
        <f t="shared" si="4"/>
        <v>Valid</v>
      </c>
      <c r="AC592" s="15">
        <v>0</v>
      </c>
      <c r="AD592" s="16" t="str">
        <f t="shared" si="5"/>
        <v>Valid</v>
      </c>
      <c r="AE592" s="16" t="str">
        <f t="shared" si="6"/>
        <v>Valid</v>
      </c>
      <c r="AF592" s="16" t="str">
        <f t="shared" ref="AF592:AG592" si="1195">IF(ISNUMBER(B592),"Valid","Invalid")</f>
        <v>Valid</v>
      </c>
      <c r="AG592" s="16" t="str">
        <f t="shared" si="1195"/>
        <v>Valid</v>
      </c>
      <c r="AH592" s="16" t="str">
        <f t="shared" ref="AH592:AI592" si="1196">IF(OR(B592="",ISBLANK(B592)),"Missing","Valid")</f>
        <v>Valid</v>
      </c>
      <c r="AI592" s="16" t="str">
        <f t="shared" si="1196"/>
        <v>Valid</v>
      </c>
      <c r="AJ592" s="16" t="b">
        <v>0</v>
      </c>
      <c r="AK592" s="16" t="b">
        <v>0</v>
      </c>
      <c r="AL592" s="16" t="b">
        <v>0</v>
      </c>
      <c r="AM592" s="16" t="b">
        <v>0</v>
      </c>
      <c r="AN592" s="16" t="b">
        <v>0</v>
      </c>
      <c r="AO592" s="16" t="b">
        <v>0</v>
      </c>
      <c r="AP592" s="16" t="b">
        <v>0</v>
      </c>
      <c r="AQ592" s="17">
        <f t="shared" si="9"/>
        <v>0</v>
      </c>
      <c r="AR592" s="12">
        <f t="shared" si="10"/>
        <v>20582.099999999999</v>
      </c>
      <c r="AS592" s="18">
        <f t="shared" si="11"/>
        <v>0</v>
      </c>
      <c r="AT592" s="12">
        <f t="shared" si="12"/>
        <v>4684.4499999999989</v>
      </c>
      <c r="AU592" s="18">
        <f t="shared" si="13"/>
        <v>0</v>
      </c>
      <c r="AV592" s="19">
        <f t="shared" si="14"/>
        <v>0.22759825285077806</v>
      </c>
      <c r="AW592" s="20" t="str">
        <f t="shared" si="15"/>
        <v>May</v>
      </c>
      <c r="AX592" s="21">
        <f t="shared" si="16"/>
        <v>2024</v>
      </c>
    </row>
    <row r="593" spans="1:50" ht="15.75" customHeight="1">
      <c r="A593" s="10" t="s">
        <v>1897</v>
      </c>
      <c r="B593" s="11">
        <v>45344</v>
      </c>
      <c r="C593" s="11">
        <v>45346</v>
      </c>
      <c r="D593" s="10" t="s">
        <v>1898</v>
      </c>
      <c r="E593" s="10" t="s">
        <v>161</v>
      </c>
      <c r="F593" s="10" t="s">
        <v>53</v>
      </c>
      <c r="G593" s="10" t="s">
        <v>83</v>
      </c>
      <c r="H593" s="10" t="s">
        <v>204</v>
      </c>
      <c r="I593" s="10" t="s">
        <v>205</v>
      </c>
      <c r="J593" s="10" t="s">
        <v>103</v>
      </c>
      <c r="K593" s="10" t="s">
        <v>109</v>
      </c>
      <c r="L593" s="10" t="s">
        <v>1899</v>
      </c>
      <c r="M593" s="10" t="s">
        <v>79</v>
      </c>
      <c r="N593" s="12">
        <v>3</v>
      </c>
      <c r="O593" s="12">
        <v>3545.08</v>
      </c>
      <c r="P593" s="12">
        <v>0</v>
      </c>
      <c r="Q593" s="12">
        <v>10635.24</v>
      </c>
      <c r="R593" s="12">
        <v>6031.88</v>
      </c>
      <c r="S593" s="12">
        <v>4603.3599999999997</v>
      </c>
      <c r="T593" s="10" t="s">
        <v>184</v>
      </c>
      <c r="U593" s="13" t="s">
        <v>132</v>
      </c>
      <c r="V593" s="14" t="e">
        <f t="shared" ca="1" si="0"/>
        <v>#NAME?</v>
      </c>
      <c r="W593" s="10" t="str">
        <f ca="1">IFERROR(__xludf.DUMMYFUNCTION("IF(COUNTIF($A:$A,A587)=1,
""Unique"",
IF(COUNTUNIQUE(FILTER($V$2:$V$934,$A$2:$A$934=A587))&gt;1,
""Conflicting Duplicate"",
""Exact Duplicate""))"),"Unique")</f>
        <v>Unique</v>
      </c>
      <c r="X593" s="10" t="b">
        <f t="shared" ca="1" si="1"/>
        <v>1</v>
      </c>
      <c r="Y593" s="10" t="str">
        <f t="shared" si="2"/>
        <v>Unique</v>
      </c>
      <c r="Z593" s="10"/>
      <c r="AA593" s="10" t="str">
        <f t="shared" si="3"/>
        <v>Clean</v>
      </c>
      <c r="AB593" s="15" t="str">
        <f t="shared" si="4"/>
        <v>Valid</v>
      </c>
      <c r="AC593" s="15">
        <v>2</v>
      </c>
      <c r="AD593" s="16" t="str">
        <f t="shared" si="5"/>
        <v>Valid</v>
      </c>
      <c r="AE593" s="16" t="str">
        <f t="shared" si="6"/>
        <v>Valid</v>
      </c>
      <c r="AF593" s="16" t="str">
        <f t="shared" ref="AF593:AG593" si="1197">IF(ISNUMBER(B593),"Valid","Invalid")</f>
        <v>Valid</v>
      </c>
      <c r="AG593" s="16" t="str">
        <f t="shared" si="1197"/>
        <v>Valid</v>
      </c>
      <c r="AH593" s="16" t="str">
        <f t="shared" ref="AH593:AI593" si="1198">IF(OR(B593="",ISBLANK(B593)),"Missing","Valid")</f>
        <v>Valid</v>
      </c>
      <c r="AI593" s="16" t="str">
        <f t="shared" si="1198"/>
        <v>Valid</v>
      </c>
      <c r="AJ593" s="16" t="b">
        <v>0</v>
      </c>
      <c r="AK593" s="16" t="b">
        <v>0</v>
      </c>
      <c r="AL593" s="16" t="b">
        <v>0</v>
      </c>
      <c r="AM593" s="16" t="b">
        <v>0</v>
      </c>
      <c r="AN593" s="16" t="b">
        <v>0</v>
      </c>
      <c r="AO593" s="16" t="b">
        <v>0</v>
      </c>
      <c r="AP593" s="16" t="b">
        <v>0</v>
      </c>
      <c r="AQ593" s="17">
        <f t="shared" si="9"/>
        <v>0</v>
      </c>
      <c r="AR593" s="12">
        <f t="shared" si="10"/>
        <v>10635.24</v>
      </c>
      <c r="AS593" s="18">
        <f t="shared" si="11"/>
        <v>0</v>
      </c>
      <c r="AT593" s="12">
        <f t="shared" si="12"/>
        <v>4603.3599999999997</v>
      </c>
      <c r="AU593" s="18">
        <f t="shared" si="13"/>
        <v>0</v>
      </c>
      <c r="AV593" s="19">
        <f t="shared" si="14"/>
        <v>0.43284025560307055</v>
      </c>
      <c r="AW593" s="20" t="str">
        <f t="shared" si="15"/>
        <v>February</v>
      </c>
      <c r="AX593" s="21">
        <f t="shared" si="16"/>
        <v>2024</v>
      </c>
    </row>
    <row r="594" spans="1:50" ht="15.75" customHeight="1">
      <c r="A594" s="10" t="s">
        <v>1900</v>
      </c>
      <c r="B594" s="11">
        <v>45355</v>
      </c>
      <c r="C594" s="11">
        <v>45360</v>
      </c>
      <c r="D594" s="10" t="s">
        <v>1901</v>
      </c>
      <c r="E594" s="10" t="s">
        <v>65</v>
      </c>
      <c r="F594" s="10" t="s">
        <v>53</v>
      </c>
      <c r="G594" s="10" t="s">
        <v>67</v>
      </c>
      <c r="H594" s="10" t="s">
        <v>128</v>
      </c>
      <c r="I594" s="10" t="s">
        <v>129</v>
      </c>
      <c r="J594" s="10" t="s">
        <v>103</v>
      </c>
      <c r="K594" s="10" t="s">
        <v>104</v>
      </c>
      <c r="L594" s="10" t="s">
        <v>1902</v>
      </c>
      <c r="M594" s="10" t="s">
        <v>73</v>
      </c>
      <c r="N594" s="12">
        <v>8</v>
      </c>
      <c r="O594" s="12">
        <v>4401.41</v>
      </c>
      <c r="P594" s="12">
        <v>0.15</v>
      </c>
      <c r="Q594" s="12">
        <v>29929.59</v>
      </c>
      <c r="R594" s="12">
        <v>22436.03</v>
      </c>
      <c r="S594" s="12">
        <v>7493.56</v>
      </c>
      <c r="T594" s="10" t="s">
        <v>61</v>
      </c>
      <c r="U594" s="13" t="s">
        <v>62</v>
      </c>
      <c r="V594" s="14" t="e">
        <f t="shared" ca="1" si="0"/>
        <v>#NAME?</v>
      </c>
      <c r="W594" s="10" t="str">
        <f ca="1">IFERROR(__xludf.DUMMYFUNCTION("IF(COUNTIF($A:$A,A588)=1,
""Unique"",
IF(COUNTUNIQUE(FILTER($V$2:$V$934,$A$2:$A$934=A588))&gt;1,
""Conflicting Duplicate"",
""Exact Duplicate""))"),"Unique")</f>
        <v>Unique</v>
      </c>
      <c r="X594" s="10" t="b">
        <f t="shared" ca="1" si="1"/>
        <v>1</v>
      </c>
      <c r="Y594" s="10" t="str">
        <f t="shared" si="2"/>
        <v>Unique</v>
      </c>
      <c r="Z594" s="10"/>
      <c r="AA594" s="10" t="str">
        <f t="shared" si="3"/>
        <v>Clean</v>
      </c>
      <c r="AB594" s="15" t="str">
        <f t="shared" si="4"/>
        <v>Valid</v>
      </c>
      <c r="AC594" s="15">
        <v>5</v>
      </c>
      <c r="AD594" s="16" t="str">
        <f t="shared" si="5"/>
        <v>Valid</v>
      </c>
      <c r="AE594" s="16" t="str">
        <f t="shared" si="6"/>
        <v>Valid</v>
      </c>
      <c r="AF594" s="16" t="str">
        <f t="shared" ref="AF594:AG594" si="1199">IF(ISNUMBER(B594),"Valid","Invalid")</f>
        <v>Valid</v>
      </c>
      <c r="AG594" s="16" t="str">
        <f t="shared" si="1199"/>
        <v>Valid</v>
      </c>
      <c r="AH594" s="16" t="str">
        <f t="shared" ref="AH594:AI594" si="1200">IF(OR(B594="",ISBLANK(B594)),"Missing","Valid")</f>
        <v>Valid</v>
      </c>
      <c r="AI594" s="16" t="str">
        <f t="shared" si="1200"/>
        <v>Valid</v>
      </c>
      <c r="AJ594" s="16" t="b">
        <v>0</v>
      </c>
      <c r="AK594" s="16" t="b">
        <v>0</v>
      </c>
      <c r="AL594" s="16" t="b">
        <v>0</v>
      </c>
      <c r="AM594" s="16" t="b">
        <v>0</v>
      </c>
      <c r="AN594" s="16" t="b">
        <v>0</v>
      </c>
      <c r="AO594" s="16" t="b">
        <v>0</v>
      </c>
      <c r="AP594" s="16" t="b">
        <v>0</v>
      </c>
      <c r="AQ594" s="17">
        <f t="shared" si="9"/>
        <v>0.15</v>
      </c>
      <c r="AR594" s="12">
        <f t="shared" si="10"/>
        <v>29929.588</v>
      </c>
      <c r="AS594" s="18">
        <f t="shared" si="11"/>
        <v>2.0000000004074536E-3</v>
      </c>
      <c r="AT594" s="12">
        <f t="shared" si="12"/>
        <v>7493.5580000000009</v>
      </c>
      <c r="AU594" s="18">
        <f t="shared" si="13"/>
        <v>1.9999999994979589E-3</v>
      </c>
      <c r="AV594" s="19">
        <f t="shared" si="14"/>
        <v>0.25037290857461858</v>
      </c>
      <c r="AW594" s="20" t="str">
        <f t="shared" si="15"/>
        <v>March</v>
      </c>
      <c r="AX594" s="21">
        <f t="shared" si="16"/>
        <v>2024</v>
      </c>
    </row>
    <row r="595" spans="1:50" ht="15.75" customHeight="1">
      <c r="A595" s="10" t="s">
        <v>1903</v>
      </c>
      <c r="B595" s="11">
        <v>45927</v>
      </c>
      <c r="C595" s="11">
        <v>45929</v>
      </c>
      <c r="D595" s="10" t="s">
        <v>1695</v>
      </c>
      <c r="E595" s="10" t="s">
        <v>82</v>
      </c>
      <c r="F595" s="10" t="s">
        <v>124</v>
      </c>
      <c r="G595" s="10" t="s">
        <v>54</v>
      </c>
      <c r="H595" s="10" t="s">
        <v>165</v>
      </c>
      <c r="I595" s="10" t="s">
        <v>166</v>
      </c>
      <c r="J595" s="10" t="s">
        <v>70</v>
      </c>
      <c r="K595" s="10" t="s">
        <v>71</v>
      </c>
      <c r="L595" s="10" t="s">
        <v>1904</v>
      </c>
      <c r="M595" s="10" t="s">
        <v>60</v>
      </c>
      <c r="N595" s="12">
        <v>9</v>
      </c>
      <c r="O595" s="12">
        <v>4100.1099999999997</v>
      </c>
      <c r="P595" s="12">
        <v>0.25</v>
      </c>
      <c r="Q595" s="12">
        <v>27675.74</v>
      </c>
      <c r="R595" s="12">
        <v>15571.08</v>
      </c>
      <c r="S595" s="12">
        <v>12104.66</v>
      </c>
      <c r="T595" s="10" t="s">
        <v>61</v>
      </c>
      <c r="U595" s="13" t="s">
        <v>62</v>
      </c>
      <c r="V595" s="14" t="e">
        <f t="shared" ca="1" si="0"/>
        <v>#NAME?</v>
      </c>
      <c r="W595" s="10" t="str">
        <f ca="1">IFERROR(__xludf.DUMMYFUNCTION("IF(COUNTIF($A:$A,A589)=1,
""Unique"",
IF(COUNTUNIQUE(FILTER($V$2:$V$934,$A$2:$A$934=A589))&gt;1,
""Conflicting Duplicate"",
""Exact Duplicate""))"),"Unique")</f>
        <v>Unique</v>
      </c>
      <c r="X595" s="10" t="b">
        <f t="shared" ca="1" si="1"/>
        <v>1</v>
      </c>
      <c r="Y595" s="10" t="str">
        <f t="shared" si="2"/>
        <v>Unique</v>
      </c>
      <c r="Z595" s="10"/>
      <c r="AA595" s="10" t="str">
        <f t="shared" si="3"/>
        <v>Clean</v>
      </c>
      <c r="AB595" s="15" t="str">
        <f t="shared" si="4"/>
        <v>Valid</v>
      </c>
      <c r="AC595" s="15">
        <v>2</v>
      </c>
      <c r="AD595" s="16" t="str">
        <f t="shared" si="5"/>
        <v>Valid</v>
      </c>
      <c r="AE595" s="16" t="str">
        <f t="shared" si="6"/>
        <v>Valid</v>
      </c>
      <c r="AF595" s="16" t="str">
        <f t="shared" ref="AF595:AG595" si="1201">IF(ISNUMBER(B595),"Valid","Invalid")</f>
        <v>Valid</v>
      </c>
      <c r="AG595" s="16" t="str">
        <f t="shared" si="1201"/>
        <v>Valid</v>
      </c>
      <c r="AH595" s="16" t="str">
        <f t="shared" ref="AH595:AI595" si="1202">IF(OR(B595="",ISBLANK(B595)),"Missing","Valid")</f>
        <v>Valid</v>
      </c>
      <c r="AI595" s="16" t="str">
        <f t="shared" si="1202"/>
        <v>Valid</v>
      </c>
      <c r="AJ595" s="16" t="b">
        <v>0</v>
      </c>
      <c r="AK595" s="16" t="b">
        <v>0</v>
      </c>
      <c r="AL595" s="16" t="b">
        <v>0</v>
      </c>
      <c r="AM595" s="16" t="b">
        <v>0</v>
      </c>
      <c r="AN595" s="16" t="b">
        <v>0</v>
      </c>
      <c r="AO595" s="16" t="b">
        <v>0</v>
      </c>
      <c r="AP595" s="16" t="b">
        <v>0</v>
      </c>
      <c r="AQ595" s="17">
        <f t="shared" si="9"/>
        <v>0.25</v>
      </c>
      <c r="AR595" s="12">
        <f t="shared" si="10"/>
        <v>27675.7425</v>
      </c>
      <c r="AS595" s="18">
        <f t="shared" si="11"/>
        <v>-2.4999999986903276E-3</v>
      </c>
      <c r="AT595" s="12">
        <f t="shared" si="12"/>
        <v>12104.6625</v>
      </c>
      <c r="AU595" s="18">
        <f t="shared" si="13"/>
        <v>-2.500000000509317E-3</v>
      </c>
      <c r="AV595" s="19">
        <f t="shared" si="14"/>
        <v>0.4373744444254748</v>
      </c>
      <c r="AW595" s="20" t="str">
        <f t="shared" si="15"/>
        <v>September</v>
      </c>
      <c r="AX595" s="21">
        <f t="shared" si="16"/>
        <v>2025</v>
      </c>
    </row>
    <row r="596" spans="1:50" ht="15.75" customHeight="1">
      <c r="A596" s="10" t="s">
        <v>1905</v>
      </c>
      <c r="B596" s="11">
        <v>45554</v>
      </c>
      <c r="C596" s="11">
        <v>45556</v>
      </c>
      <c r="D596" s="10" t="s">
        <v>1906</v>
      </c>
      <c r="E596" s="10" t="s">
        <v>52</v>
      </c>
      <c r="F596" s="10" t="s">
        <v>66</v>
      </c>
      <c r="G596" s="10" t="s">
        <v>67</v>
      </c>
      <c r="H596" s="10" t="s">
        <v>128</v>
      </c>
      <c r="I596" s="10" t="s">
        <v>129</v>
      </c>
      <c r="J596" s="10" t="s">
        <v>70</v>
      </c>
      <c r="K596" s="10" t="s">
        <v>95</v>
      </c>
      <c r="L596" s="10" t="s">
        <v>1907</v>
      </c>
      <c r="M596" s="10" t="s">
        <v>79</v>
      </c>
      <c r="N596" s="12">
        <v>3</v>
      </c>
      <c r="O596" s="12">
        <v>3981.76</v>
      </c>
      <c r="P596" s="12">
        <v>0</v>
      </c>
      <c r="Q596" s="12">
        <v>11945.28</v>
      </c>
      <c r="R596" s="12">
        <v>9700.31</v>
      </c>
      <c r="S596" s="12">
        <v>2244.9699999999998</v>
      </c>
      <c r="T596" s="10" t="s">
        <v>61</v>
      </c>
      <c r="U596" s="13" t="s">
        <v>62</v>
      </c>
      <c r="V596" s="14" t="e">
        <f t="shared" ca="1" si="0"/>
        <v>#NAME?</v>
      </c>
      <c r="W596" s="10" t="str">
        <f ca="1">IFERROR(__xludf.DUMMYFUNCTION("IF(COUNTIF($A:$A,A590)=1,
""Unique"",
IF(COUNTUNIQUE(FILTER($V$2:$V$934,$A$2:$A$934=A590))&gt;1,
""Conflicting Duplicate"",
""Exact Duplicate""))"),"Unique")</f>
        <v>Unique</v>
      </c>
      <c r="X596" s="10" t="b">
        <f t="shared" ca="1" si="1"/>
        <v>1</v>
      </c>
      <c r="Y596" s="10" t="str">
        <f t="shared" si="2"/>
        <v>Unique</v>
      </c>
      <c r="Z596" s="10"/>
      <c r="AA596" s="10" t="str">
        <f t="shared" si="3"/>
        <v>Clean</v>
      </c>
      <c r="AB596" s="15" t="str">
        <f t="shared" si="4"/>
        <v>Valid</v>
      </c>
      <c r="AC596" s="15">
        <v>2</v>
      </c>
      <c r="AD596" s="16" t="str">
        <f t="shared" si="5"/>
        <v>Valid</v>
      </c>
      <c r="AE596" s="16" t="str">
        <f t="shared" si="6"/>
        <v>Valid</v>
      </c>
      <c r="AF596" s="16" t="str">
        <f t="shared" ref="AF596:AG596" si="1203">IF(ISNUMBER(B596),"Valid","Invalid")</f>
        <v>Valid</v>
      </c>
      <c r="AG596" s="16" t="str">
        <f t="shared" si="1203"/>
        <v>Valid</v>
      </c>
      <c r="AH596" s="16" t="str">
        <f t="shared" ref="AH596:AI596" si="1204">IF(OR(B596="",ISBLANK(B596)),"Missing","Valid")</f>
        <v>Valid</v>
      </c>
      <c r="AI596" s="16" t="str">
        <f t="shared" si="1204"/>
        <v>Valid</v>
      </c>
      <c r="AJ596" s="16" t="b">
        <v>0</v>
      </c>
      <c r="AK596" s="16" t="b">
        <v>0</v>
      </c>
      <c r="AL596" s="16" t="b">
        <v>0</v>
      </c>
      <c r="AM596" s="16" t="b">
        <v>0</v>
      </c>
      <c r="AN596" s="16" t="b">
        <v>0</v>
      </c>
      <c r="AO596" s="16" t="b">
        <v>0</v>
      </c>
      <c r="AP596" s="16" t="b">
        <v>0</v>
      </c>
      <c r="AQ596" s="17">
        <f t="shared" si="9"/>
        <v>0</v>
      </c>
      <c r="AR596" s="12">
        <f t="shared" si="10"/>
        <v>11945.28</v>
      </c>
      <c r="AS596" s="18">
        <f t="shared" si="11"/>
        <v>0</v>
      </c>
      <c r="AT596" s="12">
        <f t="shared" si="12"/>
        <v>2244.9700000000012</v>
      </c>
      <c r="AU596" s="18">
        <f t="shared" si="13"/>
        <v>0</v>
      </c>
      <c r="AV596" s="19">
        <f t="shared" si="14"/>
        <v>0.18793782983739193</v>
      </c>
      <c r="AW596" s="20" t="str">
        <f t="shared" si="15"/>
        <v>September</v>
      </c>
      <c r="AX596" s="21">
        <f t="shared" si="16"/>
        <v>2024</v>
      </c>
    </row>
    <row r="597" spans="1:50" ht="15.75" customHeight="1">
      <c r="A597" s="10" t="s">
        <v>1908</v>
      </c>
      <c r="B597" s="11">
        <v>45699</v>
      </c>
      <c r="C597" s="11">
        <v>45704</v>
      </c>
      <c r="D597" s="10" t="s">
        <v>1909</v>
      </c>
      <c r="E597" s="10" t="s">
        <v>65</v>
      </c>
      <c r="F597" s="10" t="s">
        <v>119</v>
      </c>
      <c r="G597" s="10" t="s">
        <v>54</v>
      </c>
      <c r="H597" s="10" t="s">
        <v>165</v>
      </c>
      <c r="I597" s="10" t="s">
        <v>166</v>
      </c>
      <c r="J597" s="10" t="s">
        <v>103</v>
      </c>
      <c r="K597" s="10" t="s">
        <v>200</v>
      </c>
      <c r="L597" s="10" t="s">
        <v>1910</v>
      </c>
      <c r="M597" s="10" t="s">
        <v>79</v>
      </c>
      <c r="N597" s="12">
        <v>8</v>
      </c>
      <c r="O597" s="12">
        <v>1825.56</v>
      </c>
      <c r="P597" s="12">
        <v>0.1</v>
      </c>
      <c r="Q597" s="12">
        <v>13144.03</v>
      </c>
      <c r="R597" s="12">
        <v>9764</v>
      </c>
      <c r="S597" s="12">
        <v>3380.03</v>
      </c>
      <c r="T597" s="10" t="s">
        <v>61</v>
      </c>
      <c r="U597" s="13" t="s">
        <v>62</v>
      </c>
      <c r="V597" s="14" t="e">
        <f t="shared" ca="1" si="0"/>
        <v>#NAME?</v>
      </c>
      <c r="W597" s="10" t="str">
        <f ca="1">IFERROR(__xludf.DUMMYFUNCTION("IF(COUNTIF($A:$A,A591)=1,
""Unique"",
IF(COUNTUNIQUE(FILTER($V$2:$V$934,$A$2:$A$934=A591))&gt;1,
""Conflicting Duplicate"",
""Exact Duplicate""))"),"Unique")</f>
        <v>Unique</v>
      </c>
      <c r="X597" s="10" t="b">
        <f t="shared" ca="1" si="1"/>
        <v>1</v>
      </c>
      <c r="Y597" s="10" t="str">
        <f t="shared" si="2"/>
        <v>Unique</v>
      </c>
      <c r="Z597" s="10"/>
      <c r="AA597" s="10" t="str">
        <f t="shared" si="3"/>
        <v>Clean</v>
      </c>
      <c r="AB597" s="15" t="str">
        <f t="shared" si="4"/>
        <v>Valid</v>
      </c>
      <c r="AC597" s="15">
        <v>5</v>
      </c>
      <c r="AD597" s="16" t="str">
        <f t="shared" si="5"/>
        <v>Valid</v>
      </c>
      <c r="AE597" s="16" t="str">
        <f t="shared" si="6"/>
        <v>Valid</v>
      </c>
      <c r="AF597" s="16" t="str">
        <f t="shared" ref="AF597:AG597" si="1205">IF(ISNUMBER(B597),"Valid","Invalid")</f>
        <v>Valid</v>
      </c>
      <c r="AG597" s="16" t="str">
        <f t="shared" si="1205"/>
        <v>Valid</v>
      </c>
      <c r="AH597" s="16" t="str">
        <f t="shared" ref="AH597:AI597" si="1206">IF(OR(B597="",ISBLANK(B597)),"Missing","Valid")</f>
        <v>Valid</v>
      </c>
      <c r="AI597" s="16" t="str">
        <f t="shared" si="1206"/>
        <v>Valid</v>
      </c>
      <c r="AJ597" s="16" t="b">
        <v>0</v>
      </c>
      <c r="AK597" s="16" t="b">
        <v>0</v>
      </c>
      <c r="AL597" s="16" t="b">
        <v>0</v>
      </c>
      <c r="AM597" s="16" t="b">
        <v>0</v>
      </c>
      <c r="AN597" s="16" t="b">
        <v>0</v>
      </c>
      <c r="AO597" s="16" t="b">
        <v>0</v>
      </c>
      <c r="AP597" s="16" t="b">
        <v>0</v>
      </c>
      <c r="AQ597" s="17">
        <f t="shared" si="9"/>
        <v>0.1</v>
      </c>
      <c r="AR597" s="12">
        <f t="shared" si="10"/>
        <v>13144.031999999999</v>
      </c>
      <c r="AS597" s="18">
        <f t="shared" si="11"/>
        <v>-1.9999999985884642E-3</v>
      </c>
      <c r="AT597" s="12">
        <f t="shared" si="12"/>
        <v>3380.0319999999992</v>
      </c>
      <c r="AU597" s="18">
        <f t="shared" si="13"/>
        <v>-1.9999999990432116E-3</v>
      </c>
      <c r="AV597" s="19">
        <f t="shared" si="14"/>
        <v>0.25715336055176974</v>
      </c>
      <c r="AW597" s="20" t="str">
        <f t="shared" si="15"/>
        <v>February</v>
      </c>
      <c r="AX597" s="21">
        <f t="shared" si="16"/>
        <v>2025</v>
      </c>
    </row>
    <row r="598" spans="1:50" ht="15.75" customHeight="1">
      <c r="A598" s="10" t="s">
        <v>1911</v>
      </c>
      <c r="B598" s="11">
        <v>45392</v>
      </c>
      <c r="C598" s="11">
        <v>45398</v>
      </c>
      <c r="D598" s="10" t="s">
        <v>1912</v>
      </c>
      <c r="E598" s="10" t="s">
        <v>118</v>
      </c>
      <c r="F598" s="10" t="s">
        <v>53</v>
      </c>
      <c r="G598" s="10" t="s">
        <v>83</v>
      </c>
      <c r="H598" s="10" t="s">
        <v>214</v>
      </c>
      <c r="I598" s="10" t="s">
        <v>215</v>
      </c>
      <c r="J598" s="10" t="s">
        <v>70</v>
      </c>
      <c r="K598" s="10" t="s">
        <v>95</v>
      </c>
      <c r="L598" s="10" t="s">
        <v>1913</v>
      </c>
      <c r="M598" s="10" t="s">
        <v>60</v>
      </c>
      <c r="N598" s="12">
        <v>9</v>
      </c>
      <c r="O598" s="12">
        <v>2723.26</v>
      </c>
      <c r="P598" s="12">
        <v>0.25</v>
      </c>
      <c r="Q598" s="12">
        <v>18382.009999999998</v>
      </c>
      <c r="R598" s="12">
        <v>13108.2</v>
      </c>
      <c r="S598" s="12">
        <v>5273.81</v>
      </c>
      <c r="T598" s="10" t="s">
        <v>61</v>
      </c>
      <c r="U598" s="13" t="s">
        <v>62</v>
      </c>
      <c r="V598" s="14" t="e">
        <f t="shared" ca="1" si="0"/>
        <v>#NAME?</v>
      </c>
      <c r="W598" s="10" t="str">
        <f ca="1">IFERROR(__xludf.DUMMYFUNCTION("IF(COUNTIF($A:$A,A592)=1,
""Unique"",
IF(COUNTUNIQUE(FILTER($V$2:$V$934,$A$2:$A$934=A592))&gt;1,
""Conflicting Duplicate"",
""Exact Duplicate""))"),"Unique")</f>
        <v>Unique</v>
      </c>
      <c r="X598" s="10" t="b">
        <f t="shared" ca="1" si="1"/>
        <v>1</v>
      </c>
      <c r="Y598" s="10" t="str">
        <f t="shared" si="2"/>
        <v>Unique</v>
      </c>
      <c r="Z598" s="10"/>
      <c r="AA598" s="10" t="str">
        <f t="shared" si="3"/>
        <v>Clean</v>
      </c>
      <c r="AB598" s="15" t="str">
        <f t="shared" si="4"/>
        <v>Valid</v>
      </c>
      <c r="AC598" s="15">
        <v>6</v>
      </c>
      <c r="AD598" s="16" t="str">
        <f t="shared" si="5"/>
        <v>Valid</v>
      </c>
      <c r="AE598" s="16" t="str">
        <f t="shared" si="6"/>
        <v>Valid</v>
      </c>
      <c r="AF598" s="16" t="str">
        <f t="shared" ref="AF598:AG598" si="1207">IF(ISNUMBER(B598),"Valid","Invalid")</f>
        <v>Valid</v>
      </c>
      <c r="AG598" s="16" t="str">
        <f t="shared" si="1207"/>
        <v>Valid</v>
      </c>
      <c r="AH598" s="16" t="str">
        <f t="shared" ref="AH598:AI598" si="1208">IF(OR(B598="",ISBLANK(B598)),"Missing","Valid")</f>
        <v>Valid</v>
      </c>
      <c r="AI598" s="16" t="str">
        <f t="shared" si="1208"/>
        <v>Valid</v>
      </c>
      <c r="AJ598" s="16" t="b">
        <v>0</v>
      </c>
      <c r="AK598" s="16" t="b">
        <v>0</v>
      </c>
      <c r="AL598" s="16" t="b">
        <v>0</v>
      </c>
      <c r="AM598" s="16" t="b">
        <v>0</v>
      </c>
      <c r="AN598" s="16" t="b">
        <v>0</v>
      </c>
      <c r="AO598" s="16" t="b">
        <v>0</v>
      </c>
      <c r="AP598" s="16" t="b">
        <v>0</v>
      </c>
      <c r="AQ598" s="17">
        <f t="shared" si="9"/>
        <v>0.25</v>
      </c>
      <c r="AR598" s="12">
        <f t="shared" si="10"/>
        <v>18382.005000000005</v>
      </c>
      <c r="AS598" s="18">
        <f t="shared" si="11"/>
        <v>4.9999999937426765E-3</v>
      </c>
      <c r="AT598" s="12">
        <f t="shared" si="12"/>
        <v>5273.8050000000039</v>
      </c>
      <c r="AU598" s="18">
        <f t="shared" si="13"/>
        <v>4.9999999964711606E-3</v>
      </c>
      <c r="AV598" s="19">
        <f t="shared" si="14"/>
        <v>0.28690042245119629</v>
      </c>
      <c r="AW598" s="20" t="str">
        <f t="shared" si="15"/>
        <v>April</v>
      </c>
      <c r="AX598" s="21">
        <f t="shared" si="16"/>
        <v>2024</v>
      </c>
    </row>
    <row r="599" spans="1:50" ht="15.75" customHeight="1">
      <c r="A599" s="10" t="s">
        <v>1914</v>
      </c>
      <c r="B599" s="11">
        <v>45846</v>
      </c>
      <c r="C599" s="11">
        <v>45846</v>
      </c>
      <c r="D599" s="10" t="s">
        <v>1915</v>
      </c>
      <c r="E599" s="10" t="s">
        <v>118</v>
      </c>
      <c r="F599" s="10" t="s">
        <v>53</v>
      </c>
      <c r="G599" s="10" t="s">
        <v>83</v>
      </c>
      <c r="H599" s="10" t="s">
        <v>84</v>
      </c>
      <c r="I599" s="10" t="s">
        <v>85</v>
      </c>
      <c r="J599" s="10" t="s">
        <v>103</v>
      </c>
      <c r="K599" s="10" t="s">
        <v>109</v>
      </c>
      <c r="L599" s="10" t="s">
        <v>1916</v>
      </c>
      <c r="M599" s="10" t="s">
        <v>73</v>
      </c>
      <c r="N599" s="12">
        <v>9</v>
      </c>
      <c r="O599" s="12">
        <v>274.88</v>
      </c>
      <c r="P599" s="12">
        <v>0.25</v>
      </c>
      <c r="Q599" s="12">
        <v>1855.44</v>
      </c>
      <c r="R599" s="12">
        <v>1262.74</v>
      </c>
      <c r="S599" s="12">
        <v>592.70000000000005</v>
      </c>
      <c r="T599" s="10" t="s">
        <v>61</v>
      </c>
      <c r="U599" s="13" t="s">
        <v>62</v>
      </c>
      <c r="V599" s="14" t="e">
        <f t="shared" ca="1" si="0"/>
        <v>#NAME?</v>
      </c>
      <c r="W599" s="10" t="str">
        <f ca="1">IFERROR(__xludf.DUMMYFUNCTION("IF(COUNTIF($A:$A,A593)=1,
""Unique"",
IF(COUNTUNIQUE(FILTER($V$2:$V$934,$A$2:$A$934=A593))&gt;1,
""Conflicting Duplicate"",
""Exact Duplicate""))"),"Unique")</f>
        <v>Unique</v>
      </c>
      <c r="X599" s="10" t="b">
        <f t="shared" ca="1" si="1"/>
        <v>1</v>
      </c>
      <c r="Y599" s="10" t="str">
        <f t="shared" si="2"/>
        <v>Unique</v>
      </c>
      <c r="Z599" s="10"/>
      <c r="AA599" s="10" t="str">
        <f t="shared" si="3"/>
        <v>Clean</v>
      </c>
      <c r="AB599" s="15" t="str">
        <f t="shared" si="4"/>
        <v>Valid</v>
      </c>
      <c r="AC599" s="15">
        <v>0</v>
      </c>
      <c r="AD599" s="16" t="str">
        <f t="shared" si="5"/>
        <v>Valid</v>
      </c>
      <c r="AE599" s="16" t="str">
        <f t="shared" si="6"/>
        <v>Valid</v>
      </c>
      <c r="AF599" s="16" t="str">
        <f t="shared" ref="AF599:AG599" si="1209">IF(ISNUMBER(B599),"Valid","Invalid")</f>
        <v>Valid</v>
      </c>
      <c r="AG599" s="16" t="str">
        <f t="shared" si="1209"/>
        <v>Valid</v>
      </c>
      <c r="AH599" s="16" t="str">
        <f t="shared" ref="AH599:AI599" si="1210">IF(OR(B599="",ISBLANK(B599)),"Missing","Valid")</f>
        <v>Valid</v>
      </c>
      <c r="AI599" s="16" t="str">
        <f t="shared" si="1210"/>
        <v>Valid</v>
      </c>
      <c r="AJ599" s="16" t="b">
        <v>0</v>
      </c>
      <c r="AK599" s="16" t="b">
        <v>0</v>
      </c>
      <c r="AL599" s="16" t="b">
        <v>0</v>
      </c>
      <c r="AM599" s="16" t="b">
        <v>0</v>
      </c>
      <c r="AN599" s="16" t="b">
        <v>0</v>
      </c>
      <c r="AO599" s="16" t="b">
        <v>0</v>
      </c>
      <c r="AP599" s="16" t="b">
        <v>0</v>
      </c>
      <c r="AQ599" s="17">
        <f t="shared" si="9"/>
        <v>0.25</v>
      </c>
      <c r="AR599" s="12">
        <f t="shared" si="10"/>
        <v>1855.44</v>
      </c>
      <c r="AS599" s="18">
        <f t="shared" si="11"/>
        <v>0</v>
      </c>
      <c r="AT599" s="12">
        <f t="shared" si="12"/>
        <v>592.70000000000005</v>
      </c>
      <c r="AU599" s="18">
        <f t="shared" si="13"/>
        <v>0</v>
      </c>
      <c r="AV599" s="19">
        <f t="shared" si="14"/>
        <v>0.3194390548872505</v>
      </c>
      <c r="AW599" s="20" t="str">
        <f t="shared" si="15"/>
        <v>July</v>
      </c>
      <c r="AX599" s="21">
        <f t="shared" si="16"/>
        <v>2025</v>
      </c>
    </row>
    <row r="600" spans="1:50" ht="15.75" customHeight="1">
      <c r="A600" s="10" t="s">
        <v>1917</v>
      </c>
      <c r="B600" s="11">
        <v>45521</v>
      </c>
      <c r="C600" s="11">
        <v>45528</v>
      </c>
      <c r="D600" s="10" t="s">
        <v>1918</v>
      </c>
      <c r="E600" s="10" t="s">
        <v>91</v>
      </c>
      <c r="F600" s="10" t="s">
        <v>119</v>
      </c>
      <c r="G600" s="10" t="s">
        <v>67</v>
      </c>
      <c r="H600" s="10" t="s">
        <v>128</v>
      </c>
      <c r="I600" s="10" t="s">
        <v>129</v>
      </c>
      <c r="J600" s="10" t="s">
        <v>103</v>
      </c>
      <c r="K600" s="10" t="s">
        <v>109</v>
      </c>
      <c r="L600" s="10" t="s">
        <v>1919</v>
      </c>
      <c r="M600" s="10" t="s">
        <v>73</v>
      </c>
      <c r="N600" s="12">
        <v>3</v>
      </c>
      <c r="O600" s="12">
        <v>1490.69</v>
      </c>
      <c r="P600" s="12">
        <v>0.25</v>
      </c>
      <c r="Q600" s="12">
        <v>3354.05</v>
      </c>
      <c r="R600" s="12">
        <v>2672.67</v>
      </c>
      <c r="S600" s="12">
        <v>681.38</v>
      </c>
      <c r="T600" s="10" t="s">
        <v>61</v>
      </c>
      <c r="U600" s="13" t="s">
        <v>62</v>
      </c>
      <c r="V600" s="14" t="e">
        <f t="shared" ca="1" si="0"/>
        <v>#NAME?</v>
      </c>
      <c r="W600" s="10" t="str">
        <f ca="1">IFERROR(__xludf.DUMMYFUNCTION("IF(COUNTIF($A:$A,A594)=1,
""Unique"",
IF(COUNTUNIQUE(FILTER($V$2:$V$934,$A$2:$A$934=A594))&gt;1,
""Conflicting Duplicate"",
""Exact Duplicate""))"),"Unique")</f>
        <v>Unique</v>
      </c>
      <c r="X600" s="10" t="b">
        <f t="shared" ca="1" si="1"/>
        <v>1</v>
      </c>
      <c r="Y600" s="10" t="str">
        <f t="shared" si="2"/>
        <v>Duplicate Order ID</v>
      </c>
      <c r="Z600" s="10"/>
      <c r="AA600" s="10" t="str">
        <f t="shared" si="3"/>
        <v>Clean</v>
      </c>
      <c r="AB600" s="15" t="str">
        <f t="shared" si="4"/>
        <v>Valid</v>
      </c>
      <c r="AC600" s="15">
        <v>7</v>
      </c>
      <c r="AD600" s="16" t="str">
        <f t="shared" si="5"/>
        <v>Valid</v>
      </c>
      <c r="AE600" s="16" t="str">
        <f t="shared" si="6"/>
        <v>Valid</v>
      </c>
      <c r="AF600" s="16" t="str">
        <f t="shared" ref="AF600:AG600" si="1211">IF(ISNUMBER(B600),"Valid","Invalid")</f>
        <v>Valid</v>
      </c>
      <c r="AG600" s="16" t="str">
        <f t="shared" si="1211"/>
        <v>Valid</v>
      </c>
      <c r="AH600" s="16" t="str">
        <f t="shared" ref="AH600:AI600" si="1212">IF(OR(B600="",ISBLANK(B600)),"Missing","Valid")</f>
        <v>Valid</v>
      </c>
      <c r="AI600" s="16" t="str">
        <f t="shared" si="1212"/>
        <v>Valid</v>
      </c>
      <c r="AJ600" s="16" t="b">
        <v>0</v>
      </c>
      <c r="AK600" s="16" t="b">
        <v>0</v>
      </c>
      <c r="AL600" s="16" t="b">
        <v>0</v>
      </c>
      <c r="AM600" s="16" t="b">
        <v>0</v>
      </c>
      <c r="AN600" s="16" t="b">
        <v>0</v>
      </c>
      <c r="AO600" s="16" t="b">
        <v>0</v>
      </c>
      <c r="AP600" s="16" t="b">
        <v>0</v>
      </c>
      <c r="AQ600" s="17">
        <f t="shared" si="9"/>
        <v>0.25</v>
      </c>
      <c r="AR600" s="12">
        <f t="shared" si="10"/>
        <v>3354.0524999999998</v>
      </c>
      <c r="AS600" s="18">
        <f t="shared" si="11"/>
        <v>-2.4999999995998223E-3</v>
      </c>
      <c r="AT600" s="12">
        <f t="shared" si="12"/>
        <v>681.38249999999971</v>
      </c>
      <c r="AU600" s="18">
        <f t="shared" si="13"/>
        <v>-2.4999999997135092E-3</v>
      </c>
      <c r="AV600" s="19">
        <f t="shared" si="14"/>
        <v>0.20315200790685289</v>
      </c>
      <c r="AW600" s="20" t="str">
        <f t="shared" si="15"/>
        <v>August</v>
      </c>
      <c r="AX600" s="21">
        <f t="shared" si="16"/>
        <v>2024</v>
      </c>
    </row>
    <row r="601" spans="1:50" ht="15.75" customHeight="1">
      <c r="A601" s="10" t="s">
        <v>1920</v>
      </c>
      <c r="B601" s="11">
        <v>45523</v>
      </c>
      <c r="C601" s="11">
        <v>45525</v>
      </c>
      <c r="D601" s="10" t="s">
        <v>1921</v>
      </c>
      <c r="E601" s="10" t="s">
        <v>82</v>
      </c>
      <c r="F601" s="10" t="s">
        <v>53</v>
      </c>
      <c r="G601" s="10" t="s">
        <v>54</v>
      </c>
      <c r="H601" s="10" t="s">
        <v>151</v>
      </c>
      <c r="I601" s="10" t="s">
        <v>152</v>
      </c>
      <c r="J601" s="10" t="s">
        <v>103</v>
      </c>
      <c r="K601" s="10" t="s">
        <v>200</v>
      </c>
      <c r="L601" s="10" t="s">
        <v>1922</v>
      </c>
      <c r="M601" s="10" t="s">
        <v>79</v>
      </c>
      <c r="N601" s="12">
        <v>3</v>
      </c>
      <c r="O601" s="12">
        <v>1103.54</v>
      </c>
      <c r="P601" s="12">
        <v>0.25</v>
      </c>
      <c r="Q601" s="12">
        <v>2482.9699999999998</v>
      </c>
      <c r="R601" s="12">
        <v>1621.72</v>
      </c>
      <c r="S601" s="12">
        <v>861.25</v>
      </c>
      <c r="T601" s="10" t="s">
        <v>61</v>
      </c>
      <c r="U601" s="13" t="s">
        <v>62</v>
      </c>
      <c r="V601" s="14" t="e">
        <f t="shared" ca="1" si="0"/>
        <v>#NAME?</v>
      </c>
      <c r="W601" s="10" t="str">
        <f ca="1">IFERROR(__xludf.DUMMYFUNCTION("IF(COUNTIF($A:$A,A595)=1,
""Unique"",
IF(COUNTUNIQUE(FILTER($V$2:$V$934,$A$2:$A$934=A595))&gt;1,
""Conflicting Duplicate"",
""Exact Duplicate""))"),"Unique")</f>
        <v>Unique</v>
      </c>
      <c r="X601" s="10" t="b">
        <f t="shared" ca="1" si="1"/>
        <v>1</v>
      </c>
      <c r="Y601" s="10" t="str">
        <f t="shared" si="2"/>
        <v>Unique</v>
      </c>
      <c r="Z601" s="10"/>
      <c r="AA601" s="10" t="str">
        <f t="shared" si="3"/>
        <v>Clean</v>
      </c>
      <c r="AB601" s="15" t="str">
        <f t="shared" si="4"/>
        <v>Valid</v>
      </c>
      <c r="AC601" s="15">
        <v>2</v>
      </c>
      <c r="AD601" s="16" t="str">
        <f t="shared" si="5"/>
        <v>Valid</v>
      </c>
      <c r="AE601" s="16" t="str">
        <f t="shared" si="6"/>
        <v>Valid</v>
      </c>
      <c r="AF601" s="16" t="str">
        <f t="shared" ref="AF601:AG601" si="1213">IF(ISNUMBER(B601),"Valid","Invalid")</f>
        <v>Valid</v>
      </c>
      <c r="AG601" s="16" t="str">
        <f t="shared" si="1213"/>
        <v>Valid</v>
      </c>
      <c r="AH601" s="16" t="str">
        <f t="shared" ref="AH601:AI601" si="1214">IF(OR(B601="",ISBLANK(B601)),"Missing","Valid")</f>
        <v>Valid</v>
      </c>
      <c r="AI601" s="16" t="str">
        <f t="shared" si="1214"/>
        <v>Valid</v>
      </c>
      <c r="AJ601" s="16" t="b">
        <v>0</v>
      </c>
      <c r="AK601" s="16" t="b">
        <v>0</v>
      </c>
      <c r="AL601" s="16" t="b">
        <v>0</v>
      </c>
      <c r="AM601" s="16" t="b">
        <v>0</v>
      </c>
      <c r="AN601" s="16" t="b">
        <v>0</v>
      </c>
      <c r="AO601" s="16" t="b">
        <v>0</v>
      </c>
      <c r="AP601" s="16" t="b">
        <v>0</v>
      </c>
      <c r="AQ601" s="17">
        <f t="shared" si="9"/>
        <v>0.25</v>
      </c>
      <c r="AR601" s="12">
        <f t="shared" si="10"/>
        <v>2482.9650000000001</v>
      </c>
      <c r="AS601" s="18">
        <f t="shared" si="11"/>
        <v>4.999999999654392E-3</v>
      </c>
      <c r="AT601" s="12">
        <f t="shared" si="12"/>
        <v>861.24500000000012</v>
      </c>
      <c r="AU601" s="18">
        <f t="shared" si="13"/>
        <v>4.9999999998817657E-3</v>
      </c>
      <c r="AV601" s="19">
        <f t="shared" si="14"/>
        <v>0.34686151435884116</v>
      </c>
      <c r="AW601" s="20" t="str">
        <f t="shared" si="15"/>
        <v>August</v>
      </c>
      <c r="AX601" s="21">
        <f t="shared" si="16"/>
        <v>2024</v>
      </c>
    </row>
    <row r="602" spans="1:50" ht="15.75" customHeight="1">
      <c r="A602" s="10" t="s">
        <v>1923</v>
      </c>
      <c r="B602" s="11">
        <v>45721</v>
      </c>
      <c r="C602" s="11">
        <v>45728</v>
      </c>
      <c r="D602" s="10" t="s">
        <v>1924</v>
      </c>
      <c r="E602" s="10" t="s">
        <v>91</v>
      </c>
      <c r="F602" s="10" t="s">
        <v>119</v>
      </c>
      <c r="G602" s="10" t="s">
        <v>92</v>
      </c>
      <c r="H602" s="10" t="s">
        <v>101</v>
      </c>
      <c r="I602" s="10" t="s">
        <v>102</v>
      </c>
      <c r="J602" s="10" t="s">
        <v>57</v>
      </c>
      <c r="K602" s="10" t="s">
        <v>153</v>
      </c>
      <c r="L602" s="10" t="s">
        <v>1925</v>
      </c>
      <c r="M602" s="10" t="s">
        <v>73</v>
      </c>
      <c r="N602" s="12">
        <v>3</v>
      </c>
      <c r="O602" s="12">
        <v>3682.75</v>
      </c>
      <c r="P602" s="12">
        <v>0</v>
      </c>
      <c r="Q602" s="12">
        <v>11048.25</v>
      </c>
      <c r="R602" s="12">
        <v>9062.7199999999993</v>
      </c>
      <c r="S602" s="12">
        <v>1985.53</v>
      </c>
      <c r="T602" s="10" t="s">
        <v>61</v>
      </c>
      <c r="U602" s="13" t="s">
        <v>62</v>
      </c>
      <c r="V602" s="14" t="e">
        <f t="shared" ca="1" si="0"/>
        <v>#NAME?</v>
      </c>
      <c r="W602" s="10" t="str">
        <f ca="1">IFERROR(__xludf.DUMMYFUNCTION("IF(COUNTIF($A:$A,A596)=1,
""Unique"",
IF(COUNTUNIQUE(FILTER($V$2:$V$934,$A$2:$A$934=A596))&gt;1,
""Conflicting Duplicate"",
""Exact Duplicate""))"),"Unique")</f>
        <v>Unique</v>
      </c>
      <c r="X602" s="10" t="b">
        <f t="shared" ca="1" si="1"/>
        <v>1</v>
      </c>
      <c r="Y602" s="10" t="str">
        <f t="shared" si="2"/>
        <v>Unique</v>
      </c>
      <c r="Z602" s="10"/>
      <c r="AA602" s="10" t="str">
        <f t="shared" si="3"/>
        <v>Clean</v>
      </c>
      <c r="AB602" s="15" t="str">
        <f t="shared" si="4"/>
        <v>Valid</v>
      </c>
      <c r="AC602" s="15">
        <v>7</v>
      </c>
      <c r="AD602" s="16" t="str">
        <f t="shared" si="5"/>
        <v>Valid</v>
      </c>
      <c r="AE602" s="16" t="str">
        <f t="shared" si="6"/>
        <v>Valid</v>
      </c>
      <c r="AF602" s="16" t="str">
        <f t="shared" ref="AF602:AG602" si="1215">IF(ISNUMBER(B602),"Valid","Invalid")</f>
        <v>Valid</v>
      </c>
      <c r="AG602" s="16" t="str">
        <f t="shared" si="1215"/>
        <v>Valid</v>
      </c>
      <c r="AH602" s="16" t="str">
        <f t="shared" ref="AH602:AI602" si="1216">IF(OR(B602="",ISBLANK(B602)),"Missing","Valid")</f>
        <v>Valid</v>
      </c>
      <c r="AI602" s="16" t="str">
        <f t="shared" si="1216"/>
        <v>Valid</v>
      </c>
      <c r="AJ602" s="16" t="b">
        <v>0</v>
      </c>
      <c r="AK602" s="16" t="b">
        <v>0</v>
      </c>
      <c r="AL602" s="16" t="b">
        <v>1</v>
      </c>
      <c r="AM602" s="16" t="b">
        <v>0</v>
      </c>
      <c r="AN602" s="16" t="b">
        <v>0</v>
      </c>
      <c r="AO602" s="16" t="b">
        <v>0</v>
      </c>
      <c r="AP602" s="16" t="b">
        <v>1</v>
      </c>
      <c r="AQ602" s="17">
        <f t="shared" si="9"/>
        <v>0</v>
      </c>
      <c r="AR602" s="12">
        <f t="shared" si="10"/>
        <v>11048.25</v>
      </c>
      <c r="AS602" s="18">
        <f t="shared" si="11"/>
        <v>0</v>
      </c>
      <c r="AT602" s="12">
        <f t="shared" si="12"/>
        <v>1985.5300000000007</v>
      </c>
      <c r="AU602" s="18">
        <f t="shared" si="13"/>
        <v>0</v>
      </c>
      <c r="AV602" s="19">
        <f t="shared" si="14"/>
        <v>0.17971443441268986</v>
      </c>
      <c r="AW602" s="20" t="str">
        <f t="shared" si="15"/>
        <v>March</v>
      </c>
      <c r="AX602" s="21">
        <f t="shared" si="16"/>
        <v>2025</v>
      </c>
    </row>
    <row r="603" spans="1:50" ht="15.75" customHeight="1">
      <c r="A603" s="10" t="s">
        <v>1926</v>
      </c>
      <c r="B603" s="11">
        <v>45317</v>
      </c>
      <c r="C603" s="11">
        <v>45322</v>
      </c>
      <c r="D603" s="10" t="s">
        <v>1927</v>
      </c>
      <c r="E603" s="10" t="s">
        <v>91</v>
      </c>
      <c r="F603" s="10" t="s">
        <v>124</v>
      </c>
      <c r="G603" s="10" t="s">
        <v>67</v>
      </c>
      <c r="H603" s="10" t="s">
        <v>128</v>
      </c>
      <c r="I603" s="10" t="s">
        <v>129</v>
      </c>
      <c r="J603" s="10" t="s">
        <v>57</v>
      </c>
      <c r="K603" s="10" t="s">
        <v>58</v>
      </c>
      <c r="L603" s="10" t="s">
        <v>1928</v>
      </c>
      <c r="M603" s="10" t="s">
        <v>60</v>
      </c>
      <c r="N603" s="12">
        <v>5</v>
      </c>
      <c r="O603" s="12">
        <v>1615.03</v>
      </c>
      <c r="P603" s="12">
        <v>0.2</v>
      </c>
      <c r="Q603" s="12">
        <v>6460.12</v>
      </c>
      <c r="R603" s="12">
        <v>3604.03</v>
      </c>
      <c r="S603" s="12">
        <v>2856.09</v>
      </c>
      <c r="T603" s="10" t="s">
        <v>61</v>
      </c>
      <c r="U603" s="13" t="s">
        <v>62</v>
      </c>
      <c r="V603" s="14" t="e">
        <f t="shared" ca="1" si="0"/>
        <v>#NAME?</v>
      </c>
      <c r="W603" s="10" t="str">
        <f ca="1">IFERROR(__xludf.DUMMYFUNCTION("IF(COUNTIF($A:$A,A597)=1,
""Unique"",
IF(COUNTUNIQUE(FILTER($V$2:$V$934,$A$2:$A$934=A597))&gt;1,
""Conflicting Duplicate"",
""Exact Duplicate""))"),"Unique")</f>
        <v>Unique</v>
      </c>
      <c r="X603" s="10" t="b">
        <f t="shared" ca="1" si="1"/>
        <v>1</v>
      </c>
      <c r="Y603" s="10" t="str">
        <f t="shared" si="2"/>
        <v>Unique</v>
      </c>
      <c r="Z603" s="10"/>
      <c r="AA603" s="10" t="str">
        <f t="shared" si="3"/>
        <v>Clean</v>
      </c>
      <c r="AB603" s="15" t="str">
        <f t="shared" si="4"/>
        <v>Valid</v>
      </c>
      <c r="AC603" s="15">
        <v>5</v>
      </c>
      <c r="AD603" s="16" t="str">
        <f t="shared" si="5"/>
        <v>Valid</v>
      </c>
      <c r="AE603" s="16" t="str">
        <f t="shared" si="6"/>
        <v>Valid</v>
      </c>
      <c r="AF603" s="16" t="str">
        <f t="shared" ref="AF603:AG603" si="1217">IF(ISNUMBER(B603),"Valid","Invalid")</f>
        <v>Valid</v>
      </c>
      <c r="AG603" s="16" t="str">
        <f t="shared" si="1217"/>
        <v>Valid</v>
      </c>
      <c r="AH603" s="16" t="str">
        <f t="shared" ref="AH603:AI603" si="1218">IF(OR(B603="",ISBLANK(B603)),"Missing","Valid")</f>
        <v>Valid</v>
      </c>
      <c r="AI603" s="16" t="str">
        <f t="shared" si="1218"/>
        <v>Valid</v>
      </c>
      <c r="AJ603" s="16" t="b">
        <v>0</v>
      </c>
      <c r="AK603" s="16" t="b">
        <v>0</v>
      </c>
      <c r="AL603" s="16" t="b">
        <v>0</v>
      </c>
      <c r="AM603" s="16" t="b">
        <v>0</v>
      </c>
      <c r="AN603" s="16" t="b">
        <v>0</v>
      </c>
      <c r="AO603" s="16" t="b">
        <v>0</v>
      </c>
      <c r="AP603" s="16" t="b">
        <v>0</v>
      </c>
      <c r="AQ603" s="17">
        <f t="shared" si="9"/>
        <v>0.2</v>
      </c>
      <c r="AR603" s="12">
        <f t="shared" si="10"/>
        <v>6460.12</v>
      </c>
      <c r="AS603" s="18">
        <f t="shared" si="11"/>
        <v>0</v>
      </c>
      <c r="AT603" s="12">
        <f t="shared" si="12"/>
        <v>2856.0899999999997</v>
      </c>
      <c r="AU603" s="18">
        <f t="shared" si="13"/>
        <v>0</v>
      </c>
      <c r="AV603" s="19">
        <f t="shared" si="14"/>
        <v>0.44211098245853014</v>
      </c>
      <c r="AW603" s="20" t="str">
        <f t="shared" si="15"/>
        <v>January</v>
      </c>
      <c r="AX603" s="21">
        <f t="shared" si="16"/>
        <v>2024</v>
      </c>
    </row>
    <row r="604" spans="1:50" ht="15.75" customHeight="1">
      <c r="A604" s="10" t="s">
        <v>1929</v>
      </c>
      <c r="B604" s="11">
        <v>45588</v>
      </c>
      <c r="C604" s="11">
        <v>45595</v>
      </c>
      <c r="D604" s="10" t="s">
        <v>1930</v>
      </c>
      <c r="E604" s="10" t="s">
        <v>157</v>
      </c>
      <c r="F604" s="10" t="s">
        <v>53</v>
      </c>
      <c r="G604" s="10" t="s">
        <v>67</v>
      </c>
      <c r="H604" s="10" t="s">
        <v>258</v>
      </c>
      <c r="I604" s="10" t="s">
        <v>259</v>
      </c>
      <c r="J604" s="10" t="s">
        <v>103</v>
      </c>
      <c r="K604" s="10" t="s">
        <v>109</v>
      </c>
      <c r="L604" s="10" t="s">
        <v>1931</v>
      </c>
      <c r="M604" s="10" t="s">
        <v>60</v>
      </c>
      <c r="N604" s="12">
        <v>9</v>
      </c>
      <c r="O604" s="12">
        <v>3423.82</v>
      </c>
      <c r="P604" s="12">
        <v>0.15</v>
      </c>
      <c r="Q604" s="12">
        <v>26192.22</v>
      </c>
      <c r="R604" s="12">
        <v>20795.55</v>
      </c>
      <c r="S604" s="12">
        <v>5396.67</v>
      </c>
      <c r="T604" s="10" t="s">
        <v>61</v>
      </c>
      <c r="U604" s="13" t="s">
        <v>62</v>
      </c>
      <c r="V604" s="14" t="e">
        <f t="shared" ca="1" si="0"/>
        <v>#NAME?</v>
      </c>
      <c r="W604" s="10" t="str">
        <f ca="1">IFERROR(__xludf.DUMMYFUNCTION("IF(COUNTIF($A:$A,A598)=1,
""Unique"",
IF(COUNTUNIQUE(FILTER($V$2:$V$934,$A$2:$A$934=A598))&gt;1,
""Conflicting Duplicate"",
""Exact Duplicate""))"),"Unique")</f>
        <v>Unique</v>
      </c>
      <c r="X604" s="10" t="b">
        <f t="shared" ca="1" si="1"/>
        <v>1</v>
      </c>
      <c r="Y604" s="10" t="str">
        <f t="shared" si="2"/>
        <v>Unique</v>
      </c>
      <c r="Z604" s="10"/>
      <c r="AA604" s="10" t="str">
        <f t="shared" si="3"/>
        <v>Clean</v>
      </c>
      <c r="AB604" s="15" t="str">
        <f t="shared" si="4"/>
        <v>Valid</v>
      </c>
      <c r="AC604" s="15">
        <v>7</v>
      </c>
      <c r="AD604" s="16" t="str">
        <f t="shared" si="5"/>
        <v>Valid</v>
      </c>
      <c r="AE604" s="16" t="str">
        <f t="shared" si="6"/>
        <v>Valid</v>
      </c>
      <c r="AF604" s="16" t="str">
        <f t="shared" ref="AF604:AG604" si="1219">IF(ISNUMBER(B604),"Valid","Invalid")</f>
        <v>Valid</v>
      </c>
      <c r="AG604" s="16" t="str">
        <f t="shared" si="1219"/>
        <v>Valid</v>
      </c>
      <c r="AH604" s="16" t="str">
        <f t="shared" ref="AH604:AI604" si="1220">IF(OR(B604="",ISBLANK(B604)),"Missing","Valid")</f>
        <v>Valid</v>
      </c>
      <c r="AI604" s="16" t="str">
        <f t="shared" si="1220"/>
        <v>Valid</v>
      </c>
      <c r="AJ604" s="16" t="b">
        <v>0</v>
      </c>
      <c r="AK604" s="16" t="b">
        <v>0</v>
      </c>
      <c r="AL604" s="16" t="b">
        <v>0</v>
      </c>
      <c r="AM604" s="16" t="b">
        <v>0</v>
      </c>
      <c r="AN604" s="16" t="b">
        <v>0</v>
      </c>
      <c r="AO604" s="16" t="b">
        <v>0</v>
      </c>
      <c r="AP604" s="16" t="b">
        <v>0</v>
      </c>
      <c r="AQ604" s="17">
        <f t="shared" si="9"/>
        <v>0.15</v>
      </c>
      <c r="AR604" s="12">
        <f t="shared" si="10"/>
        <v>26192.223000000002</v>
      </c>
      <c r="AS604" s="18">
        <f t="shared" si="11"/>
        <v>-3.0000000006111804E-3</v>
      </c>
      <c r="AT604" s="12">
        <f t="shared" si="12"/>
        <v>5396.6730000000025</v>
      </c>
      <c r="AU604" s="18">
        <f t="shared" si="13"/>
        <v>-3.0000000024301698E-3</v>
      </c>
      <c r="AV604" s="19">
        <f t="shared" si="14"/>
        <v>0.20604104508426041</v>
      </c>
      <c r="AW604" s="20" t="str">
        <f t="shared" si="15"/>
        <v>October</v>
      </c>
      <c r="AX604" s="21">
        <f t="shared" si="16"/>
        <v>2024</v>
      </c>
    </row>
    <row r="605" spans="1:50" ht="15.75" customHeight="1">
      <c r="A605" s="10" t="s">
        <v>1932</v>
      </c>
      <c r="B605" s="11">
        <v>45660</v>
      </c>
      <c r="C605" s="11">
        <v>45668</v>
      </c>
      <c r="D605" s="10" t="s">
        <v>364</v>
      </c>
      <c r="E605" s="10" t="s">
        <v>100</v>
      </c>
      <c r="F605" s="10" t="s">
        <v>119</v>
      </c>
      <c r="G605" s="10" t="s">
        <v>67</v>
      </c>
      <c r="H605" s="10" t="s">
        <v>174</v>
      </c>
      <c r="I605" s="10" t="s">
        <v>175</v>
      </c>
      <c r="J605" s="10" t="s">
        <v>103</v>
      </c>
      <c r="K605" s="10" t="s">
        <v>104</v>
      </c>
      <c r="L605" s="10" t="s">
        <v>1933</v>
      </c>
      <c r="M605" s="10" t="s">
        <v>79</v>
      </c>
      <c r="N605" s="12">
        <v>8</v>
      </c>
      <c r="O605" s="12">
        <v>2574.29</v>
      </c>
      <c r="P605" s="12">
        <v>0.05</v>
      </c>
      <c r="Q605" s="12">
        <v>19564.599999999999</v>
      </c>
      <c r="R605" s="12">
        <v>11154.59</v>
      </c>
      <c r="S605" s="12">
        <v>8410.01</v>
      </c>
      <c r="T605" s="10" t="s">
        <v>140</v>
      </c>
      <c r="U605" s="13" t="s">
        <v>97</v>
      </c>
      <c r="V605" s="14" t="e">
        <f t="shared" ca="1" si="0"/>
        <v>#NAME?</v>
      </c>
      <c r="W605" s="10" t="str">
        <f ca="1">IFERROR(__xludf.DUMMYFUNCTION("IF(COUNTIF($A:$A,A599)=1,
""Unique"",
IF(COUNTUNIQUE(FILTER($V$2:$V$934,$A$2:$A$934=A599))&gt;1,
""Conflicting Duplicate"",
""Exact Duplicate""))"),"Unique")</f>
        <v>Unique</v>
      </c>
      <c r="X605" s="10" t="b">
        <f t="shared" ca="1" si="1"/>
        <v>1</v>
      </c>
      <c r="Y605" s="10" t="str">
        <f t="shared" si="2"/>
        <v>Unique</v>
      </c>
      <c r="Z605" s="10"/>
      <c r="AA605" s="10" t="str">
        <f t="shared" si="3"/>
        <v>Clean</v>
      </c>
      <c r="AB605" s="15" t="str">
        <f t="shared" si="4"/>
        <v>Valid</v>
      </c>
      <c r="AC605" s="15">
        <v>8</v>
      </c>
      <c r="AD605" s="16" t="str">
        <f t="shared" si="5"/>
        <v>Valid</v>
      </c>
      <c r="AE605" s="16" t="str">
        <f t="shared" si="6"/>
        <v>Valid</v>
      </c>
      <c r="AF605" s="16" t="str">
        <f t="shared" ref="AF605:AG605" si="1221">IF(ISNUMBER(B605),"Valid","Invalid")</f>
        <v>Valid</v>
      </c>
      <c r="AG605" s="16" t="str">
        <f t="shared" si="1221"/>
        <v>Valid</v>
      </c>
      <c r="AH605" s="16" t="str">
        <f t="shared" ref="AH605:AI605" si="1222">IF(OR(B605="",ISBLANK(B605)),"Missing","Valid")</f>
        <v>Valid</v>
      </c>
      <c r="AI605" s="16" t="str">
        <f t="shared" si="1222"/>
        <v>Valid</v>
      </c>
      <c r="AJ605" s="16" t="b">
        <v>0</v>
      </c>
      <c r="AK605" s="16" t="b">
        <v>0</v>
      </c>
      <c r="AL605" s="16" t="b">
        <v>0</v>
      </c>
      <c r="AM605" s="16" t="b">
        <v>0</v>
      </c>
      <c r="AN605" s="16" t="b">
        <v>0</v>
      </c>
      <c r="AO605" s="16" t="b">
        <v>0</v>
      </c>
      <c r="AP605" s="16" t="b">
        <v>0</v>
      </c>
      <c r="AQ605" s="17">
        <f t="shared" si="9"/>
        <v>0.05</v>
      </c>
      <c r="AR605" s="12">
        <f t="shared" si="10"/>
        <v>19564.603999999999</v>
      </c>
      <c r="AS605" s="18">
        <f t="shared" si="11"/>
        <v>-4.0000000008149073E-3</v>
      </c>
      <c r="AT605" s="12">
        <f t="shared" si="12"/>
        <v>8410.0139999999992</v>
      </c>
      <c r="AU605" s="18">
        <f t="shared" si="13"/>
        <v>-3.9999999989959178E-3</v>
      </c>
      <c r="AV605" s="19">
        <f t="shared" si="14"/>
        <v>0.42985863654587642</v>
      </c>
      <c r="AW605" s="20" t="str">
        <f t="shared" si="15"/>
        <v>January</v>
      </c>
      <c r="AX605" s="21">
        <f t="shared" si="16"/>
        <v>2025</v>
      </c>
    </row>
    <row r="606" spans="1:50" ht="15.75" customHeight="1">
      <c r="A606" s="10" t="s">
        <v>1934</v>
      </c>
      <c r="B606" s="11">
        <v>45693</v>
      </c>
      <c r="C606" s="11">
        <v>45694</v>
      </c>
      <c r="D606" s="10" t="s">
        <v>1935</v>
      </c>
      <c r="E606" s="10" t="s">
        <v>91</v>
      </c>
      <c r="F606" s="10" t="s">
        <v>53</v>
      </c>
      <c r="G606" s="10" t="s">
        <v>92</v>
      </c>
      <c r="H606" s="10" t="s">
        <v>101</v>
      </c>
      <c r="I606" s="10" t="s">
        <v>102</v>
      </c>
      <c r="J606" s="10" t="s">
        <v>57</v>
      </c>
      <c r="K606" s="10" t="s">
        <v>182</v>
      </c>
      <c r="L606" s="10" t="s">
        <v>1936</v>
      </c>
      <c r="M606" s="10" t="s">
        <v>73</v>
      </c>
      <c r="N606" s="12">
        <v>3</v>
      </c>
      <c r="O606" s="12">
        <v>1076.3</v>
      </c>
      <c r="P606" s="12">
        <v>0</v>
      </c>
      <c r="Q606" s="12">
        <v>3228.9</v>
      </c>
      <c r="R606" s="12">
        <v>1853.23</v>
      </c>
      <c r="S606" s="12">
        <v>1375.67</v>
      </c>
      <c r="T606" s="10" t="s">
        <v>61</v>
      </c>
      <c r="U606" s="13" t="s">
        <v>62</v>
      </c>
      <c r="V606" s="14" t="e">
        <f t="shared" ca="1" si="0"/>
        <v>#NAME?</v>
      </c>
      <c r="W606" s="10" t="str">
        <f ca="1">IFERROR(__xludf.DUMMYFUNCTION("IF(COUNTIF($A:$A,A600)=1,
""Unique"",
IF(COUNTUNIQUE(FILTER($V$2:$V$934,$A$2:$A$934=A600))&gt;1,
""Conflicting Duplicate"",
""Exact Duplicate""))"),"Exact Duplicate")</f>
        <v>Exact Duplicate</v>
      </c>
      <c r="X606" s="10" t="b">
        <f t="shared" ca="1" si="1"/>
        <v>1</v>
      </c>
      <c r="Y606" s="10" t="str">
        <f t="shared" si="2"/>
        <v>Unique</v>
      </c>
      <c r="Z606" s="10"/>
      <c r="AA606" s="10" t="str">
        <f t="shared" si="3"/>
        <v>Clean</v>
      </c>
      <c r="AB606" s="15" t="str">
        <f t="shared" si="4"/>
        <v>Valid</v>
      </c>
      <c r="AC606" s="15">
        <v>1</v>
      </c>
      <c r="AD606" s="16" t="str">
        <f t="shared" si="5"/>
        <v>Valid</v>
      </c>
      <c r="AE606" s="16" t="str">
        <f t="shared" si="6"/>
        <v>Valid</v>
      </c>
      <c r="AF606" s="16" t="str">
        <f t="shared" ref="AF606:AG606" si="1223">IF(ISNUMBER(B606),"Valid","Invalid")</f>
        <v>Valid</v>
      </c>
      <c r="AG606" s="16" t="str">
        <f t="shared" si="1223"/>
        <v>Valid</v>
      </c>
      <c r="AH606" s="16" t="str">
        <f t="shared" ref="AH606:AI606" si="1224">IF(OR(B606="",ISBLANK(B606)),"Missing","Valid")</f>
        <v>Valid</v>
      </c>
      <c r="AI606" s="16" t="str">
        <f t="shared" si="1224"/>
        <v>Valid</v>
      </c>
      <c r="AJ606" s="16" t="b">
        <v>0</v>
      </c>
      <c r="AK606" s="16" t="b">
        <v>0</v>
      </c>
      <c r="AL606" s="16" t="b">
        <v>0</v>
      </c>
      <c r="AM606" s="16" t="b">
        <v>0</v>
      </c>
      <c r="AN606" s="16" t="b">
        <v>0</v>
      </c>
      <c r="AO606" s="16" t="b">
        <v>0</v>
      </c>
      <c r="AP606" s="16" t="b">
        <v>0</v>
      </c>
      <c r="AQ606" s="17">
        <f t="shared" si="9"/>
        <v>0</v>
      </c>
      <c r="AR606" s="12">
        <f t="shared" si="10"/>
        <v>3228.8999999999996</v>
      </c>
      <c r="AS606" s="18">
        <f t="shared" si="11"/>
        <v>0</v>
      </c>
      <c r="AT606" s="12">
        <f t="shared" si="12"/>
        <v>1375.6699999999996</v>
      </c>
      <c r="AU606" s="18">
        <f t="shared" si="13"/>
        <v>0</v>
      </c>
      <c r="AV606" s="19">
        <f t="shared" si="14"/>
        <v>0.42604911889497965</v>
      </c>
      <c r="AW606" s="20" t="str">
        <f t="shared" si="15"/>
        <v>February</v>
      </c>
      <c r="AX606" s="21">
        <f t="shared" si="16"/>
        <v>2025</v>
      </c>
    </row>
    <row r="607" spans="1:50" ht="15.75" customHeight="1">
      <c r="A607" s="10" t="s">
        <v>1937</v>
      </c>
      <c r="B607" s="11">
        <v>45847</v>
      </c>
      <c r="C607" s="11">
        <v>45851</v>
      </c>
      <c r="D607" s="10" t="s">
        <v>1938</v>
      </c>
      <c r="E607" s="10" t="s">
        <v>294</v>
      </c>
      <c r="F607" s="10" t="s">
        <v>119</v>
      </c>
      <c r="G607" s="10" t="s">
        <v>92</v>
      </c>
      <c r="H607" s="10" t="s">
        <v>219</v>
      </c>
      <c r="I607" s="10" t="s">
        <v>220</v>
      </c>
      <c r="J607" s="10" t="s">
        <v>70</v>
      </c>
      <c r="K607" s="10" t="s">
        <v>86</v>
      </c>
      <c r="L607" s="10" t="s">
        <v>1939</v>
      </c>
      <c r="M607" s="10" t="s">
        <v>60</v>
      </c>
      <c r="N607" s="12">
        <v>5</v>
      </c>
      <c r="O607" s="12">
        <v>1680.01</v>
      </c>
      <c r="P607" s="10" t="s">
        <v>797</v>
      </c>
      <c r="Q607" s="12">
        <v>7560.04</v>
      </c>
      <c r="R607" s="12">
        <v>6448.05</v>
      </c>
      <c r="S607" s="12">
        <v>1111.99</v>
      </c>
      <c r="T607" s="10" t="s">
        <v>61</v>
      </c>
      <c r="U607" s="13" t="s">
        <v>97</v>
      </c>
      <c r="V607" s="14" t="e">
        <f t="shared" ca="1" si="0"/>
        <v>#NAME?</v>
      </c>
      <c r="W607" s="10" t="str">
        <f ca="1">IFERROR(__xludf.DUMMYFUNCTION("IF(COUNTIF($A:$A,A601)=1,
""Unique"",
IF(COUNTUNIQUE(FILTER($V$2:$V$934,$A$2:$A$934=A601))&gt;1,
""Conflicting Duplicate"",
""Exact Duplicate""))"),"Unique")</f>
        <v>Unique</v>
      </c>
      <c r="X607" s="10" t="b">
        <f t="shared" ca="1" si="1"/>
        <v>1</v>
      </c>
      <c r="Y607" s="10" t="str">
        <f t="shared" si="2"/>
        <v>Unique</v>
      </c>
      <c r="Z607" s="10"/>
      <c r="AA607" s="10" t="str">
        <f t="shared" si="3"/>
        <v>Invalid</v>
      </c>
      <c r="AB607" s="15" t="str">
        <f t="shared" si="4"/>
        <v>Valid</v>
      </c>
      <c r="AC607" s="15">
        <v>4</v>
      </c>
      <c r="AD607" s="16" t="str">
        <f t="shared" si="5"/>
        <v>Valid</v>
      </c>
      <c r="AE607" s="16" t="str">
        <f t="shared" si="6"/>
        <v>Valid</v>
      </c>
      <c r="AF607" s="16" t="str">
        <f t="shared" ref="AF607:AG607" si="1225">IF(ISNUMBER(B607),"Valid","Invalid")</f>
        <v>Valid</v>
      </c>
      <c r="AG607" s="16" t="str">
        <f t="shared" si="1225"/>
        <v>Valid</v>
      </c>
      <c r="AH607" s="16" t="str">
        <f t="shared" ref="AH607:AI607" si="1226">IF(OR(B607="",ISBLANK(B607)),"Missing","Valid")</f>
        <v>Valid</v>
      </c>
      <c r="AI607" s="16" t="str">
        <f t="shared" si="1226"/>
        <v>Valid</v>
      </c>
      <c r="AJ607" s="16" t="b">
        <v>0</v>
      </c>
      <c r="AK607" s="16" t="b">
        <v>0</v>
      </c>
      <c r="AL607" s="16" t="b">
        <v>0</v>
      </c>
      <c r="AM607" s="16" t="b">
        <v>0</v>
      </c>
      <c r="AN607" s="16" t="b">
        <v>0</v>
      </c>
      <c r="AO607" s="16" t="b">
        <v>0</v>
      </c>
      <c r="AP607" s="16" t="b">
        <v>0</v>
      </c>
      <c r="AQ607" s="17" t="str">
        <f t="shared" si="9"/>
        <v>85%</v>
      </c>
      <c r="AR607" s="12">
        <f t="shared" si="10"/>
        <v>1260.0075000000002</v>
      </c>
      <c r="AS607" s="18">
        <f t="shared" si="11"/>
        <v>6300.0324999999993</v>
      </c>
      <c r="AT607" s="12">
        <f t="shared" si="12"/>
        <v>-5188.0424999999996</v>
      </c>
      <c r="AU607" s="18">
        <f t="shared" si="13"/>
        <v>6300.0324999999993</v>
      </c>
      <c r="AV607" s="19">
        <f t="shared" si="14"/>
        <v>-4.1174695388717915</v>
      </c>
      <c r="AW607" s="20" t="str">
        <f t="shared" si="15"/>
        <v>July</v>
      </c>
      <c r="AX607" s="21">
        <f t="shared" si="16"/>
        <v>2025</v>
      </c>
    </row>
    <row r="608" spans="1:50" ht="15.75" customHeight="1">
      <c r="A608" s="10" t="s">
        <v>1940</v>
      </c>
      <c r="B608" s="11">
        <v>45710</v>
      </c>
      <c r="C608" s="11">
        <v>45716</v>
      </c>
      <c r="D608" s="10" t="s">
        <v>1941</v>
      </c>
      <c r="E608" s="10" t="s">
        <v>147</v>
      </c>
      <c r="F608" s="10" t="s">
        <v>124</v>
      </c>
      <c r="G608" s="10" t="s">
        <v>92</v>
      </c>
      <c r="H608" s="10" t="s">
        <v>101</v>
      </c>
      <c r="I608" s="10" t="s">
        <v>102</v>
      </c>
      <c r="J608" s="10" t="s">
        <v>103</v>
      </c>
      <c r="K608" s="10" t="s">
        <v>109</v>
      </c>
      <c r="L608" s="10" t="s">
        <v>1942</v>
      </c>
      <c r="M608" s="10" t="s">
        <v>73</v>
      </c>
      <c r="N608" s="12">
        <v>3</v>
      </c>
      <c r="O608" s="12">
        <v>3890.81</v>
      </c>
      <c r="P608" s="12">
        <v>0.25</v>
      </c>
      <c r="Q608" s="12">
        <v>8754.32</v>
      </c>
      <c r="R608" s="12">
        <v>6238.9</v>
      </c>
      <c r="S608" s="12">
        <v>2515.42</v>
      </c>
      <c r="T608" s="10" t="s">
        <v>61</v>
      </c>
      <c r="U608" s="13" t="s">
        <v>62</v>
      </c>
      <c r="V608" s="14" t="e">
        <f t="shared" ca="1" si="0"/>
        <v>#NAME?</v>
      </c>
      <c r="W608" s="10" t="str">
        <f ca="1">IFERROR(__xludf.DUMMYFUNCTION("IF(COUNTIF($A:$A,A602)=1,
""Unique"",
IF(COUNTUNIQUE(FILTER($V$2:$V$934,$A$2:$A$934=A602))&gt;1,
""Conflicting Duplicate"",
""Exact Duplicate""))"),"Unique")</f>
        <v>Unique</v>
      </c>
      <c r="X608" s="10" t="b">
        <f t="shared" ca="1" si="1"/>
        <v>1</v>
      </c>
      <c r="Y608" s="10" t="str">
        <f t="shared" si="2"/>
        <v>Unique</v>
      </c>
      <c r="Z608" s="10"/>
      <c r="AA608" s="10" t="str">
        <f t="shared" si="3"/>
        <v>Clean</v>
      </c>
      <c r="AB608" s="15" t="str">
        <f t="shared" si="4"/>
        <v>Valid</v>
      </c>
      <c r="AC608" s="15">
        <v>6</v>
      </c>
      <c r="AD608" s="16" t="str">
        <f t="shared" si="5"/>
        <v>Valid</v>
      </c>
      <c r="AE608" s="16" t="str">
        <f t="shared" si="6"/>
        <v>Valid</v>
      </c>
      <c r="AF608" s="16" t="str">
        <f t="shared" ref="AF608:AG608" si="1227">IF(ISNUMBER(B608),"Valid","Invalid")</f>
        <v>Valid</v>
      </c>
      <c r="AG608" s="16" t="str">
        <f t="shared" si="1227"/>
        <v>Valid</v>
      </c>
      <c r="AH608" s="16" t="str">
        <f t="shared" ref="AH608:AI608" si="1228">IF(OR(B608="",ISBLANK(B608)),"Missing","Valid")</f>
        <v>Valid</v>
      </c>
      <c r="AI608" s="16" t="str">
        <f t="shared" si="1228"/>
        <v>Valid</v>
      </c>
      <c r="AJ608" s="16" t="b">
        <v>0</v>
      </c>
      <c r="AK608" s="16" t="b">
        <v>0</v>
      </c>
      <c r="AL608" s="16" t="b">
        <v>0</v>
      </c>
      <c r="AM608" s="16" t="b">
        <v>0</v>
      </c>
      <c r="AN608" s="16" t="b">
        <v>0</v>
      </c>
      <c r="AO608" s="16" t="b">
        <v>0</v>
      </c>
      <c r="AP608" s="16" t="b">
        <v>0</v>
      </c>
      <c r="AQ608" s="17">
        <f t="shared" si="9"/>
        <v>0.25</v>
      </c>
      <c r="AR608" s="12">
        <f t="shared" si="10"/>
        <v>8754.3225000000002</v>
      </c>
      <c r="AS608" s="18">
        <f t="shared" si="11"/>
        <v>-2.500000000509317E-3</v>
      </c>
      <c r="AT608" s="12">
        <f t="shared" si="12"/>
        <v>2515.4225000000006</v>
      </c>
      <c r="AU608" s="18">
        <f t="shared" si="13"/>
        <v>-2.500000000509317E-3</v>
      </c>
      <c r="AV608" s="19">
        <f t="shared" si="14"/>
        <v>0.28733491369549163</v>
      </c>
      <c r="AW608" s="20" t="str">
        <f t="shared" si="15"/>
        <v>February</v>
      </c>
      <c r="AX608" s="21">
        <f t="shared" si="16"/>
        <v>2025</v>
      </c>
    </row>
    <row r="609" spans="1:50" ht="15.75" customHeight="1">
      <c r="A609" s="10" t="s">
        <v>1943</v>
      </c>
      <c r="B609" s="11">
        <v>45704</v>
      </c>
      <c r="C609" s="11">
        <v>45710</v>
      </c>
      <c r="D609" s="10" t="s">
        <v>1944</v>
      </c>
      <c r="E609" s="10" t="s">
        <v>161</v>
      </c>
      <c r="F609" s="10" t="s">
        <v>124</v>
      </c>
      <c r="G609" s="10" t="s">
        <v>67</v>
      </c>
      <c r="H609" s="10" t="s">
        <v>174</v>
      </c>
      <c r="I609" s="10" t="s">
        <v>175</v>
      </c>
      <c r="J609" s="10" t="s">
        <v>57</v>
      </c>
      <c r="K609" s="10" t="s">
        <v>153</v>
      </c>
      <c r="L609" s="10" t="s">
        <v>1945</v>
      </c>
      <c r="M609" s="10" t="s">
        <v>73</v>
      </c>
      <c r="N609" s="12">
        <v>5</v>
      </c>
      <c r="O609" s="12">
        <v>954.67</v>
      </c>
      <c r="P609" s="12">
        <v>0.15</v>
      </c>
      <c r="Q609" s="12">
        <v>4057.35</v>
      </c>
      <c r="R609" s="12">
        <v>2862.03</v>
      </c>
      <c r="S609" s="12">
        <v>1195.32</v>
      </c>
      <c r="T609" s="10" t="s">
        <v>61</v>
      </c>
      <c r="U609" s="13" t="s">
        <v>62</v>
      </c>
      <c r="V609" s="14" t="e">
        <f t="shared" ca="1" si="0"/>
        <v>#NAME?</v>
      </c>
      <c r="W609" s="10" t="str">
        <f ca="1">IFERROR(__xludf.DUMMYFUNCTION("IF(COUNTIF($A:$A,A603)=1,
""Unique"",
IF(COUNTUNIQUE(FILTER($V$2:$V$934,$A$2:$A$934=A603))&gt;1,
""Conflicting Duplicate"",
""Exact Duplicate""))"),"Unique")</f>
        <v>Unique</v>
      </c>
      <c r="X609" s="10" t="b">
        <f t="shared" ca="1" si="1"/>
        <v>1</v>
      </c>
      <c r="Y609" s="10" t="str">
        <f t="shared" si="2"/>
        <v>Unique</v>
      </c>
      <c r="Z609" s="10"/>
      <c r="AA609" s="10" t="str">
        <f t="shared" si="3"/>
        <v>Clean</v>
      </c>
      <c r="AB609" s="15" t="str">
        <f t="shared" si="4"/>
        <v>Valid</v>
      </c>
      <c r="AC609" s="15">
        <v>6</v>
      </c>
      <c r="AD609" s="16" t="str">
        <f t="shared" si="5"/>
        <v>Valid</v>
      </c>
      <c r="AE609" s="16" t="str">
        <f t="shared" si="6"/>
        <v>Valid</v>
      </c>
      <c r="AF609" s="16" t="str">
        <f t="shared" ref="AF609:AG609" si="1229">IF(ISNUMBER(B609),"Valid","Invalid")</f>
        <v>Valid</v>
      </c>
      <c r="AG609" s="16" t="str">
        <f t="shared" si="1229"/>
        <v>Valid</v>
      </c>
      <c r="AH609" s="16" t="str">
        <f t="shared" ref="AH609:AI609" si="1230">IF(OR(B609="",ISBLANK(B609)),"Missing","Valid")</f>
        <v>Valid</v>
      </c>
      <c r="AI609" s="16" t="str">
        <f t="shared" si="1230"/>
        <v>Valid</v>
      </c>
      <c r="AJ609" s="16" t="b">
        <v>0</v>
      </c>
      <c r="AK609" s="16" t="b">
        <v>0</v>
      </c>
      <c r="AL609" s="16" t="b">
        <v>0</v>
      </c>
      <c r="AM609" s="16" t="b">
        <v>0</v>
      </c>
      <c r="AN609" s="16" t="b">
        <v>0</v>
      </c>
      <c r="AO609" s="16" t="b">
        <v>0</v>
      </c>
      <c r="AP609" s="16" t="b">
        <v>0</v>
      </c>
      <c r="AQ609" s="17">
        <f t="shared" si="9"/>
        <v>0.15</v>
      </c>
      <c r="AR609" s="12">
        <f t="shared" si="10"/>
        <v>4057.3474999999994</v>
      </c>
      <c r="AS609" s="18">
        <f t="shared" si="11"/>
        <v>2.500000000509317E-3</v>
      </c>
      <c r="AT609" s="12">
        <f t="shared" si="12"/>
        <v>1195.3174999999992</v>
      </c>
      <c r="AU609" s="18">
        <f t="shared" si="13"/>
        <v>2.5000000007366907E-3</v>
      </c>
      <c r="AV609" s="19">
        <f t="shared" si="14"/>
        <v>0.29460565061286947</v>
      </c>
      <c r="AW609" s="20" t="str">
        <f t="shared" si="15"/>
        <v>February</v>
      </c>
      <c r="AX609" s="21">
        <f t="shared" si="16"/>
        <v>2025</v>
      </c>
    </row>
    <row r="610" spans="1:50" ht="15.75" customHeight="1">
      <c r="A610" s="10" t="s">
        <v>1946</v>
      </c>
      <c r="B610" s="11">
        <v>45464</v>
      </c>
      <c r="C610" s="11">
        <v>45466</v>
      </c>
      <c r="D610" s="10" t="s">
        <v>1724</v>
      </c>
      <c r="E610" s="10" t="s">
        <v>52</v>
      </c>
      <c r="F610" s="10" t="s">
        <v>124</v>
      </c>
      <c r="G610" s="10" t="s">
        <v>92</v>
      </c>
      <c r="H610" s="10" t="s">
        <v>219</v>
      </c>
      <c r="I610" s="10" t="s">
        <v>220</v>
      </c>
      <c r="J610" s="10" t="s">
        <v>70</v>
      </c>
      <c r="K610" s="10" t="s">
        <v>86</v>
      </c>
      <c r="L610" s="10" t="s">
        <v>1947</v>
      </c>
      <c r="M610" s="10" t="s">
        <v>60</v>
      </c>
      <c r="N610" s="12">
        <v>9</v>
      </c>
      <c r="O610" s="12">
        <v>2153.75</v>
      </c>
      <c r="P610" s="12">
        <v>0</v>
      </c>
      <c r="Q610" s="12">
        <v>19383.75</v>
      </c>
      <c r="R610" s="12">
        <v>11667.43</v>
      </c>
      <c r="S610" s="12">
        <v>7716.32</v>
      </c>
      <c r="T610" s="10" t="s">
        <v>61</v>
      </c>
      <c r="U610" s="13" t="s">
        <v>62</v>
      </c>
      <c r="V610" s="14" t="e">
        <f t="shared" ca="1" si="0"/>
        <v>#NAME?</v>
      </c>
      <c r="W610" s="10" t="str">
        <f ca="1">IFERROR(__xludf.DUMMYFUNCTION("IF(COUNTIF($A:$A,A604)=1,
""Unique"",
IF(COUNTUNIQUE(FILTER($V$2:$V$934,$A$2:$A$934=A604))&gt;1,
""Conflicting Duplicate"",
""Exact Duplicate""))"),"Unique")</f>
        <v>Unique</v>
      </c>
      <c r="X610" s="10" t="b">
        <f t="shared" ca="1" si="1"/>
        <v>1</v>
      </c>
      <c r="Y610" s="10" t="str">
        <f t="shared" si="2"/>
        <v>Unique</v>
      </c>
      <c r="Z610" s="10"/>
      <c r="AA610" s="10" t="str">
        <f t="shared" si="3"/>
        <v>Clean</v>
      </c>
      <c r="AB610" s="15" t="str">
        <f t="shared" si="4"/>
        <v>Valid</v>
      </c>
      <c r="AC610" s="15">
        <v>2</v>
      </c>
      <c r="AD610" s="16" t="str">
        <f t="shared" si="5"/>
        <v>Valid</v>
      </c>
      <c r="AE610" s="16" t="str">
        <f t="shared" si="6"/>
        <v>Valid</v>
      </c>
      <c r="AF610" s="16" t="str">
        <f t="shared" ref="AF610:AG610" si="1231">IF(ISNUMBER(B610),"Valid","Invalid")</f>
        <v>Valid</v>
      </c>
      <c r="AG610" s="16" t="str">
        <f t="shared" si="1231"/>
        <v>Valid</v>
      </c>
      <c r="AH610" s="16" t="str">
        <f t="shared" ref="AH610:AI610" si="1232">IF(OR(B610="",ISBLANK(B610)),"Missing","Valid")</f>
        <v>Valid</v>
      </c>
      <c r="AI610" s="16" t="str">
        <f t="shared" si="1232"/>
        <v>Valid</v>
      </c>
      <c r="AJ610" s="16" t="b">
        <v>0</v>
      </c>
      <c r="AK610" s="16" t="b">
        <v>0</v>
      </c>
      <c r="AL610" s="16" t="b">
        <v>0</v>
      </c>
      <c r="AM610" s="16" t="b">
        <v>0</v>
      </c>
      <c r="AN610" s="16" t="b">
        <v>0</v>
      </c>
      <c r="AO610" s="16" t="b">
        <v>0</v>
      </c>
      <c r="AP610" s="16" t="b">
        <v>0</v>
      </c>
      <c r="AQ610" s="17">
        <f t="shared" si="9"/>
        <v>0</v>
      </c>
      <c r="AR610" s="12">
        <f t="shared" si="10"/>
        <v>19383.75</v>
      </c>
      <c r="AS610" s="18">
        <f t="shared" si="11"/>
        <v>0</v>
      </c>
      <c r="AT610" s="12">
        <f t="shared" si="12"/>
        <v>7716.32</v>
      </c>
      <c r="AU610" s="18">
        <f t="shared" si="13"/>
        <v>0</v>
      </c>
      <c r="AV610" s="19">
        <f t="shared" si="14"/>
        <v>0.39808189849745274</v>
      </c>
      <c r="AW610" s="20" t="str">
        <f t="shared" si="15"/>
        <v>June</v>
      </c>
      <c r="AX610" s="21">
        <f t="shared" si="16"/>
        <v>2024</v>
      </c>
    </row>
    <row r="611" spans="1:50" ht="15.75" customHeight="1">
      <c r="A611" s="10" t="s">
        <v>1948</v>
      </c>
      <c r="B611" s="11">
        <v>45665</v>
      </c>
      <c r="C611" s="11">
        <v>45669</v>
      </c>
      <c r="D611" s="10" t="s">
        <v>1949</v>
      </c>
      <c r="E611" s="10" t="s">
        <v>161</v>
      </c>
      <c r="F611" s="10" t="s">
        <v>124</v>
      </c>
      <c r="G611" s="10" t="s">
        <v>83</v>
      </c>
      <c r="H611" s="10" t="s">
        <v>204</v>
      </c>
      <c r="I611" s="10" t="s">
        <v>205</v>
      </c>
      <c r="J611" s="10" t="s">
        <v>70</v>
      </c>
      <c r="K611" s="10" t="s">
        <v>95</v>
      </c>
      <c r="L611" s="10" t="s">
        <v>1950</v>
      </c>
      <c r="M611" s="10" t="s">
        <v>88</v>
      </c>
      <c r="N611" s="12">
        <v>7</v>
      </c>
      <c r="O611" s="12">
        <v>4337.4799999999996</v>
      </c>
      <c r="P611" s="12">
        <v>0</v>
      </c>
      <c r="Q611" s="12">
        <v>30362.36</v>
      </c>
      <c r="R611" s="12">
        <v>25065.4</v>
      </c>
      <c r="S611" s="12">
        <v>5296.96</v>
      </c>
      <c r="T611" s="10" t="s">
        <v>61</v>
      </c>
      <c r="U611" s="13" t="s">
        <v>62</v>
      </c>
      <c r="V611" s="14" t="e">
        <f t="shared" ca="1" si="0"/>
        <v>#NAME?</v>
      </c>
      <c r="W611" s="10" t="str">
        <f ca="1">IFERROR(__xludf.DUMMYFUNCTION("IF(COUNTIF($A:$A,A605)=1,
""Unique"",
IF(COUNTUNIQUE(FILTER($V$2:$V$934,$A$2:$A$934=A605))&gt;1,
""Conflicting Duplicate"",
""Exact Duplicate""))"),"Unique")</f>
        <v>Unique</v>
      </c>
      <c r="X611" s="10" t="b">
        <f t="shared" ca="1" si="1"/>
        <v>1</v>
      </c>
      <c r="Y611" s="10" t="str">
        <f t="shared" si="2"/>
        <v>Unique</v>
      </c>
      <c r="Z611" s="10"/>
      <c r="AA611" s="10" t="str">
        <f t="shared" si="3"/>
        <v>Clean</v>
      </c>
      <c r="AB611" s="15" t="str">
        <f t="shared" si="4"/>
        <v>Valid</v>
      </c>
      <c r="AC611" s="15">
        <v>4</v>
      </c>
      <c r="AD611" s="16" t="str">
        <f t="shared" si="5"/>
        <v>Valid</v>
      </c>
      <c r="AE611" s="16" t="str">
        <f t="shared" si="6"/>
        <v>Valid</v>
      </c>
      <c r="AF611" s="16" t="str">
        <f t="shared" ref="AF611:AG611" si="1233">IF(ISNUMBER(B611),"Valid","Invalid")</f>
        <v>Valid</v>
      </c>
      <c r="AG611" s="16" t="str">
        <f t="shared" si="1233"/>
        <v>Valid</v>
      </c>
      <c r="AH611" s="16" t="str">
        <f t="shared" ref="AH611:AI611" si="1234">IF(OR(B611="",ISBLANK(B611)),"Missing","Valid")</f>
        <v>Valid</v>
      </c>
      <c r="AI611" s="16" t="str">
        <f t="shared" si="1234"/>
        <v>Valid</v>
      </c>
      <c r="AJ611" s="16" t="b">
        <v>0</v>
      </c>
      <c r="AK611" s="16" t="b">
        <v>0</v>
      </c>
      <c r="AL611" s="16" t="b">
        <v>0</v>
      </c>
      <c r="AM611" s="16" t="b">
        <v>0</v>
      </c>
      <c r="AN611" s="16" t="b">
        <v>0</v>
      </c>
      <c r="AO611" s="16" t="b">
        <v>0</v>
      </c>
      <c r="AP611" s="16" t="b">
        <v>0</v>
      </c>
      <c r="AQ611" s="17">
        <f t="shared" si="9"/>
        <v>0</v>
      </c>
      <c r="AR611" s="12">
        <f t="shared" si="10"/>
        <v>30362.359999999997</v>
      </c>
      <c r="AS611" s="18">
        <f t="shared" si="11"/>
        <v>0</v>
      </c>
      <c r="AT611" s="12">
        <f t="shared" si="12"/>
        <v>5296.9599999999955</v>
      </c>
      <c r="AU611" s="18">
        <f t="shared" si="13"/>
        <v>0</v>
      </c>
      <c r="AV611" s="19">
        <f t="shared" si="14"/>
        <v>0.17445811195177174</v>
      </c>
      <c r="AW611" s="20" t="str">
        <f t="shared" si="15"/>
        <v>January</v>
      </c>
      <c r="AX611" s="21">
        <f t="shared" si="16"/>
        <v>2025</v>
      </c>
    </row>
    <row r="612" spans="1:50" ht="15.75" customHeight="1">
      <c r="A612" s="10" t="s">
        <v>1951</v>
      </c>
      <c r="B612" s="11">
        <v>45432</v>
      </c>
      <c r="C612" s="11">
        <v>45432</v>
      </c>
      <c r="D612" s="10" t="s">
        <v>1396</v>
      </c>
      <c r="E612" s="10" t="s">
        <v>52</v>
      </c>
      <c r="F612" s="10" t="s">
        <v>124</v>
      </c>
      <c r="G612" s="10" t="s">
        <v>92</v>
      </c>
      <c r="H612" s="10" t="s">
        <v>101</v>
      </c>
      <c r="I612" s="10" t="s">
        <v>102</v>
      </c>
      <c r="J612" s="10" t="s">
        <v>70</v>
      </c>
      <c r="K612" s="10" t="s">
        <v>95</v>
      </c>
      <c r="L612" s="10" t="s">
        <v>1952</v>
      </c>
      <c r="M612" s="10" t="s">
        <v>88</v>
      </c>
      <c r="N612" s="12">
        <v>1</v>
      </c>
      <c r="O612" s="12">
        <v>3032.95</v>
      </c>
      <c r="P612" s="12">
        <v>0.1</v>
      </c>
      <c r="Q612" s="12">
        <v>2729.65</v>
      </c>
      <c r="R612" s="12">
        <v>1715.36</v>
      </c>
      <c r="S612" s="12">
        <v>1014.29</v>
      </c>
      <c r="T612" s="10" t="s">
        <v>61</v>
      </c>
      <c r="U612" s="13" t="s">
        <v>62</v>
      </c>
      <c r="V612" s="14" t="e">
        <f t="shared" ca="1" si="0"/>
        <v>#NAME?</v>
      </c>
      <c r="W612" s="10" t="str">
        <f ca="1">IFERROR(__xludf.DUMMYFUNCTION("IF(COUNTIF($A:$A,A606)=1,
""Unique"",
IF(COUNTUNIQUE(FILTER($V$2:$V$934,$A$2:$A$934=A606))&gt;1,
""Conflicting Duplicate"",
""Exact Duplicate""))"),"Unique")</f>
        <v>Unique</v>
      </c>
      <c r="X612" s="10" t="b">
        <f t="shared" ca="1" si="1"/>
        <v>1</v>
      </c>
      <c r="Y612" s="10" t="str">
        <f t="shared" si="2"/>
        <v>Unique</v>
      </c>
      <c r="Z612" s="10"/>
      <c r="AA612" s="10" t="str">
        <f t="shared" si="3"/>
        <v>Clean</v>
      </c>
      <c r="AB612" s="15" t="str">
        <f t="shared" si="4"/>
        <v>Valid</v>
      </c>
      <c r="AC612" s="15">
        <v>0</v>
      </c>
      <c r="AD612" s="16" t="str">
        <f t="shared" si="5"/>
        <v>Valid</v>
      </c>
      <c r="AE612" s="16" t="str">
        <f t="shared" si="6"/>
        <v>Valid</v>
      </c>
      <c r="AF612" s="16" t="str">
        <f t="shared" ref="AF612:AG612" si="1235">IF(ISNUMBER(B612),"Valid","Invalid")</f>
        <v>Valid</v>
      </c>
      <c r="AG612" s="16" t="str">
        <f t="shared" si="1235"/>
        <v>Valid</v>
      </c>
      <c r="AH612" s="16" t="str">
        <f t="shared" ref="AH612:AI612" si="1236">IF(OR(B612="",ISBLANK(B612)),"Missing","Valid")</f>
        <v>Valid</v>
      </c>
      <c r="AI612" s="16" t="str">
        <f t="shared" si="1236"/>
        <v>Valid</v>
      </c>
      <c r="AJ612" s="16" t="b">
        <v>0</v>
      </c>
      <c r="AK612" s="16" t="b">
        <v>0</v>
      </c>
      <c r="AL612" s="16" t="b">
        <v>0</v>
      </c>
      <c r="AM612" s="16" t="b">
        <v>0</v>
      </c>
      <c r="AN612" s="16" t="b">
        <v>0</v>
      </c>
      <c r="AO612" s="16" t="b">
        <v>0</v>
      </c>
      <c r="AP612" s="16" t="b">
        <v>0</v>
      </c>
      <c r="AQ612" s="17">
        <f t="shared" si="9"/>
        <v>0.1</v>
      </c>
      <c r="AR612" s="12">
        <f t="shared" si="10"/>
        <v>2729.6549999999997</v>
      </c>
      <c r="AS612" s="18">
        <f t="shared" si="11"/>
        <v>-4.999999999654392E-3</v>
      </c>
      <c r="AT612" s="12">
        <f t="shared" si="12"/>
        <v>1014.2949999999998</v>
      </c>
      <c r="AU612" s="18">
        <f t="shared" si="13"/>
        <v>-4.9999999998817657E-3</v>
      </c>
      <c r="AV612" s="19">
        <f t="shared" si="14"/>
        <v>0.37158358840219735</v>
      </c>
      <c r="AW612" s="20" t="str">
        <f t="shared" si="15"/>
        <v>May</v>
      </c>
      <c r="AX612" s="21">
        <f t="shared" si="16"/>
        <v>2024</v>
      </c>
    </row>
    <row r="613" spans="1:50" ht="15.75" customHeight="1">
      <c r="A613" s="10" t="s">
        <v>1953</v>
      </c>
      <c r="B613" s="11">
        <v>45846</v>
      </c>
      <c r="C613" s="11">
        <v>45853</v>
      </c>
      <c r="D613" s="10" t="s">
        <v>1954</v>
      </c>
      <c r="E613" s="10" t="s">
        <v>91</v>
      </c>
      <c r="F613" s="10" t="s">
        <v>66</v>
      </c>
      <c r="G613" s="10" t="s">
        <v>54</v>
      </c>
      <c r="H613" s="10" t="s">
        <v>55</v>
      </c>
      <c r="I613" s="10" t="s">
        <v>56</v>
      </c>
      <c r="J613" s="10" t="s">
        <v>57</v>
      </c>
      <c r="K613" s="10" t="s">
        <v>182</v>
      </c>
      <c r="L613" s="10" t="s">
        <v>1955</v>
      </c>
      <c r="M613" s="10" t="s">
        <v>73</v>
      </c>
      <c r="N613" s="12">
        <v>8</v>
      </c>
      <c r="O613" s="12">
        <v>655.28</v>
      </c>
      <c r="P613" s="12">
        <v>0.1</v>
      </c>
      <c r="Q613" s="12">
        <v>4718.0200000000004</v>
      </c>
      <c r="R613" s="12">
        <v>3908.23</v>
      </c>
      <c r="S613" s="12">
        <v>809.79</v>
      </c>
      <c r="T613" s="10" t="s">
        <v>61</v>
      </c>
      <c r="U613" s="13" t="s">
        <v>62</v>
      </c>
      <c r="V613" s="14" t="e">
        <f t="shared" ca="1" si="0"/>
        <v>#NAME?</v>
      </c>
      <c r="W613" s="10" t="str">
        <f ca="1">IFERROR(__xludf.DUMMYFUNCTION("IF(COUNTIF($A:$A,A607)=1,
""Unique"",
IF(COUNTUNIQUE(FILTER($V$2:$V$934,$A$2:$A$934=A607))&gt;1,
""Conflicting Duplicate"",
""Exact Duplicate""))"),"Unique")</f>
        <v>Unique</v>
      </c>
      <c r="X613" s="10" t="b">
        <f t="shared" ca="1" si="1"/>
        <v>1</v>
      </c>
      <c r="Y613" s="10" t="str">
        <f t="shared" si="2"/>
        <v>Unique</v>
      </c>
      <c r="Z613" s="10"/>
      <c r="AA613" s="10" t="str">
        <f t="shared" si="3"/>
        <v>Clean</v>
      </c>
      <c r="AB613" s="15" t="str">
        <f t="shared" si="4"/>
        <v>Valid</v>
      </c>
      <c r="AC613" s="15">
        <v>7</v>
      </c>
      <c r="AD613" s="16" t="str">
        <f t="shared" si="5"/>
        <v>Valid</v>
      </c>
      <c r="AE613" s="16" t="str">
        <f t="shared" si="6"/>
        <v>Valid</v>
      </c>
      <c r="AF613" s="16" t="str">
        <f t="shared" ref="AF613:AG613" si="1237">IF(ISNUMBER(B613),"Valid","Invalid")</f>
        <v>Valid</v>
      </c>
      <c r="AG613" s="16" t="str">
        <f t="shared" si="1237"/>
        <v>Valid</v>
      </c>
      <c r="AH613" s="16" t="str">
        <f t="shared" ref="AH613:AI613" si="1238">IF(OR(B613="",ISBLANK(B613)),"Missing","Valid")</f>
        <v>Valid</v>
      </c>
      <c r="AI613" s="16" t="str">
        <f t="shared" si="1238"/>
        <v>Valid</v>
      </c>
      <c r="AJ613" s="16" t="b">
        <v>0</v>
      </c>
      <c r="AK613" s="16" t="b">
        <v>0</v>
      </c>
      <c r="AL613" s="16" t="b">
        <v>0</v>
      </c>
      <c r="AM613" s="16" t="b">
        <v>0</v>
      </c>
      <c r="AN613" s="16" t="b">
        <v>0</v>
      </c>
      <c r="AO613" s="16" t="b">
        <v>0</v>
      </c>
      <c r="AP613" s="16" t="b">
        <v>0</v>
      </c>
      <c r="AQ613" s="17">
        <f t="shared" si="9"/>
        <v>0.1</v>
      </c>
      <c r="AR613" s="12">
        <f t="shared" si="10"/>
        <v>4718.0159999999996</v>
      </c>
      <c r="AS613" s="18">
        <f t="shared" si="11"/>
        <v>4.0000000008149073E-3</v>
      </c>
      <c r="AT613" s="12">
        <f t="shared" si="12"/>
        <v>809.7859999999996</v>
      </c>
      <c r="AU613" s="18">
        <f t="shared" si="13"/>
        <v>4.0000000003601599E-3</v>
      </c>
      <c r="AV613" s="19">
        <f t="shared" si="14"/>
        <v>0.17163697622051297</v>
      </c>
      <c r="AW613" s="20" t="str">
        <f t="shared" si="15"/>
        <v>July</v>
      </c>
      <c r="AX613" s="21">
        <f t="shared" si="16"/>
        <v>2025</v>
      </c>
    </row>
    <row r="614" spans="1:50" ht="15.75" customHeight="1">
      <c r="A614" s="10" t="s">
        <v>1956</v>
      </c>
      <c r="B614" s="11">
        <v>45753</v>
      </c>
      <c r="C614" s="11">
        <v>45760</v>
      </c>
      <c r="D614" s="10" t="s">
        <v>1957</v>
      </c>
      <c r="E614" s="10" t="s">
        <v>118</v>
      </c>
      <c r="F614" s="10" t="s">
        <v>53</v>
      </c>
      <c r="G614" s="10" t="s">
        <v>234</v>
      </c>
      <c r="H614" s="10" t="s">
        <v>68</v>
      </c>
      <c r="I614" s="10" t="s">
        <v>69</v>
      </c>
      <c r="J614" s="10" t="s">
        <v>103</v>
      </c>
      <c r="K614" s="10" t="s">
        <v>200</v>
      </c>
      <c r="L614" s="10" t="s">
        <v>1958</v>
      </c>
      <c r="M614" s="10" t="s">
        <v>88</v>
      </c>
      <c r="N614" s="12">
        <v>1</v>
      </c>
      <c r="O614" s="12">
        <v>3844.01</v>
      </c>
      <c r="P614" s="12">
        <v>0</v>
      </c>
      <c r="Q614" s="12">
        <v>3844.01</v>
      </c>
      <c r="R614" s="12">
        <v>2195.79</v>
      </c>
      <c r="S614" s="12">
        <v>1648.22</v>
      </c>
      <c r="T614" s="10" t="s">
        <v>61</v>
      </c>
      <c r="U614" s="13" t="s">
        <v>62</v>
      </c>
      <c r="V614" s="14" t="e">
        <f t="shared" ca="1" si="0"/>
        <v>#NAME?</v>
      </c>
      <c r="W614" s="10" t="str">
        <f ca="1">IFERROR(__xludf.DUMMYFUNCTION("IF(COUNTIF($A:$A,A608)=1,
""Unique"",
IF(COUNTUNIQUE(FILTER($V$2:$V$934,$A$2:$A$934=A608))&gt;1,
""Conflicting Duplicate"",
""Exact Duplicate""))"),"Unique")</f>
        <v>Unique</v>
      </c>
      <c r="X614" s="10" t="b">
        <f t="shared" ca="1" si="1"/>
        <v>1</v>
      </c>
      <c r="Y614" s="10" t="str">
        <f t="shared" si="2"/>
        <v>Unique</v>
      </c>
      <c r="Z614" s="10"/>
      <c r="AA614" s="10" t="str">
        <f t="shared" si="3"/>
        <v>Warning</v>
      </c>
      <c r="AB614" s="15" t="str">
        <f t="shared" si="4"/>
        <v>Valid</v>
      </c>
      <c r="AC614" s="15">
        <v>7</v>
      </c>
      <c r="AD614" s="16" t="str">
        <f t="shared" si="5"/>
        <v>Valid</v>
      </c>
      <c r="AE614" s="16" t="str">
        <f t="shared" si="6"/>
        <v>Valid</v>
      </c>
      <c r="AF614" s="16" t="str">
        <f t="shared" ref="AF614:AG614" si="1239">IF(ISNUMBER(B614),"Valid","Invalid")</f>
        <v>Valid</v>
      </c>
      <c r="AG614" s="16" t="str">
        <f t="shared" si="1239"/>
        <v>Valid</v>
      </c>
      <c r="AH614" s="16" t="str">
        <f t="shared" ref="AH614:AI614" si="1240">IF(OR(B614="",ISBLANK(B614)),"Missing","Valid")</f>
        <v>Valid</v>
      </c>
      <c r="AI614" s="16" t="str">
        <f t="shared" si="1240"/>
        <v>Valid</v>
      </c>
      <c r="AJ614" s="16" t="b">
        <v>1</v>
      </c>
      <c r="AK614" s="16" t="b">
        <v>0</v>
      </c>
      <c r="AL614" s="16" t="b">
        <v>0</v>
      </c>
      <c r="AM614" s="16" t="b">
        <v>0</v>
      </c>
      <c r="AN614" s="16" t="b">
        <v>0</v>
      </c>
      <c r="AO614" s="16" t="b">
        <v>0</v>
      </c>
      <c r="AP614" s="16" t="b">
        <v>1</v>
      </c>
      <c r="AQ614" s="17">
        <f t="shared" si="9"/>
        <v>0</v>
      </c>
      <c r="AR614" s="12">
        <f t="shared" si="10"/>
        <v>3844.01</v>
      </c>
      <c r="AS614" s="18">
        <f t="shared" si="11"/>
        <v>0</v>
      </c>
      <c r="AT614" s="12">
        <f t="shared" si="12"/>
        <v>1648.2200000000003</v>
      </c>
      <c r="AU614" s="18">
        <f t="shared" si="13"/>
        <v>0</v>
      </c>
      <c r="AV614" s="19">
        <f t="shared" si="14"/>
        <v>0.42877619985379856</v>
      </c>
      <c r="AW614" s="20" t="str">
        <f t="shared" si="15"/>
        <v>April</v>
      </c>
      <c r="AX614" s="21">
        <f t="shared" si="16"/>
        <v>2025</v>
      </c>
    </row>
    <row r="615" spans="1:50" ht="15.75" customHeight="1">
      <c r="A615" s="10" t="s">
        <v>1959</v>
      </c>
      <c r="B615" s="11">
        <v>45570</v>
      </c>
      <c r="C615" s="11">
        <v>45575</v>
      </c>
      <c r="D615" s="10" t="s">
        <v>1960</v>
      </c>
      <c r="E615" s="10" t="s">
        <v>191</v>
      </c>
      <c r="F615" s="10" t="s">
        <v>124</v>
      </c>
      <c r="G615" s="10" t="s">
        <v>92</v>
      </c>
      <c r="H615" s="10" t="s">
        <v>209</v>
      </c>
      <c r="I615" s="10" t="s">
        <v>210</v>
      </c>
      <c r="J615" s="10" t="s">
        <v>103</v>
      </c>
      <c r="K615" s="10" t="s">
        <v>304</v>
      </c>
      <c r="L615" s="10" t="s">
        <v>1961</v>
      </c>
      <c r="M615" s="10" t="s">
        <v>73</v>
      </c>
      <c r="N615" s="12">
        <v>9</v>
      </c>
      <c r="O615" s="12">
        <v>3361.3</v>
      </c>
      <c r="P615" s="12">
        <v>0.25</v>
      </c>
      <c r="Q615" s="12">
        <v>22688.78</v>
      </c>
      <c r="R615" s="12">
        <v>14672.41</v>
      </c>
      <c r="S615" s="12">
        <v>8016.37</v>
      </c>
      <c r="T615" s="10" t="s">
        <v>61</v>
      </c>
      <c r="U615" s="13" t="s">
        <v>62</v>
      </c>
      <c r="V615" s="14" t="e">
        <f t="shared" ca="1" si="0"/>
        <v>#NAME?</v>
      </c>
      <c r="W615" s="10" t="str">
        <f ca="1">IFERROR(__xludf.DUMMYFUNCTION("IF(COUNTIF($A:$A,A609)=1,
""Unique"",
IF(COUNTUNIQUE(FILTER($V$2:$V$934,$A$2:$A$934=A609))&gt;1,
""Conflicting Duplicate"",
""Exact Duplicate""))"),"Unique")</f>
        <v>Unique</v>
      </c>
      <c r="X615" s="10" t="b">
        <f t="shared" ca="1" si="1"/>
        <v>1</v>
      </c>
      <c r="Y615" s="10" t="str">
        <f t="shared" si="2"/>
        <v>Unique</v>
      </c>
      <c r="Z615" s="10"/>
      <c r="AA615" s="10" t="str">
        <f t="shared" si="3"/>
        <v>Clean</v>
      </c>
      <c r="AB615" s="15" t="str">
        <f t="shared" si="4"/>
        <v>Valid</v>
      </c>
      <c r="AC615" s="15">
        <v>5</v>
      </c>
      <c r="AD615" s="16" t="str">
        <f t="shared" si="5"/>
        <v>Valid</v>
      </c>
      <c r="AE615" s="16" t="str">
        <f t="shared" si="6"/>
        <v>Valid</v>
      </c>
      <c r="AF615" s="16" t="str">
        <f t="shared" ref="AF615:AG615" si="1241">IF(ISNUMBER(B615),"Valid","Invalid")</f>
        <v>Valid</v>
      </c>
      <c r="AG615" s="16" t="str">
        <f t="shared" si="1241"/>
        <v>Valid</v>
      </c>
      <c r="AH615" s="16" t="str">
        <f t="shared" ref="AH615:AI615" si="1242">IF(OR(B615="",ISBLANK(B615)),"Missing","Valid")</f>
        <v>Valid</v>
      </c>
      <c r="AI615" s="16" t="str">
        <f t="shared" si="1242"/>
        <v>Valid</v>
      </c>
      <c r="AJ615" s="16" t="b">
        <v>0</v>
      </c>
      <c r="AK615" s="16" t="b">
        <v>0</v>
      </c>
      <c r="AL615" s="16" t="b">
        <v>0</v>
      </c>
      <c r="AM615" s="16" t="b">
        <v>0</v>
      </c>
      <c r="AN615" s="16" t="b">
        <v>0</v>
      </c>
      <c r="AO615" s="16" t="b">
        <v>0</v>
      </c>
      <c r="AP615" s="16" t="b">
        <v>0</v>
      </c>
      <c r="AQ615" s="17">
        <f t="shared" si="9"/>
        <v>0.25</v>
      </c>
      <c r="AR615" s="12">
        <f t="shared" si="10"/>
        <v>22688.775000000001</v>
      </c>
      <c r="AS615" s="18">
        <f t="shared" si="11"/>
        <v>4.9999999973806553E-3</v>
      </c>
      <c r="AT615" s="12">
        <f t="shared" si="12"/>
        <v>8016.3650000000016</v>
      </c>
      <c r="AU615" s="18">
        <f t="shared" si="13"/>
        <v>4.99999999829015E-3</v>
      </c>
      <c r="AV615" s="19">
        <f t="shared" si="14"/>
        <v>0.35331854628555315</v>
      </c>
      <c r="AW615" s="20" t="str">
        <f t="shared" si="15"/>
        <v>October</v>
      </c>
      <c r="AX615" s="21">
        <f t="shared" si="16"/>
        <v>2024</v>
      </c>
    </row>
    <row r="616" spans="1:50" ht="15.75" customHeight="1">
      <c r="A616" s="10" t="s">
        <v>1962</v>
      </c>
      <c r="B616" s="11">
        <v>45333</v>
      </c>
      <c r="C616" s="11">
        <v>45341</v>
      </c>
      <c r="D616" s="10" t="s">
        <v>1963</v>
      </c>
      <c r="E616" s="10" t="s">
        <v>91</v>
      </c>
      <c r="F616" s="10" t="s">
        <v>124</v>
      </c>
      <c r="G616" s="10" t="s">
        <v>83</v>
      </c>
      <c r="H616" s="10" t="s">
        <v>84</v>
      </c>
      <c r="I616" s="10" t="s">
        <v>85</v>
      </c>
      <c r="J616" s="10" t="s">
        <v>70</v>
      </c>
      <c r="K616" s="10" t="s">
        <v>95</v>
      </c>
      <c r="L616" s="10" t="s">
        <v>1964</v>
      </c>
      <c r="M616" s="10" t="s">
        <v>88</v>
      </c>
      <c r="N616" s="12">
        <v>8</v>
      </c>
      <c r="O616" s="12">
        <v>3398.32</v>
      </c>
      <c r="P616" s="12">
        <v>0.25</v>
      </c>
      <c r="Q616" s="12">
        <v>20389.919999999998</v>
      </c>
      <c r="R616" s="12">
        <v>16661.080000000002</v>
      </c>
      <c r="S616" s="12">
        <v>3728.84</v>
      </c>
      <c r="T616" s="10" t="s">
        <v>131</v>
      </c>
      <c r="U616" s="13" t="s">
        <v>97</v>
      </c>
      <c r="V616" s="14" t="e">
        <f t="shared" ca="1" si="0"/>
        <v>#NAME?</v>
      </c>
      <c r="W616" s="10" t="str">
        <f ca="1">IFERROR(__xludf.DUMMYFUNCTION("IF(COUNTIF($A:$A,A610)=1,
""Unique"",
IF(COUNTUNIQUE(FILTER($V$2:$V$934,$A$2:$A$934=A610))&gt;1,
""Conflicting Duplicate"",
""Exact Duplicate""))"),"Unique")</f>
        <v>Unique</v>
      </c>
      <c r="X616" s="10" t="b">
        <f t="shared" ca="1" si="1"/>
        <v>1</v>
      </c>
      <c r="Y616" s="10" t="str">
        <f t="shared" si="2"/>
        <v>Unique</v>
      </c>
      <c r="Z616" s="10"/>
      <c r="AA616" s="10" t="str">
        <f t="shared" si="3"/>
        <v>Clean</v>
      </c>
      <c r="AB616" s="15" t="str">
        <f t="shared" si="4"/>
        <v>Valid</v>
      </c>
      <c r="AC616" s="15">
        <v>8</v>
      </c>
      <c r="AD616" s="16" t="str">
        <f t="shared" si="5"/>
        <v>Valid</v>
      </c>
      <c r="AE616" s="16" t="str">
        <f t="shared" si="6"/>
        <v>Valid</v>
      </c>
      <c r="AF616" s="16" t="str">
        <f t="shared" ref="AF616:AG616" si="1243">IF(ISNUMBER(B616),"Valid","Invalid")</f>
        <v>Valid</v>
      </c>
      <c r="AG616" s="16" t="str">
        <f t="shared" si="1243"/>
        <v>Valid</v>
      </c>
      <c r="AH616" s="16" t="str">
        <f t="shared" ref="AH616:AI616" si="1244">IF(OR(B616="",ISBLANK(B616)),"Missing","Valid")</f>
        <v>Valid</v>
      </c>
      <c r="AI616" s="16" t="str">
        <f t="shared" si="1244"/>
        <v>Valid</v>
      </c>
      <c r="AJ616" s="16" t="b">
        <v>0</v>
      </c>
      <c r="AK616" s="16" t="b">
        <v>0</v>
      </c>
      <c r="AL616" s="16" t="b">
        <v>0</v>
      </c>
      <c r="AM616" s="16" t="b">
        <v>0</v>
      </c>
      <c r="AN616" s="16" t="b">
        <v>0</v>
      </c>
      <c r="AO616" s="16" t="b">
        <v>0</v>
      </c>
      <c r="AP616" s="16" t="b">
        <v>0</v>
      </c>
      <c r="AQ616" s="17">
        <f t="shared" si="9"/>
        <v>0.25</v>
      </c>
      <c r="AR616" s="12">
        <f t="shared" si="10"/>
        <v>20389.920000000002</v>
      </c>
      <c r="AS616" s="18">
        <f t="shared" si="11"/>
        <v>0</v>
      </c>
      <c r="AT616" s="12">
        <f t="shared" si="12"/>
        <v>3728.84</v>
      </c>
      <c r="AU616" s="18">
        <f t="shared" si="13"/>
        <v>0</v>
      </c>
      <c r="AV616" s="19">
        <f t="shared" si="14"/>
        <v>0.18287663708342161</v>
      </c>
      <c r="AW616" s="20" t="str">
        <f t="shared" si="15"/>
        <v>February</v>
      </c>
      <c r="AX616" s="21">
        <f t="shared" si="16"/>
        <v>2024</v>
      </c>
    </row>
    <row r="617" spans="1:50" ht="15.75" customHeight="1">
      <c r="A617" s="10" t="s">
        <v>1965</v>
      </c>
      <c r="B617" s="11">
        <v>45569</v>
      </c>
      <c r="C617" s="11">
        <v>45572</v>
      </c>
      <c r="D617" s="10" t="s">
        <v>1966</v>
      </c>
      <c r="E617" s="10" t="s">
        <v>147</v>
      </c>
      <c r="F617" s="10" t="s">
        <v>119</v>
      </c>
      <c r="G617" s="10" t="s">
        <v>83</v>
      </c>
      <c r="H617" s="10" t="s">
        <v>214</v>
      </c>
      <c r="I617" s="10" t="s">
        <v>215</v>
      </c>
      <c r="J617" s="10" t="s">
        <v>57</v>
      </c>
      <c r="K617" s="10" t="s">
        <v>77</v>
      </c>
      <c r="L617" s="10" t="s">
        <v>1967</v>
      </c>
      <c r="M617" s="10" t="s">
        <v>60</v>
      </c>
      <c r="N617" s="12">
        <v>2</v>
      </c>
      <c r="O617" s="12">
        <v>3144.38</v>
      </c>
      <c r="P617" s="12">
        <v>0.1</v>
      </c>
      <c r="Q617" s="12">
        <v>5904.57</v>
      </c>
      <c r="R617" s="12">
        <v>4337.79</v>
      </c>
      <c r="S617" s="12">
        <v>1322.09</v>
      </c>
      <c r="T617" s="10" t="s">
        <v>61</v>
      </c>
      <c r="U617" s="13" t="s">
        <v>62</v>
      </c>
      <c r="V617" s="14" t="e">
        <f t="shared" ca="1" si="0"/>
        <v>#NAME?</v>
      </c>
      <c r="W617" s="10" t="str">
        <f ca="1">IFERROR(__xludf.DUMMYFUNCTION("IF(COUNTIF($A:$A,A611)=1,
""Unique"",
IF(COUNTUNIQUE(FILTER($V$2:$V$934,$A$2:$A$934=A611))&gt;1,
""Conflicting Duplicate"",
""Exact Duplicate""))"),"Unique")</f>
        <v>Unique</v>
      </c>
      <c r="X617" s="10" t="b">
        <f t="shared" ca="1" si="1"/>
        <v>1</v>
      </c>
      <c r="Y617" s="10" t="str">
        <f t="shared" si="2"/>
        <v>Unique</v>
      </c>
      <c r="Z617" s="10"/>
      <c r="AA617" s="10" t="str">
        <f t="shared" si="3"/>
        <v>Clean</v>
      </c>
      <c r="AB617" s="15" t="str">
        <f t="shared" si="4"/>
        <v>Valid</v>
      </c>
      <c r="AC617" s="15">
        <v>3</v>
      </c>
      <c r="AD617" s="16" t="str">
        <f t="shared" si="5"/>
        <v>Valid</v>
      </c>
      <c r="AE617" s="16" t="str">
        <f t="shared" si="6"/>
        <v>Valid</v>
      </c>
      <c r="AF617" s="16" t="str">
        <f t="shared" ref="AF617:AG617" si="1245">IF(ISNUMBER(B617),"Valid","Invalid")</f>
        <v>Valid</v>
      </c>
      <c r="AG617" s="16" t="str">
        <f t="shared" si="1245"/>
        <v>Valid</v>
      </c>
      <c r="AH617" s="16" t="str">
        <f t="shared" ref="AH617:AI617" si="1246">IF(OR(B617="",ISBLANK(B617)),"Missing","Valid")</f>
        <v>Valid</v>
      </c>
      <c r="AI617" s="16" t="str">
        <f t="shared" si="1246"/>
        <v>Valid</v>
      </c>
      <c r="AJ617" s="16" t="b">
        <v>0</v>
      </c>
      <c r="AK617" s="16" t="b">
        <v>0</v>
      </c>
      <c r="AL617" s="16" t="b">
        <v>0</v>
      </c>
      <c r="AM617" s="16" t="b">
        <v>0</v>
      </c>
      <c r="AN617" s="16" t="b">
        <v>0</v>
      </c>
      <c r="AO617" s="16" t="b">
        <v>0</v>
      </c>
      <c r="AP617" s="16" t="b">
        <v>0</v>
      </c>
      <c r="AQ617" s="17">
        <f t="shared" si="9"/>
        <v>0.1</v>
      </c>
      <c r="AR617" s="12">
        <f t="shared" si="10"/>
        <v>5659.884</v>
      </c>
      <c r="AS617" s="18">
        <f t="shared" si="11"/>
        <v>244.68599999999969</v>
      </c>
      <c r="AT617" s="12">
        <f t="shared" si="12"/>
        <v>1322.0940000000001</v>
      </c>
      <c r="AU617" s="18">
        <f t="shared" si="13"/>
        <v>-4.0000000001327862E-3</v>
      </c>
      <c r="AV617" s="19">
        <f t="shared" si="14"/>
        <v>0.23359029973052453</v>
      </c>
      <c r="AW617" s="20" t="str">
        <f t="shared" si="15"/>
        <v>October</v>
      </c>
      <c r="AX617" s="21">
        <f t="shared" si="16"/>
        <v>2024</v>
      </c>
    </row>
    <row r="618" spans="1:50" ht="15.75" customHeight="1">
      <c r="A618" s="10" t="s">
        <v>1968</v>
      </c>
      <c r="B618" s="11">
        <v>45520</v>
      </c>
      <c r="C618" s="11">
        <v>45523</v>
      </c>
      <c r="D618" s="10" t="s">
        <v>1969</v>
      </c>
      <c r="E618" s="10" t="s">
        <v>294</v>
      </c>
      <c r="F618" s="10" t="s">
        <v>53</v>
      </c>
      <c r="G618" s="10" t="s">
        <v>83</v>
      </c>
      <c r="H618" s="10" t="s">
        <v>84</v>
      </c>
      <c r="I618" s="10" t="s">
        <v>85</v>
      </c>
      <c r="J618" s="10" t="s">
        <v>57</v>
      </c>
      <c r="K618" s="10" t="s">
        <v>58</v>
      </c>
      <c r="L618" s="10" t="s">
        <v>1970</v>
      </c>
      <c r="M618" s="10" t="s">
        <v>88</v>
      </c>
      <c r="N618" s="12">
        <v>6</v>
      </c>
      <c r="O618" s="12">
        <v>3925.55</v>
      </c>
      <c r="P618" s="12">
        <v>0.2</v>
      </c>
      <c r="Q618" s="12">
        <v>18842.64</v>
      </c>
      <c r="R618" s="12">
        <v>11840.58</v>
      </c>
      <c r="S618" s="12">
        <v>7002.06</v>
      </c>
      <c r="T618" s="10" t="s">
        <v>61</v>
      </c>
      <c r="U618" s="13" t="s">
        <v>62</v>
      </c>
      <c r="V618" s="14" t="e">
        <f t="shared" ca="1" si="0"/>
        <v>#NAME?</v>
      </c>
      <c r="W618" s="10" t="str">
        <f ca="1">IFERROR(__xludf.DUMMYFUNCTION("IF(COUNTIF($A:$A,A612)=1,
""Unique"",
IF(COUNTUNIQUE(FILTER($V$2:$V$934,$A$2:$A$934=A612))&gt;1,
""Conflicting Duplicate"",
""Exact Duplicate""))"),"Unique")</f>
        <v>Unique</v>
      </c>
      <c r="X618" s="10" t="b">
        <f t="shared" ca="1" si="1"/>
        <v>1</v>
      </c>
      <c r="Y618" s="10" t="str">
        <f t="shared" si="2"/>
        <v>Unique</v>
      </c>
      <c r="Z618" s="10"/>
      <c r="AA618" s="10" t="str">
        <f t="shared" si="3"/>
        <v>Clean</v>
      </c>
      <c r="AB618" s="15" t="str">
        <f t="shared" si="4"/>
        <v>Valid</v>
      </c>
      <c r="AC618" s="15">
        <v>3</v>
      </c>
      <c r="AD618" s="16" t="str">
        <f t="shared" si="5"/>
        <v>Valid</v>
      </c>
      <c r="AE618" s="16" t="str">
        <f t="shared" si="6"/>
        <v>Valid</v>
      </c>
      <c r="AF618" s="16" t="str">
        <f t="shared" ref="AF618:AG618" si="1247">IF(ISNUMBER(B618),"Valid","Invalid")</f>
        <v>Valid</v>
      </c>
      <c r="AG618" s="16" t="str">
        <f t="shared" si="1247"/>
        <v>Valid</v>
      </c>
      <c r="AH618" s="16" t="str">
        <f t="shared" ref="AH618:AI618" si="1248">IF(OR(B618="",ISBLANK(B618)),"Missing","Valid")</f>
        <v>Valid</v>
      </c>
      <c r="AI618" s="16" t="str">
        <f t="shared" si="1248"/>
        <v>Valid</v>
      </c>
      <c r="AJ618" s="16" t="b">
        <v>0</v>
      </c>
      <c r="AK618" s="16" t="b">
        <v>0</v>
      </c>
      <c r="AL618" s="16" t="b">
        <v>0</v>
      </c>
      <c r="AM618" s="16" t="b">
        <v>0</v>
      </c>
      <c r="AN618" s="16" t="b">
        <v>0</v>
      </c>
      <c r="AO618" s="16" t="b">
        <v>0</v>
      </c>
      <c r="AP618" s="16" t="b">
        <v>0</v>
      </c>
      <c r="AQ618" s="17">
        <f t="shared" si="9"/>
        <v>0.2</v>
      </c>
      <c r="AR618" s="12">
        <f t="shared" si="10"/>
        <v>18842.640000000003</v>
      </c>
      <c r="AS618" s="18">
        <f t="shared" si="11"/>
        <v>0</v>
      </c>
      <c r="AT618" s="12">
        <f t="shared" si="12"/>
        <v>7002.0600000000031</v>
      </c>
      <c r="AU618" s="18">
        <f t="shared" si="13"/>
        <v>0</v>
      </c>
      <c r="AV618" s="19">
        <f t="shared" si="14"/>
        <v>0.37160716332743193</v>
      </c>
      <c r="AW618" s="20" t="str">
        <f t="shared" si="15"/>
        <v>August</v>
      </c>
      <c r="AX618" s="21">
        <f t="shared" si="16"/>
        <v>2024</v>
      </c>
    </row>
    <row r="619" spans="1:50" ht="15.75" customHeight="1">
      <c r="A619" s="10" t="s">
        <v>1971</v>
      </c>
      <c r="B619" s="11">
        <v>45564</v>
      </c>
      <c r="C619" s="11">
        <v>45565</v>
      </c>
      <c r="D619" s="10" t="s">
        <v>1972</v>
      </c>
      <c r="E619" s="10" t="s">
        <v>65</v>
      </c>
      <c r="F619" s="10" t="s">
        <v>124</v>
      </c>
      <c r="G619" s="10" t="s">
        <v>83</v>
      </c>
      <c r="H619" s="10" t="s">
        <v>84</v>
      </c>
      <c r="I619" s="10" t="s">
        <v>85</v>
      </c>
      <c r="J619" s="10" t="s">
        <v>103</v>
      </c>
      <c r="K619" s="10" t="s">
        <v>200</v>
      </c>
      <c r="L619" s="10" t="s">
        <v>1973</v>
      </c>
      <c r="M619" s="10" t="s">
        <v>88</v>
      </c>
      <c r="N619" s="12">
        <v>9</v>
      </c>
      <c r="O619" s="12">
        <v>2741.91</v>
      </c>
      <c r="P619" s="12">
        <v>0</v>
      </c>
      <c r="Q619" s="12">
        <v>24677.19</v>
      </c>
      <c r="R619" s="12">
        <v>20350.849999999999</v>
      </c>
      <c r="S619" s="12">
        <v>4326.34</v>
      </c>
      <c r="T619" s="10" t="s">
        <v>61</v>
      </c>
      <c r="U619" s="13" t="s">
        <v>62</v>
      </c>
      <c r="V619" s="14" t="e">
        <f t="shared" ca="1" si="0"/>
        <v>#NAME?</v>
      </c>
      <c r="W619" s="10" t="str">
        <f ca="1">IFERROR(__xludf.DUMMYFUNCTION("IF(COUNTIF($A:$A,A613)=1,
""Unique"",
IF(COUNTUNIQUE(FILTER($V$2:$V$934,$A$2:$A$934=A613))&gt;1,
""Conflicting Duplicate"",
""Exact Duplicate""))"),"Unique")</f>
        <v>Unique</v>
      </c>
      <c r="X619" s="10" t="b">
        <f t="shared" ca="1" si="1"/>
        <v>1</v>
      </c>
      <c r="Y619" s="10" t="str">
        <f t="shared" si="2"/>
        <v>Unique</v>
      </c>
      <c r="Z619" s="10"/>
      <c r="AA619" s="10" t="str">
        <f t="shared" si="3"/>
        <v>Clean</v>
      </c>
      <c r="AB619" s="15" t="str">
        <f t="shared" si="4"/>
        <v>Valid</v>
      </c>
      <c r="AC619" s="15">
        <v>1</v>
      </c>
      <c r="AD619" s="16" t="str">
        <f t="shared" si="5"/>
        <v>Valid</v>
      </c>
      <c r="AE619" s="16" t="str">
        <f t="shared" si="6"/>
        <v>Valid</v>
      </c>
      <c r="AF619" s="16" t="str">
        <f t="shared" ref="AF619:AG619" si="1249">IF(ISNUMBER(B619),"Valid","Invalid")</f>
        <v>Valid</v>
      </c>
      <c r="AG619" s="16" t="str">
        <f t="shared" si="1249"/>
        <v>Valid</v>
      </c>
      <c r="AH619" s="16" t="str">
        <f t="shared" ref="AH619:AI619" si="1250">IF(OR(B619="",ISBLANK(B619)),"Missing","Valid")</f>
        <v>Valid</v>
      </c>
      <c r="AI619" s="16" t="str">
        <f t="shared" si="1250"/>
        <v>Valid</v>
      </c>
      <c r="AJ619" s="16" t="b">
        <v>0</v>
      </c>
      <c r="AK619" s="16" t="b">
        <v>0</v>
      </c>
      <c r="AL619" s="16" t="b">
        <v>0</v>
      </c>
      <c r="AM619" s="16" t="b">
        <v>0</v>
      </c>
      <c r="AN619" s="16" t="b">
        <v>0</v>
      </c>
      <c r="AO619" s="16" t="b">
        <v>0</v>
      </c>
      <c r="AP619" s="16" t="b">
        <v>0</v>
      </c>
      <c r="AQ619" s="17">
        <f t="shared" si="9"/>
        <v>0</v>
      </c>
      <c r="AR619" s="12">
        <f t="shared" si="10"/>
        <v>24677.19</v>
      </c>
      <c r="AS619" s="18">
        <f t="shared" si="11"/>
        <v>0</v>
      </c>
      <c r="AT619" s="12">
        <f t="shared" si="12"/>
        <v>4326.34</v>
      </c>
      <c r="AU619" s="18">
        <f t="shared" si="13"/>
        <v>0</v>
      </c>
      <c r="AV619" s="19">
        <f t="shared" si="14"/>
        <v>0.17531736798233513</v>
      </c>
      <c r="AW619" s="20" t="str">
        <f t="shared" si="15"/>
        <v>September</v>
      </c>
      <c r="AX619" s="21">
        <f t="shared" si="16"/>
        <v>2024</v>
      </c>
    </row>
    <row r="620" spans="1:50" ht="15.75" customHeight="1">
      <c r="A620" s="10" t="s">
        <v>1974</v>
      </c>
      <c r="B620" s="11">
        <v>45496</v>
      </c>
      <c r="C620" s="11">
        <v>45503</v>
      </c>
      <c r="D620" s="10" t="s">
        <v>1975</v>
      </c>
      <c r="E620" s="10" t="s">
        <v>294</v>
      </c>
      <c r="F620" s="10" t="s">
        <v>119</v>
      </c>
      <c r="G620" s="10" t="s">
        <v>54</v>
      </c>
      <c r="H620" s="10" t="s">
        <v>55</v>
      </c>
      <c r="I620" s="10" t="s">
        <v>56</v>
      </c>
      <c r="J620" s="10" t="s">
        <v>70</v>
      </c>
      <c r="K620" s="10" t="s">
        <v>71</v>
      </c>
      <c r="L620" s="10" t="s">
        <v>1976</v>
      </c>
      <c r="M620" s="10" t="s">
        <v>73</v>
      </c>
      <c r="N620" s="12">
        <v>9</v>
      </c>
      <c r="O620" s="12">
        <v>1870.11</v>
      </c>
      <c r="P620" s="12">
        <v>0.25</v>
      </c>
      <c r="Q620" s="12">
        <v>12623.24</v>
      </c>
      <c r="R620" s="12">
        <v>10540.8</v>
      </c>
      <c r="S620" s="12">
        <v>2082.44</v>
      </c>
      <c r="T620" s="10" t="s">
        <v>184</v>
      </c>
      <c r="U620" s="13" t="s">
        <v>97</v>
      </c>
      <c r="V620" s="14" t="e">
        <f t="shared" ca="1" si="0"/>
        <v>#NAME?</v>
      </c>
      <c r="W620" s="10" t="str">
        <f ca="1">IFERROR(__xludf.DUMMYFUNCTION("IF(COUNTIF($A:$A,A614)=1,
""Unique"",
IF(COUNTUNIQUE(FILTER($V$2:$V$934,$A$2:$A$934=A614))&gt;1,
""Conflicting Duplicate"",
""Exact Duplicate""))"),"Unique")</f>
        <v>Unique</v>
      </c>
      <c r="X620" s="10" t="b">
        <f t="shared" ca="1" si="1"/>
        <v>1</v>
      </c>
      <c r="Y620" s="10" t="str">
        <f t="shared" si="2"/>
        <v>Unique</v>
      </c>
      <c r="Z620" s="10"/>
      <c r="AA620" s="10" t="str">
        <f t="shared" si="3"/>
        <v>Clean</v>
      </c>
      <c r="AB620" s="15" t="str">
        <f t="shared" si="4"/>
        <v>Valid</v>
      </c>
      <c r="AC620" s="15">
        <v>7</v>
      </c>
      <c r="AD620" s="16" t="str">
        <f t="shared" si="5"/>
        <v>Valid</v>
      </c>
      <c r="AE620" s="16" t="str">
        <f t="shared" si="6"/>
        <v>Valid</v>
      </c>
      <c r="AF620" s="16" t="str">
        <f t="shared" ref="AF620:AG620" si="1251">IF(ISNUMBER(B620),"Valid","Invalid")</f>
        <v>Valid</v>
      </c>
      <c r="AG620" s="16" t="str">
        <f t="shared" si="1251"/>
        <v>Valid</v>
      </c>
      <c r="AH620" s="16" t="str">
        <f t="shared" ref="AH620:AI620" si="1252">IF(OR(B620="",ISBLANK(B620)),"Missing","Valid")</f>
        <v>Valid</v>
      </c>
      <c r="AI620" s="16" t="str">
        <f t="shared" si="1252"/>
        <v>Valid</v>
      </c>
      <c r="AJ620" s="16" t="b">
        <v>0</v>
      </c>
      <c r="AK620" s="16" t="b">
        <v>0</v>
      </c>
      <c r="AL620" s="16" t="b">
        <v>0</v>
      </c>
      <c r="AM620" s="16" t="b">
        <v>0</v>
      </c>
      <c r="AN620" s="16" t="b">
        <v>0</v>
      </c>
      <c r="AO620" s="16" t="b">
        <v>0</v>
      </c>
      <c r="AP620" s="16" t="b">
        <v>0</v>
      </c>
      <c r="AQ620" s="17">
        <f t="shared" si="9"/>
        <v>0.25</v>
      </c>
      <c r="AR620" s="12">
        <f t="shared" si="10"/>
        <v>12623.242499999998</v>
      </c>
      <c r="AS620" s="18">
        <f t="shared" si="11"/>
        <v>-2.4999999986903276E-3</v>
      </c>
      <c r="AT620" s="12">
        <f t="shared" si="12"/>
        <v>2082.4424999999992</v>
      </c>
      <c r="AU620" s="18">
        <f t="shared" si="13"/>
        <v>-2.499999999145075E-3</v>
      </c>
      <c r="AV620" s="19">
        <f t="shared" si="14"/>
        <v>0.16496890557239943</v>
      </c>
      <c r="AW620" s="20" t="str">
        <f t="shared" si="15"/>
        <v>July</v>
      </c>
      <c r="AX620" s="21">
        <f t="shared" si="16"/>
        <v>2024</v>
      </c>
    </row>
    <row r="621" spans="1:50" ht="15.75" customHeight="1">
      <c r="A621" s="10" t="s">
        <v>1977</v>
      </c>
      <c r="B621" s="11">
        <v>45618</v>
      </c>
      <c r="C621" s="11">
        <v>45623</v>
      </c>
      <c r="D621" s="10" t="s">
        <v>1978</v>
      </c>
      <c r="E621" s="10" t="s">
        <v>143</v>
      </c>
      <c r="F621" s="10" t="s">
        <v>119</v>
      </c>
      <c r="G621" s="10" t="s">
        <v>83</v>
      </c>
      <c r="H621" s="10" t="s">
        <v>277</v>
      </c>
      <c r="I621" s="10" t="s">
        <v>278</v>
      </c>
      <c r="J621" s="10" t="s">
        <v>57</v>
      </c>
      <c r="K621" s="10" t="s">
        <v>182</v>
      </c>
      <c r="L621" s="10" t="s">
        <v>1979</v>
      </c>
      <c r="M621" s="10" t="s">
        <v>79</v>
      </c>
      <c r="N621" s="12">
        <v>1</v>
      </c>
      <c r="O621" s="12">
        <v>4251.26</v>
      </c>
      <c r="P621" s="12">
        <v>0.2</v>
      </c>
      <c r="Q621" s="12">
        <v>3401.01</v>
      </c>
      <c r="R621" s="12">
        <v>2917.54</v>
      </c>
      <c r="S621" s="12">
        <v>483.47</v>
      </c>
      <c r="T621" s="10" t="s">
        <v>131</v>
      </c>
      <c r="U621" s="13" t="s">
        <v>132</v>
      </c>
      <c r="V621" s="14" t="e">
        <f t="shared" ca="1" si="0"/>
        <v>#NAME?</v>
      </c>
      <c r="W621" s="10" t="str">
        <f ca="1">IFERROR(__xludf.DUMMYFUNCTION("IF(COUNTIF($A:$A,A615)=1,
""Unique"",
IF(COUNTUNIQUE(FILTER($V$2:$V$934,$A$2:$A$934=A615))&gt;1,
""Conflicting Duplicate"",
""Exact Duplicate""))"),"Unique")</f>
        <v>Unique</v>
      </c>
      <c r="X621" s="10" t="b">
        <f t="shared" ca="1" si="1"/>
        <v>1</v>
      </c>
      <c r="Y621" s="10" t="str">
        <f t="shared" si="2"/>
        <v>Unique</v>
      </c>
      <c r="Z621" s="10"/>
      <c r="AA621" s="10" t="str">
        <f t="shared" si="3"/>
        <v>Clean</v>
      </c>
      <c r="AB621" s="15" t="str">
        <f t="shared" si="4"/>
        <v>Valid</v>
      </c>
      <c r="AC621" s="15">
        <v>5</v>
      </c>
      <c r="AD621" s="16" t="str">
        <f t="shared" si="5"/>
        <v>Valid</v>
      </c>
      <c r="AE621" s="16" t="str">
        <f t="shared" si="6"/>
        <v>Valid</v>
      </c>
      <c r="AF621" s="16" t="str">
        <f t="shared" ref="AF621:AG621" si="1253">IF(ISNUMBER(B621),"Valid","Invalid")</f>
        <v>Valid</v>
      </c>
      <c r="AG621" s="16" t="str">
        <f t="shared" si="1253"/>
        <v>Valid</v>
      </c>
      <c r="AH621" s="16" t="str">
        <f t="shared" ref="AH621:AI621" si="1254">IF(OR(B621="",ISBLANK(B621)),"Missing","Valid")</f>
        <v>Valid</v>
      </c>
      <c r="AI621" s="16" t="str">
        <f t="shared" si="1254"/>
        <v>Valid</v>
      </c>
      <c r="AJ621" s="16" t="b">
        <v>0</v>
      </c>
      <c r="AK621" s="16" t="b">
        <v>0</v>
      </c>
      <c r="AL621" s="16" t="b">
        <v>0</v>
      </c>
      <c r="AM621" s="16" t="b">
        <v>0</v>
      </c>
      <c r="AN621" s="16" t="b">
        <v>0</v>
      </c>
      <c r="AO621" s="16" t="b">
        <v>0</v>
      </c>
      <c r="AP621" s="16" t="b">
        <v>0</v>
      </c>
      <c r="AQ621" s="17">
        <f t="shared" si="9"/>
        <v>0.2</v>
      </c>
      <c r="AR621" s="12">
        <f t="shared" si="10"/>
        <v>3401.0080000000003</v>
      </c>
      <c r="AS621" s="18">
        <f t="shared" si="11"/>
        <v>1.9999999999527063E-3</v>
      </c>
      <c r="AT621" s="12">
        <f t="shared" si="12"/>
        <v>483.4680000000003</v>
      </c>
      <c r="AU621" s="18">
        <f t="shared" si="13"/>
        <v>1.9999999997253326E-3</v>
      </c>
      <c r="AV621" s="19">
        <f t="shared" si="14"/>
        <v>0.14215432601158254</v>
      </c>
      <c r="AW621" s="20" t="str">
        <f t="shared" si="15"/>
        <v>November</v>
      </c>
      <c r="AX621" s="21">
        <f t="shared" si="16"/>
        <v>2024</v>
      </c>
    </row>
    <row r="622" spans="1:50" ht="15.75" customHeight="1">
      <c r="A622" s="10" t="s">
        <v>1980</v>
      </c>
      <c r="B622" s="11">
        <v>45522</v>
      </c>
      <c r="C622" s="11">
        <v>45525</v>
      </c>
      <c r="D622" s="10" t="s">
        <v>1981</v>
      </c>
      <c r="E622" s="10" t="s">
        <v>100</v>
      </c>
      <c r="F622" s="10" t="s">
        <v>53</v>
      </c>
      <c r="G622" s="10" t="s">
        <v>54</v>
      </c>
      <c r="H622" s="10" t="s">
        <v>165</v>
      </c>
      <c r="I622" s="10" t="s">
        <v>166</v>
      </c>
      <c r="J622" s="10" t="s">
        <v>103</v>
      </c>
      <c r="K622" s="10" t="s">
        <v>304</v>
      </c>
      <c r="L622" s="10" t="s">
        <v>1982</v>
      </c>
      <c r="M622" s="10" t="s">
        <v>88</v>
      </c>
      <c r="N622" s="12">
        <v>9</v>
      </c>
      <c r="O622" s="12">
        <v>734.34</v>
      </c>
      <c r="P622" s="12">
        <v>0</v>
      </c>
      <c r="Q622" s="12">
        <v>6609.06</v>
      </c>
      <c r="R622" s="12">
        <v>4946.78</v>
      </c>
      <c r="S622" s="12">
        <v>1662.28</v>
      </c>
      <c r="T622" s="10" t="s">
        <v>61</v>
      </c>
      <c r="U622" s="13" t="s">
        <v>62</v>
      </c>
      <c r="V622" s="14" t="e">
        <f t="shared" ca="1" si="0"/>
        <v>#NAME?</v>
      </c>
      <c r="W622" s="10" t="str">
        <f ca="1">IFERROR(__xludf.DUMMYFUNCTION("IF(COUNTIF($A:$A,A616)=1,
""Unique"",
IF(COUNTUNIQUE(FILTER($V$2:$V$934,$A$2:$A$934=A616))&gt;1,
""Conflicting Duplicate"",
""Exact Duplicate""))"),"Unique")</f>
        <v>Unique</v>
      </c>
      <c r="X622" s="10" t="b">
        <f t="shared" ca="1" si="1"/>
        <v>1</v>
      </c>
      <c r="Y622" s="10" t="str">
        <f t="shared" si="2"/>
        <v>Unique</v>
      </c>
      <c r="Z622" s="10"/>
      <c r="AA622" s="10" t="str">
        <f t="shared" si="3"/>
        <v>Clean</v>
      </c>
      <c r="AB622" s="15" t="str">
        <f t="shared" si="4"/>
        <v>Valid</v>
      </c>
      <c r="AC622" s="15">
        <v>3</v>
      </c>
      <c r="AD622" s="16" t="str">
        <f t="shared" si="5"/>
        <v>Valid</v>
      </c>
      <c r="AE622" s="16" t="str">
        <f t="shared" si="6"/>
        <v>Valid</v>
      </c>
      <c r="AF622" s="16" t="str">
        <f t="shared" ref="AF622:AG622" si="1255">IF(ISNUMBER(B622),"Valid","Invalid")</f>
        <v>Valid</v>
      </c>
      <c r="AG622" s="16" t="str">
        <f t="shared" si="1255"/>
        <v>Valid</v>
      </c>
      <c r="AH622" s="16" t="str">
        <f t="shared" ref="AH622:AI622" si="1256">IF(OR(B622="",ISBLANK(B622)),"Missing","Valid")</f>
        <v>Valid</v>
      </c>
      <c r="AI622" s="16" t="str">
        <f t="shared" si="1256"/>
        <v>Valid</v>
      </c>
      <c r="AJ622" s="16" t="b">
        <v>0</v>
      </c>
      <c r="AK622" s="16" t="b">
        <v>0</v>
      </c>
      <c r="AL622" s="16" t="b">
        <v>0</v>
      </c>
      <c r="AM622" s="16" t="b">
        <v>0</v>
      </c>
      <c r="AN622" s="16" t="b">
        <v>0</v>
      </c>
      <c r="AO622" s="16" t="b">
        <v>0</v>
      </c>
      <c r="AP622" s="16" t="b">
        <v>0</v>
      </c>
      <c r="AQ622" s="17">
        <f t="shared" si="9"/>
        <v>0</v>
      </c>
      <c r="AR622" s="12">
        <f t="shared" si="10"/>
        <v>6609.06</v>
      </c>
      <c r="AS622" s="18">
        <f t="shared" si="11"/>
        <v>0</v>
      </c>
      <c r="AT622" s="12">
        <f t="shared" si="12"/>
        <v>1662.2800000000007</v>
      </c>
      <c r="AU622" s="18">
        <f t="shared" si="13"/>
        <v>0</v>
      </c>
      <c r="AV622" s="19">
        <f t="shared" si="14"/>
        <v>0.25151534408826681</v>
      </c>
      <c r="AW622" s="20" t="str">
        <f t="shared" si="15"/>
        <v>August</v>
      </c>
      <c r="AX622" s="21">
        <f t="shared" si="16"/>
        <v>2024</v>
      </c>
    </row>
    <row r="623" spans="1:50" ht="15.75" customHeight="1">
      <c r="A623" s="10" t="s">
        <v>1983</v>
      </c>
      <c r="B623" s="11">
        <v>45624</v>
      </c>
      <c r="C623" s="11">
        <v>45632</v>
      </c>
      <c r="D623" s="10" t="s">
        <v>1984</v>
      </c>
      <c r="E623" s="10" t="s">
        <v>118</v>
      </c>
      <c r="F623" s="10" t="s">
        <v>53</v>
      </c>
      <c r="G623" s="10" t="s">
        <v>92</v>
      </c>
      <c r="H623" s="10" t="s">
        <v>93</v>
      </c>
      <c r="I623" s="10" t="s">
        <v>94</v>
      </c>
      <c r="J623" s="10" t="s">
        <v>70</v>
      </c>
      <c r="K623" s="10" t="s">
        <v>95</v>
      </c>
      <c r="L623" s="10" t="s">
        <v>1985</v>
      </c>
      <c r="M623" s="10" t="s">
        <v>73</v>
      </c>
      <c r="N623" s="12">
        <v>5</v>
      </c>
      <c r="O623" s="12">
        <v>1092.8399999999999</v>
      </c>
      <c r="P623" s="12">
        <v>0</v>
      </c>
      <c r="Q623" s="12">
        <v>5464.2</v>
      </c>
      <c r="R623" s="12">
        <v>3318.09</v>
      </c>
      <c r="S623" s="12">
        <v>2146.11</v>
      </c>
      <c r="T623" s="10" t="s">
        <v>61</v>
      </c>
      <c r="U623" s="13" t="s">
        <v>62</v>
      </c>
      <c r="V623" s="14" t="e">
        <f t="shared" ca="1" si="0"/>
        <v>#NAME?</v>
      </c>
      <c r="W623" s="10" t="str">
        <f ca="1">IFERROR(__xludf.DUMMYFUNCTION("IF(COUNTIF($A:$A,A617)=1,
""Unique"",
IF(COUNTUNIQUE(FILTER($V$2:$V$934,$A$2:$A$934=A617))&gt;1,
""Conflicting Duplicate"",
""Exact Duplicate""))"),"Unique")</f>
        <v>Unique</v>
      </c>
      <c r="X623" s="10" t="b">
        <f t="shared" ca="1" si="1"/>
        <v>1</v>
      </c>
      <c r="Y623" s="10" t="str">
        <f t="shared" si="2"/>
        <v>Unique</v>
      </c>
      <c r="Z623" s="10"/>
      <c r="AA623" s="10" t="str">
        <f t="shared" si="3"/>
        <v>Clean</v>
      </c>
      <c r="AB623" s="15" t="str">
        <f t="shared" si="4"/>
        <v>Valid</v>
      </c>
      <c r="AC623" s="15">
        <v>8</v>
      </c>
      <c r="AD623" s="16" t="str">
        <f t="shared" si="5"/>
        <v>Valid</v>
      </c>
      <c r="AE623" s="16" t="str">
        <f t="shared" si="6"/>
        <v>Valid</v>
      </c>
      <c r="AF623" s="16" t="str">
        <f t="shared" ref="AF623:AG623" si="1257">IF(ISNUMBER(B623),"Valid","Invalid")</f>
        <v>Valid</v>
      </c>
      <c r="AG623" s="16" t="str">
        <f t="shared" si="1257"/>
        <v>Valid</v>
      </c>
      <c r="AH623" s="16" t="str">
        <f t="shared" ref="AH623:AI623" si="1258">IF(OR(B623="",ISBLANK(B623)),"Missing","Valid")</f>
        <v>Valid</v>
      </c>
      <c r="AI623" s="16" t="str">
        <f t="shared" si="1258"/>
        <v>Valid</v>
      </c>
      <c r="AJ623" s="16" t="b">
        <v>0</v>
      </c>
      <c r="AK623" s="16" t="b">
        <v>0</v>
      </c>
      <c r="AL623" s="16" t="b">
        <v>1</v>
      </c>
      <c r="AM623" s="16" t="b">
        <v>0</v>
      </c>
      <c r="AN623" s="16" t="b">
        <v>0</v>
      </c>
      <c r="AO623" s="16" t="b">
        <v>0</v>
      </c>
      <c r="AP623" s="16" t="b">
        <v>1</v>
      </c>
      <c r="AQ623" s="17">
        <f t="shared" si="9"/>
        <v>0</v>
      </c>
      <c r="AR623" s="12">
        <f t="shared" si="10"/>
        <v>5464.2</v>
      </c>
      <c r="AS623" s="18">
        <f t="shared" si="11"/>
        <v>0</v>
      </c>
      <c r="AT623" s="12">
        <f t="shared" si="12"/>
        <v>2146.1099999999997</v>
      </c>
      <c r="AU623" s="18">
        <f t="shared" si="13"/>
        <v>0</v>
      </c>
      <c r="AV623" s="19">
        <f t="shared" si="14"/>
        <v>0.39275831777753373</v>
      </c>
      <c r="AW623" s="20" t="str">
        <f t="shared" si="15"/>
        <v>November</v>
      </c>
      <c r="AX623" s="21">
        <f t="shared" si="16"/>
        <v>2024</v>
      </c>
    </row>
    <row r="624" spans="1:50" ht="15.75" customHeight="1">
      <c r="A624" s="10" t="s">
        <v>1986</v>
      </c>
      <c r="B624" s="11">
        <v>45686</v>
      </c>
      <c r="C624" s="11">
        <v>45694</v>
      </c>
      <c r="D624" s="10" t="s">
        <v>1987</v>
      </c>
      <c r="E624" s="10" t="s">
        <v>100</v>
      </c>
      <c r="F624" s="10" t="s">
        <v>53</v>
      </c>
      <c r="G624" s="10" t="s">
        <v>67</v>
      </c>
      <c r="H624" s="10" t="s">
        <v>174</v>
      </c>
      <c r="I624" s="10" t="s">
        <v>175</v>
      </c>
      <c r="J624" s="10" t="s">
        <v>57</v>
      </c>
      <c r="K624" s="10" t="s">
        <v>153</v>
      </c>
      <c r="L624" s="10" t="s">
        <v>1988</v>
      </c>
      <c r="M624" s="10" t="s">
        <v>88</v>
      </c>
      <c r="N624" s="12">
        <v>4</v>
      </c>
      <c r="O624" s="12">
        <v>2759.01</v>
      </c>
      <c r="P624" s="12">
        <v>0.05</v>
      </c>
      <c r="Q624" s="12">
        <v>10484.24</v>
      </c>
      <c r="R624" s="12">
        <v>6680.15</v>
      </c>
      <c r="S624" s="12">
        <v>3804.09</v>
      </c>
      <c r="T624" s="10" t="s">
        <v>61</v>
      </c>
      <c r="U624" s="13" t="s">
        <v>62</v>
      </c>
      <c r="V624" s="14" t="e">
        <f t="shared" ca="1" si="0"/>
        <v>#NAME?</v>
      </c>
      <c r="W624" s="10" t="str">
        <f ca="1">IFERROR(__xludf.DUMMYFUNCTION("IF(COUNTIF($A:$A,A618)=1,
""Unique"",
IF(COUNTUNIQUE(FILTER($V$2:$V$934,$A$2:$A$934=A618))&gt;1,
""Conflicting Duplicate"",
""Exact Duplicate""))"),"Unique")</f>
        <v>Unique</v>
      </c>
      <c r="X624" s="10" t="b">
        <f t="shared" ca="1" si="1"/>
        <v>1</v>
      </c>
      <c r="Y624" s="10" t="str">
        <f t="shared" si="2"/>
        <v>Unique</v>
      </c>
      <c r="Z624" s="10"/>
      <c r="AA624" s="10" t="str">
        <f t="shared" si="3"/>
        <v>Clean</v>
      </c>
      <c r="AB624" s="15" t="str">
        <f t="shared" si="4"/>
        <v>Valid</v>
      </c>
      <c r="AC624" s="15">
        <v>8</v>
      </c>
      <c r="AD624" s="16" t="str">
        <f t="shared" si="5"/>
        <v>Valid</v>
      </c>
      <c r="AE624" s="16" t="str">
        <f t="shared" si="6"/>
        <v>Valid</v>
      </c>
      <c r="AF624" s="16" t="str">
        <f t="shared" ref="AF624:AG624" si="1259">IF(ISNUMBER(B624),"Valid","Invalid")</f>
        <v>Valid</v>
      </c>
      <c r="AG624" s="16" t="str">
        <f t="shared" si="1259"/>
        <v>Valid</v>
      </c>
      <c r="AH624" s="16" t="str">
        <f t="shared" ref="AH624:AI624" si="1260">IF(OR(B624="",ISBLANK(B624)),"Missing","Valid")</f>
        <v>Valid</v>
      </c>
      <c r="AI624" s="16" t="str">
        <f t="shared" si="1260"/>
        <v>Valid</v>
      </c>
      <c r="AJ624" s="16" t="b">
        <v>0</v>
      </c>
      <c r="AK624" s="16" t="b">
        <v>0</v>
      </c>
      <c r="AL624" s="16" t="b">
        <v>0</v>
      </c>
      <c r="AM624" s="16" t="b">
        <v>0</v>
      </c>
      <c r="AN624" s="16" t="b">
        <v>0</v>
      </c>
      <c r="AO624" s="16" t="b">
        <v>0</v>
      </c>
      <c r="AP624" s="16" t="b">
        <v>0</v>
      </c>
      <c r="AQ624" s="17">
        <f t="shared" si="9"/>
        <v>0.05</v>
      </c>
      <c r="AR624" s="12">
        <f t="shared" si="10"/>
        <v>10484.238000000001</v>
      </c>
      <c r="AS624" s="18">
        <f t="shared" si="11"/>
        <v>1.9999999985884642E-3</v>
      </c>
      <c r="AT624" s="12">
        <f t="shared" si="12"/>
        <v>3804.0880000000016</v>
      </c>
      <c r="AU624" s="18">
        <f t="shared" si="13"/>
        <v>1.9999999985884642E-3</v>
      </c>
      <c r="AV624" s="19">
        <f t="shared" si="14"/>
        <v>0.36283876806306775</v>
      </c>
      <c r="AW624" s="20" t="str">
        <f t="shared" si="15"/>
        <v>January</v>
      </c>
      <c r="AX624" s="21">
        <f t="shared" si="16"/>
        <v>2025</v>
      </c>
    </row>
    <row r="625" spans="1:50" ht="15.75" customHeight="1">
      <c r="A625" s="10" t="s">
        <v>1989</v>
      </c>
      <c r="B625" s="11">
        <v>45512</v>
      </c>
      <c r="C625" s="11">
        <v>45518</v>
      </c>
      <c r="D625" s="10" t="s">
        <v>1990</v>
      </c>
      <c r="E625" s="10" t="s">
        <v>100</v>
      </c>
      <c r="F625" s="10" t="s">
        <v>124</v>
      </c>
      <c r="G625" s="10" t="s">
        <v>54</v>
      </c>
      <c r="H625" s="10" t="s">
        <v>151</v>
      </c>
      <c r="I625" s="10" t="s">
        <v>152</v>
      </c>
      <c r="J625" s="10" t="s">
        <v>57</v>
      </c>
      <c r="K625" s="10" t="s">
        <v>153</v>
      </c>
      <c r="L625" s="10" t="s">
        <v>1991</v>
      </c>
      <c r="M625" s="10" t="s">
        <v>60</v>
      </c>
      <c r="N625" s="12">
        <v>8</v>
      </c>
      <c r="O625" s="12">
        <v>1359.19</v>
      </c>
      <c r="P625" s="12">
        <v>0.05</v>
      </c>
      <c r="Q625" s="12">
        <v>10329.84</v>
      </c>
      <c r="R625" s="12">
        <v>7512.22</v>
      </c>
      <c r="S625" s="12">
        <v>2817.62</v>
      </c>
      <c r="T625" s="10" t="s">
        <v>61</v>
      </c>
      <c r="U625" s="13" t="s">
        <v>62</v>
      </c>
      <c r="V625" s="14" t="e">
        <f t="shared" ca="1" si="0"/>
        <v>#NAME?</v>
      </c>
      <c r="W625" s="10" t="str">
        <f ca="1">IFERROR(__xludf.DUMMYFUNCTION("IF(COUNTIF($A:$A,A619)=1,
""Unique"",
IF(COUNTUNIQUE(FILTER($V$2:$V$934,$A$2:$A$934=A619))&gt;1,
""Conflicting Duplicate"",
""Exact Duplicate""))"),"Unique")</f>
        <v>Unique</v>
      </c>
      <c r="X625" s="10" t="b">
        <f t="shared" ca="1" si="1"/>
        <v>1</v>
      </c>
      <c r="Y625" s="10" t="str">
        <f t="shared" si="2"/>
        <v>Unique</v>
      </c>
      <c r="Z625" s="10"/>
      <c r="AA625" s="10" t="str">
        <f t="shared" si="3"/>
        <v>Clean</v>
      </c>
      <c r="AB625" s="15" t="str">
        <f t="shared" si="4"/>
        <v>Valid</v>
      </c>
      <c r="AC625" s="15">
        <v>6</v>
      </c>
      <c r="AD625" s="16" t="str">
        <f t="shared" si="5"/>
        <v>Valid</v>
      </c>
      <c r="AE625" s="16" t="str">
        <f t="shared" si="6"/>
        <v>Valid</v>
      </c>
      <c r="AF625" s="16" t="str">
        <f t="shared" ref="AF625:AG625" si="1261">IF(ISNUMBER(B625),"Valid","Invalid")</f>
        <v>Valid</v>
      </c>
      <c r="AG625" s="16" t="str">
        <f t="shared" si="1261"/>
        <v>Valid</v>
      </c>
      <c r="AH625" s="16" t="str">
        <f t="shared" ref="AH625:AI625" si="1262">IF(OR(B625="",ISBLANK(B625)),"Missing","Valid")</f>
        <v>Valid</v>
      </c>
      <c r="AI625" s="16" t="str">
        <f t="shared" si="1262"/>
        <v>Valid</v>
      </c>
      <c r="AJ625" s="16" t="b">
        <v>0</v>
      </c>
      <c r="AK625" s="16" t="b">
        <v>0</v>
      </c>
      <c r="AL625" s="16" t="b">
        <v>0</v>
      </c>
      <c r="AM625" s="16" t="b">
        <v>0</v>
      </c>
      <c r="AN625" s="16" t="b">
        <v>0</v>
      </c>
      <c r="AO625" s="16" t="b">
        <v>0</v>
      </c>
      <c r="AP625" s="16" t="b">
        <v>0</v>
      </c>
      <c r="AQ625" s="17">
        <f t="shared" si="9"/>
        <v>0.05</v>
      </c>
      <c r="AR625" s="12">
        <f t="shared" si="10"/>
        <v>10329.843999999999</v>
      </c>
      <c r="AS625" s="18">
        <f t="shared" si="11"/>
        <v>-3.9999999989959178E-3</v>
      </c>
      <c r="AT625" s="12">
        <f t="shared" si="12"/>
        <v>2817.6239999999989</v>
      </c>
      <c r="AU625" s="18">
        <f t="shared" si="13"/>
        <v>-3.9999999989959178E-3</v>
      </c>
      <c r="AV625" s="19">
        <f t="shared" si="14"/>
        <v>0.27276539703794161</v>
      </c>
      <c r="AW625" s="20" t="str">
        <f t="shared" si="15"/>
        <v>August</v>
      </c>
      <c r="AX625" s="21">
        <f t="shared" si="16"/>
        <v>2024</v>
      </c>
    </row>
    <row r="626" spans="1:50" ht="15.75" customHeight="1">
      <c r="A626" s="10" t="s">
        <v>1992</v>
      </c>
      <c r="B626" s="11">
        <v>45321</v>
      </c>
      <c r="C626" s="11">
        <v>45323</v>
      </c>
      <c r="D626" s="10" t="s">
        <v>1993</v>
      </c>
      <c r="E626" s="10" t="s">
        <v>108</v>
      </c>
      <c r="F626" s="10" t="s">
        <v>124</v>
      </c>
      <c r="G626" s="10" t="s">
        <v>67</v>
      </c>
      <c r="H626" s="10" t="s">
        <v>195</v>
      </c>
      <c r="I626" s="10" t="s">
        <v>196</v>
      </c>
      <c r="J626" s="10" t="s">
        <v>70</v>
      </c>
      <c r="K626" s="10" t="s">
        <v>95</v>
      </c>
      <c r="L626" s="10" t="s">
        <v>1994</v>
      </c>
      <c r="M626" s="10" t="s">
        <v>79</v>
      </c>
      <c r="N626" s="12">
        <v>2</v>
      </c>
      <c r="O626" s="12">
        <v>4451.03</v>
      </c>
      <c r="P626" s="12">
        <v>0.05</v>
      </c>
      <c r="Q626" s="12">
        <v>8456.9599999999991</v>
      </c>
      <c r="R626" s="12">
        <v>5462.85</v>
      </c>
      <c r="S626" s="12">
        <v>2994.11</v>
      </c>
      <c r="T626" s="10" t="s">
        <v>61</v>
      </c>
      <c r="U626" s="13" t="s">
        <v>62</v>
      </c>
      <c r="V626" s="14" t="e">
        <f t="shared" ca="1" si="0"/>
        <v>#NAME?</v>
      </c>
      <c r="W626" s="10" t="str">
        <f ca="1">IFERROR(__xludf.DUMMYFUNCTION("IF(COUNTIF($A:$A,A620)=1,
""Unique"",
IF(COUNTUNIQUE(FILTER($V$2:$V$934,$A$2:$A$934=A620))&gt;1,
""Conflicting Duplicate"",
""Exact Duplicate""))"),"Unique")</f>
        <v>Unique</v>
      </c>
      <c r="X626" s="10" t="b">
        <f t="shared" ca="1" si="1"/>
        <v>1</v>
      </c>
      <c r="Y626" s="10" t="str">
        <f t="shared" si="2"/>
        <v>Unique</v>
      </c>
      <c r="Z626" s="10"/>
      <c r="AA626" s="10" t="str">
        <f t="shared" si="3"/>
        <v>Clean</v>
      </c>
      <c r="AB626" s="15" t="str">
        <f t="shared" si="4"/>
        <v>Valid</v>
      </c>
      <c r="AC626" s="15">
        <v>2</v>
      </c>
      <c r="AD626" s="16" t="str">
        <f t="shared" si="5"/>
        <v>Valid</v>
      </c>
      <c r="AE626" s="16" t="str">
        <f t="shared" si="6"/>
        <v>Valid</v>
      </c>
      <c r="AF626" s="16" t="str">
        <f t="shared" ref="AF626:AG626" si="1263">IF(ISNUMBER(B626),"Valid","Invalid")</f>
        <v>Valid</v>
      </c>
      <c r="AG626" s="16" t="str">
        <f t="shared" si="1263"/>
        <v>Valid</v>
      </c>
      <c r="AH626" s="16" t="str">
        <f t="shared" ref="AH626:AI626" si="1264">IF(OR(B626="",ISBLANK(B626)),"Missing","Valid")</f>
        <v>Valid</v>
      </c>
      <c r="AI626" s="16" t="str">
        <f t="shared" si="1264"/>
        <v>Valid</v>
      </c>
      <c r="AJ626" s="16" t="b">
        <v>0</v>
      </c>
      <c r="AK626" s="16" t="b">
        <v>0</v>
      </c>
      <c r="AL626" s="16" t="b">
        <v>0</v>
      </c>
      <c r="AM626" s="16" t="b">
        <v>0</v>
      </c>
      <c r="AN626" s="16" t="b">
        <v>0</v>
      </c>
      <c r="AO626" s="16" t="b">
        <v>0</v>
      </c>
      <c r="AP626" s="16" t="b">
        <v>0</v>
      </c>
      <c r="AQ626" s="17">
        <f t="shared" si="9"/>
        <v>0.05</v>
      </c>
      <c r="AR626" s="12">
        <f t="shared" si="10"/>
        <v>8456.9569999999985</v>
      </c>
      <c r="AS626" s="18">
        <f t="shared" si="11"/>
        <v>3.0000000006111804E-3</v>
      </c>
      <c r="AT626" s="12">
        <f t="shared" si="12"/>
        <v>2994.1069999999982</v>
      </c>
      <c r="AU626" s="18">
        <f t="shared" si="13"/>
        <v>3.0000000019754225E-3</v>
      </c>
      <c r="AV626" s="19">
        <f t="shared" si="14"/>
        <v>0.35404070282017502</v>
      </c>
      <c r="AW626" s="20" t="str">
        <f t="shared" si="15"/>
        <v>January</v>
      </c>
      <c r="AX626" s="21">
        <f t="shared" si="16"/>
        <v>2024</v>
      </c>
    </row>
    <row r="627" spans="1:50" ht="15.75" customHeight="1">
      <c r="A627" s="10" t="s">
        <v>1995</v>
      </c>
      <c r="B627" s="11">
        <v>45641</v>
      </c>
      <c r="C627" s="11">
        <v>45647</v>
      </c>
      <c r="D627" s="10" t="s">
        <v>1996</v>
      </c>
      <c r="E627" s="10" t="s">
        <v>191</v>
      </c>
      <c r="F627" s="10" t="s">
        <v>119</v>
      </c>
      <c r="G627" s="10" t="s">
        <v>92</v>
      </c>
      <c r="H627" s="10" t="s">
        <v>55</v>
      </c>
      <c r="I627" s="10" t="s">
        <v>138</v>
      </c>
      <c r="J627" s="10" t="s">
        <v>70</v>
      </c>
      <c r="K627" s="10" t="s">
        <v>95</v>
      </c>
      <c r="L627" s="10" t="s">
        <v>1997</v>
      </c>
      <c r="M627" s="10" t="s">
        <v>73</v>
      </c>
      <c r="N627" s="12">
        <v>3</v>
      </c>
      <c r="O627" s="12">
        <v>527.66999999999996</v>
      </c>
      <c r="P627" s="12">
        <v>0.2</v>
      </c>
      <c r="Q627" s="12">
        <v>1266.4100000000001</v>
      </c>
      <c r="R627" s="12">
        <v>983.92</v>
      </c>
      <c r="S627" s="12">
        <v>282.49</v>
      </c>
      <c r="T627" s="10" t="s">
        <v>61</v>
      </c>
      <c r="U627" s="13" t="s">
        <v>62</v>
      </c>
      <c r="V627" s="14" t="e">
        <f t="shared" ca="1" si="0"/>
        <v>#NAME?</v>
      </c>
      <c r="W627" s="10" t="str">
        <f ca="1">IFERROR(__xludf.DUMMYFUNCTION("IF(COUNTIF($A:$A,A621)=1,
""Unique"",
IF(COUNTUNIQUE(FILTER($V$2:$V$934,$A$2:$A$934=A621))&gt;1,
""Conflicting Duplicate"",
""Exact Duplicate""))"),"Unique")</f>
        <v>Unique</v>
      </c>
      <c r="X627" s="10" t="b">
        <f t="shared" ca="1" si="1"/>
        <v>1</v>
      </c>
      <c r="Y627" s="10" t="str">
        <f t="shared" si="2"/>
        <v>Unique</v>
      </c>
      <c r="Z627" s="10"/>
      <c r="AA627" s="10" t="str">
        <f t="shared" si="3"/>
        <v>Clean</v>
      </c>
      <c r="AB627" s="15" t="str">
        <f t="shared" si="4"/>
        <v>Valid</v>
      </c>
      <c r="AC627" s="15">
        <v>6</v>
      </c>
      <c r="AD627" s="16" t="str">
        <f t="shared" si="5"/>
        <v>Valid</v>
      </c>
      <c r="AE627" s="16" t="str">
        <f t="shared" si="6"/>
        <v>Valid</v>
      </c>
      <c r="AF627" s="16" t="str">
        <f t="shared" ref="AF627:AG627" si="1265">IF(ISNUMBER(B627),"Valid","Invalid")</f>
        <v>Valid</v>
      </c>
      <c r="AG627" s="16" t="str">
        <f t="shared" si="1265"/>
        <v>Valid</v>
      </c>
      <c r="AH627" s="16" t="str">
        <f t="shared" ref="AH627:AI627" si="1266">IF(OR(B627="",ISBLANK(B627)),"Missing","Valid")</f>
        <v>Valid</v>
      </c>
      <c r="AI627" s="16" t="str">
        <f t="shared" si="1266"/>
        <v>Valid</v>
      </c>
      <c r="AJ627" s="16" t="b">
        <v>0</v>
      </c>
      <c r="AK627" s="16" t="b">
        <v>0</v>
      </c>
      <c r="AL627" s="16" t="b">
        <v>0</v>
      </c>
      <c r="AM627" s="16" t="b">
        <v>0</v>
      </c>
      <c r="AN627" s="16" t="b">
        <v>0</v>
      </c>
      <c r="AO627" s="16" t="b">
        <v>0</v>
      </c>
      <c r="AP627" s="16" t="b">
        <v>0</v>
      </c>
      <c r="AQ627" s="17">
        <f t="shared" si="9"/>
        <v>0.2</v>
      </c>
      <c r="AR627" s="12">
        <f t="shared" si="10"/>
        <v>1266.4079999999999</v>
      </c>
      <c r="AS627" s="18">
        <f t="shared" si="11"/>
        <v>2.00000000018008E-3</v>
      </c>
      <c r="AT627" s="12">
        <f t="shared" si="12"/>
        <v>282.48799999999994</v>
      </c>
      <c r="AU627" s="18">
        <f t="shared" si="13"/>
        <v>2.0000000000663931E-3</v>
      </c>
      <c r="AV627" s="19">
        <f t="shared" si="14"/>
        <v>0.22306239379410109</v>
      </c>
      <c r="AW627" s="20" t="str">
        <f t="shared" si="15"/>
        <v>December</v>
      </c>
      <c r="AX627" s="21">
        <f t="shared" si="16"/>
        <v>2024</v>
      </c>
    </row>
    <row r="628" spans="1:50" ht="15.75" customHeight="1">
      <c r="A628" s="10" t="s">
        <v>1998</v>
      </c>
      <c r="B628" s="11">
        <v>45812</v>
      </c>
      <c r="C628" s="11">
        <v>45815</v>
      </c>
      <c r="D628" s="10" t="s">
        <v>1999</v>
      </c>
      <c r="E628" s="10" t="s">
        <v>161</v>
      </c>
      <c r="F628" s="10" t="s">
        <v>124</v>
      </c>
      <c r="G628" s="10" t="s">
        <v>67</v>
      </c>
      <c r="H628" s="10" t="s">
        <v>195</v>
      </c>
      <c r="I628" s="10" t="s">
        <v>196</v>
      </c>
      <c r="J628" s="10" t="s">
        <v>103</v>
      </c>
      <c r="K628" s="10" t="s">
        <v>304</v>
      </c>
      <c r="L628" s="10" t="s">
        <v>2000</v>
      </c>
      <c r="M628" s="10" t="s">
        <v>88</v>
      </c>
      <c r="N628" s="12">
        <v>8</v>
      </c>
      <c r="O628" s="12">
        <v>1434.13</v>
      </c>
      <c r="P628" s="12">
        <v>0</v>
      </c>
      <c r="Q628" s="12">
        <v>11473.04</v>
      </c>
      <c r="R628" s="12">
        <v>8931.33</v>
      </c>
      <c r="S628" s="12">
        <v>2541.71</v>
      </c>
      <c r="T628" s="10" t="s">
        <v>140</v>
      </c>
      <c r="U628" s="13" t="s">
        <v>132</v>
      </c>
      <c r="V628" s="14" t="e">
        <f t="shared" ca="1" si="0"/>
        <v>#NAME?</v>
      </c>
      <c r="W628" s="10" t="str">
        <f ca="1">IFERROR(__xludf.DUMMYFUNCTION("IF(COUNTIF($A:$A,A622)=1,
""Unique"",
IF(COUNTUNIQUE(FILTER($V$2:$V$934,$A$2:$A$934=A622))&gt;1,
""Conflicting Duplicate"",
""Exact Duplicate""))"),"Unique")</f>
        <v>Unique</v>
      </c>
      <c r="X628" s="10" t="b">
        <f t="shared" ca="1" si="1"/>
        <v>1</v>
      </c>
      <c r="Y628" s="10" t="str">
        <f t="shared" si="2"/>
        <v>Unique</v>
      </c>
      <c r="Z628" s="10"/>
      <c r="AA628" s="10" t="str">
        <f t="shared" si="3"/>
        <v>Clean</v>
      </c>
      <c r="AB628" s="15" t="str">
        <f t="shared" si="4"/>
        <v>Valid</v>
      </c>
      <c r="AC628" s="15">
        <v>3</v>
      </c>
      <c r="AD628" s="16" t="str">
        <f t="shared" si="5"/>
        <v>Valid</v>
      </c>
      <c r="AE628" s="16" t="str">
        <f t="shared" si="6"/>
        <v>Valid</v>
      </c>
      <c r="AF628" s="16" t="str">
        <f t="shared" ref="AF628:AG628" si="1267">IF(ISNUMBER(B628),"Valid","Invalid")</f>
        <v>Valid</v>
      </c>
      <c r="AG628" s="16" t="str">
        <f t="shared" si="1267"/>
        <v>Valid</v>
      </c>
      <c r="AH628" s="16" t="str">
        <f t="shared" ref="AH628:AI628" si="1268">IF(OR(B628="",ISBLANK(B628)),"Missing","Valid")</f>
        <v>Valid</v>
      </c>
      <c r="AI628" s="16" t="str">
        <f t="shared" si="1268"/>
        <v>Valid</v>
      </c>
      <c r="AJ628" s="16" t="b">
        <v>0</v>
      </c>
      <c r="AK628" s="16" t="b">
        <v>0</v>
      </c>
      <c r="AL628" s="16" t="b">
        <v>0</v>
      </c>
      <c r="AM628" s="16" t="b">
        <v>0</v>
      </c>
      <c r="AN628" s="16" t="b">
        <v>0</v>
      </c>
      <c r="AO628" s="16" t="b">
        <v>0</v>
      </c>
      <c r="AP628" s="16" t="b">
        <v>0</v>
      </c>
      <c r="AQ628" s="17">
        <f t="shared" si="9"/>
        <v>0</v>
      </c>
      <c r="AR628" s="12">
        <f t="shared" si="10"/>
        <v>11473.04</v>
      </c>
      <c r="AS628" s="18">
        <f t="shared" si="11"/>
        <v>0</v>
      </c>
      <c r="AT628" s="12">
        <f t="shared" si="12"/>
        <v>2541.7100000000009</v>
      </c>
      <c r="AU628" s="18">
        <f t="shared" si="13"/>
        <v>0</v>
      </c>
      <c r="AV628" s="19">
        <f t="shared" si="14"/>
        <v>0.22153762211236086</v>
      </c>
      <c r="AW628" s="20" t="str">
        <f t="shared" si="15"/>
        <v>June</v>
      </c>
      <c r="AX628" s="21">
        <f t="shared" si="16"/>
        <v>2025</v>
      </c>
    </row>
    <row r="629" spans="1:50" ht="15.75" customHeight="1">
      <c r="A629" s="10" t="s">
        <v>2001</v>
      </c>
      <c r="B629" s="11">
        <v>45701</v>
      </c>
      <c r="C629" s="11">
        <v>45709</v>
      </c>
      <c r="D629" s="10" t="s">
        <v>2002</v>
      </c>
      <c r="E629" s="10" t="s">
        <v>52</v>
      </c>
      <c r="F629" s="10" t="s">
        <v>66</v>
      </c>
      <c r="G629" s="10" t="s">
        <v>83</v>
      </c>
      <c r="H629" s="10" t="s">
        <v>214</v>
      </c>
      <c r="I629" s="10" t="s">
        <v>215</v>
      </c>
      <c r="J629" s="10" t="s">
        <v>103</v>
      </c>
      <c r="K629" s="10" t="s">
        <v>200</v>
      </c>
      <c r="L629" s="10" t="s">
        <v>2003</v>
      </c>
      <c r="M629" s="10" t="s">
        <v>60</v>
      </c>
      <c r="N629" s="12">
        <v>2</v>
      </c>
      <c r="O629" s="12">
        <v>2360.02</v>
      </c>
      <c r="P629" s="12">
        <v>0.15</v>
      </c>
      <c r="Q629" s="12">
        <v>4012.03</v>
      </c>
      <c r="R629" s="12">
        <v>3142.92</v>
      </c>
      <c r="S629" s="12">
        <v>869.11</v>
      </c>
      <c r="T629" s="10" t="s">
        <v>140</v>
      </c>
      <c r="U629" s="13" t="s">
        <v>97</v>
      </c>
      <c r="V629" s="14" t="e">
        <f t="shared" ca="1" si="0"/>
        <v>#NAME?</v>
      </c>
      <c r="W629" s="10" t="str">
        <f ca="1">IFERROR(__xludf.DUMMYFUNCTION("IF(COUNTIF($A:$A,A623)=1,
""Unique"",
IF(COUNTUNIQUE(FILTER($V$2:$V$934,$A$2:$A$934=A623))&gt;1,
""Conflicting Duplicate"",
""Exact Duplicate""))"),"Unique")</f>
        <v>Unique</v>
      </c>
      <c r="X629" s="10" t="b">
        <f t="shared" ca="1" si="1"/>
        <v>1</v>
      </c>
      <c r="Y629" s="10" t="str">
        <f t="shared" si="2"/>
        <v>Unique</v>
      </c>
      <c r="Z629" s="10"/>
      <c r="AA629" s="10" t="str">
        <f t="shared" si="3"/>
        <v>Clean</v>
      </c>
      <c r="AB629" s="15" t="str">
        <f t="shared" si="4"/>
        <v>Valid</v>
      </c>
      <c r="AC629" s="15">
        <v>8</v>
      </c>
      <c r="AD629" s="16" t="str">
        <f t="shared" si="5"/>
        <v>Valid</v>
      </c>
      <c r="AE629" s="16" t="str">
        <f t="shared" si="6"/>
        <v>Valid</v>
      </c>
      <c r="AF629" s="16" t="str">
        <f t="shared" ref="AF629:AG629" si="1269">IF(ISNUMBER(B629),"Valid","Invalid")</f>
        <v>Valid</v>
      </c>
      <c r="AG629" s="16" t="str">
        <f t="shared" si="1269"/>
        <v>Valid</v>
      </c>
      <c r="AH629" s="16" t="str">
        <f t="shared" ref="AH629:AI629" si="1270">IF(OR(B629="",ISBLANK(B629)),"Missing","Valid")</f>
        <v>Valid</v>
      </c>
      <c r="AI629" s="16" t="str">
        <f t="shared" si="1270"/>
        <v>Valid</v>
      </c>
      <c r="AJ629" s="16" t="b">
        <v>0</v>
      </c>
      <c r="AK629" s="16" t="b">
        <v>0</v>
      </c>
      <c r="AL629" s="16" t="b">
        <v>0</v>
      </c>
      <c r="AM629" s="16" t="b">
        <v>0</v>
      </c>
      <c r="AN629" s="16" t="b">
        <v>0</v>
      </c>
      <c r="AO629" s="16" t="b">
        <v>0</v>
      </c>
      <c r="AP629" s="16" t="b">
        <v>0</v>
      </c>
      <c r="AQ629" s="17">
        <f t="shared" si="9"/>
        <v>0.15</v>
      </c>
      <c r="AR629" s="12">
        <f t="shared" si="10"/>
        <v>4012.0339999999997</v>
      </c>
      <c r="AS629" s="18">
        <f t="shared" si="11"/>
        <v>-3.9999999994506652E-3</v>
      </c>
      <c r="AT629" s="12">
        <f t="shared" si="12"/>
        <v>869.11399999999958</v>
      </c>
      <c r="AU629" s="18">
        <f t="shared" si="13"/>
        <v>-3.999999999564352E-3</v>
      </c>
      <c r="AV629" s="19">
        <f t="shared" si="14"/>
        <v>0.21662677833737193</v>
      </c>
      <c r="AW629" s="20" t="str">
        <f t="shared" si="15"/>
        <v>February</v>
      </c>
      <c r="AX629" s="21">
        <f t="shared" si="16"/>
        <v>2025</v>
      </c>
    </row>
    <row r="630" spans="1:50" ht="15.75" customHeight="1">
      <c r="A630" s="10" t="s">
        <v>2004</v>
      </c>
      <c r="B630" s="11">
        <v>45935</v>
      </c>
      <c r="C630" s="11">
        <v>45942</v>
      </c>
      <c r="D630" s="10" t="s">
        <v>2005</v>
      </c>
      <c r="E630" s="10" t="s">
        <v>91</v>
      </c>
      <c r="F630" s="10" t="s">
        <v>124</v>
      </c>
      <c r="G630" s="10" t="s">
        <v>67</v>
      </c>
      <c r="H630" s="10" t="s">
        <v>258</v>
      </c>
      <c r="I630" s="10" t="s">
        <v>259</v>
      </c>
      <c r="J630" s="10" t="s">
        <v>103</v>
      </c>
      <c r="K630" s="10" t="s">
        <v>104</v>
      </c>
      <c r="L630" s="10" t="s">
        <v>2006</v>
      </c>
      <c r="M630" s="10" t="s">
        <v>73</v>
      </c>
      <c r="N630" s="12">
        <v>7</v>
      </c>
      <c r="O630" s="12">
        <v>806.67</v>
      </c>
      <c r="P630" s="12">
        <v>0.05</v>
      </c>
      <c r="Q630" s="12">
        <v>5364.36</v>
      </c>
      <c r="R630" s="12">
        <v>4391.29</v>
      </c>
      <c r="S630" s="12">
        <v>973.07</v>
      </c>
      <c r="T630" s="10" t="s">
        <v>61</v>
      </c>
      <c r="U630" s="13" t="s">
        <v>62</v>
      </c>
      <c r="V630" s="14" t="e">
        <f t="shared" ca="1" si="0"/>
        <v>#NAME?</v>
      </c>
      <c r="W630" s="10" t="str">
        <f ca="1">IFERROR(__xludf.DUMMYFUNCTION("IF(COUNTIF($A:$A,A624)=1,
""Unique"",
IF(COUNTUNIQUE(FILTER($V$2:$V$934,$A$2:$A$934=A624))&gt;1,
""Conflicting Duplicate"",
""Exact Duplicate""))"),"Unique")</f>
        <v>Unique</v>
      </c>
      <c r="X630" s="10" t="b">
        <f t="shared" ca="1" si="1"/>
        <v>1</v>
      </c>
      <c r="Y630" s="10" t="str">
        <f t="shared" si="2"/>
        <v>Unique</v>
      </c>
      <c r="Z630" s="10"/>
      <c r="AA630" s="10" t="str">
        <f t="shared" si="3"/>
        <v>Clean</v>
      </c>
      <c r="AB630" s="15" t="str">
        <f t="shared" si="4"/>
        <v>Valid</v>
      </c>
      <c r="AC630" s="15">
        <v>7</v>
      </c>
      <c r="AD630" s="16" t="str">
        <f t="shared" si="5"/>
        <v>Valid</v>
      </c>
      <c r="AE630" s="16" t="str">
        <f t="shared" si="6"/>
        <v>Valid</v>
      </c>
      <c r="AF630" s="16" t="str">
        <f t="shared" ref="AF630:AG630" si="1271">IF(ISNUMBER(B630),"Valid","Invalid")</f>
        <v>Valid</v>
      </c>
      <c r="AG630" s="16" t="str">
        <f t="shared" si="1271"/>
        <v>Valid</v>
      </c>
      <c r="AH630" s="16" t="str">
        <f t="shared" ref="AH630:AI630" si="1272">IF(OR(B630="",ISBLANK(B630)),"Missing","Valid")</f>
        <v>Valid</v>
      </c>
      <c r="AI630" s="16" t="str">
        <f t="shared" si="1272"/>
        <v>Valid</v>
      </c>
      <c r="AJ630" s="16" t="b">
        <v>0</v>
      </c>
      <c r="AK630" s="16" t="b">
        <v>0</v>
      </c>
      <c r="AL630" s="16" t="b">
        <v>0</v>
      </c>
      <c r="AM630" s="16" t="b">
        <v>0</v>
      </c>
      <c r="AN630" s="16" t="b">
        <v>0</v>
      </c>
      <c r="AO630" s="16" t="b">
        <v>0</v>
      </c>
      <c r="AP630" s="16" t="b">
        <v>0</v>
      </c>
      <c r="AQ630" s="17">
        <f t="shared" si="9"/>
        <v>0.05</v>
      </c>
      <c r="AR630" s="12">
        <f t="shared" si="10"/>
        <v>5364.3554999999997</v>
      </c>
      <c r="AS630" s="18">
        <f t="shared" si="11"/>
        <v>4.500000000007276E-3</v>
      </c>
      <c r="AT630" s="12">
        <f t="shared" si="12"/>
        <v>973.0654999999997</v>
      </c>
      <c r="AU630" s="18">
        <f t="shared" si="13"/>
        <v>4.5000000003483365E-3</v>
      </c>
      <c r="AV630" s="19">
        <f t="shared" si="14"/>
        <v>0.18139467080434915</v>
      </c>
      <c r="AW630" s="20" t="str">
        <f t="shared" si="15"/>
        <v>October</v>
      </c>
      <c r="AX630" s="21">
        <f t="shared" si="16"/>
        <v>2025</v>
      </c>
    </row>
    <row r="631" spans="1:50" ht="15.75" customHeight="1">
      <c r="A631" s="10" t="s">
        <v>2007</v>
      </c>
      <c r="B631" s="11">
        <v>45910</v>
      </c>
      <c r="C631" s="11">
        <v>45914</v>
      </c>
      <c r="D631" s="10" t="s">
        <v>2008</v>
      </c>
      <c r="E631" s="10" t="s">
        <v>82</v>
      </c>
      <c r="F631" s="10" t="s">
        <v>124</v>
      </c>
      <c r="G631" s="10" t="s">
        <v>92</v>
      </c>
      <c r="H631" s="10" t="s">
        <v>209</v>
      </c>
      <c r="I631" s="10" t="s">
        <v>210</v>
      </c>
      <c r="J631" s="10" t="s">
        <v>70</v>
      </c>
      <c r="K631" s="10" t="s">
        <v>71</v>
      </c>
      <c r="L631" s="10" t="s">
        <v>2009</v>
      </c>
      <c r="M631" s="10" t="s">
        <v>73</v>
      </c>
      <c r="N631" s="12">
        <v>3</v>
      </c>
      <c r="O631" s="12">
        <v>4198.46</v>
      </c>
      <c r="P631" s="12">
        <v>0.15</v>
      </c>
      <c r="Q631" s="12">
        <v>10706.07</v>
      </c>
      <c r="R631" s="12">
        <v>5927.1</v>
      </c>
      <c r="S631" s="12">
        <v>4778.97</v>
      </c>
      <c r="T631" s="10" t="s">
        <v>61</v>
      </c>
      <c r="U631" s="13" t="s">
        <v>62</v>
      </c>
      <c r="V631" s="14" t="e">
        <f t="shared" ca="1" si="0"/>
        <v>#NAME?</v>
      </c>
      <c r="W631" s="10" t="str">
        <f ca="1">IFERROR(__xludf.DUMMYFUNCTION("IF(COUNTIF($A:$A,A625)=1,
""Unique"",
IF(COUNTUNIQUE(FILTER($V$2:$V$934,$A$2:$A$934=A625))&gt;1,
""Conflicting Duplicate"",
""Exact Duplicate""))"),"Unique")</f>
        <v>Unique</v>
      </c>
      <c r="X631" s="10" t="b">
        <f t="shared" ca="1" si="1"/>
        <v>1</v>
      </c>
      <c r="Y631" s="10" t="str">
        <f t="shared" si="2"/>
        <v>Unique</v>
      </c>
      <c r="Z631" s="10"/>
      <c r="AA631" s="10" t="str">
        <f t="shared" si="3"/>
        <v>Clean</v>
      </c>
      <c r="AB631" s="15" t="str">
        <f t="shared" si="4"/>
        <v>Valid</v>
      </c>
      <c r="AC631" s="15">
        <v>4</v>
      </c>
      <c r="AD631" s="16" t="str">
        <f t="shared" si="5"/>
        <v>Valid</v>
      </c>
      <c r="AE631" s="16" t="str">
        <f t="shared" si="6"/>
        <v>Valid</v>
      </c>
      <c r="AF631" s="16" t="str">
        <f t="shared" ref="AF631:AG631" si="1273">IF(ISNUMBER(B631),"Valid","Invalid")</f>
        <v>Valid</v>
      </c>
      <c r="AG631" s="16" t="str">
        <f t="shared" si="1273"/>
        <v>Valid</v>
      </c>
      <c r="AH631" s="16" t="str">
        <f t="shared" ref="AH631:AI631" si="1274">IF(OR(B631="",ISBLANK(B631)),"Missing","Valid")</f>
        <v>Valid</v>
      </c>
      <c r="AI631" s="16" t="str">
        <f t="shared" si="1274"/>
        <v>Valid</v>
      </c>
      <c r="AJ631" s="16" t="b">
        <v>0</v>
      </c>
      <c r="AK631" s="16" t="b">
        <v>0</v>
      </c>
      <c r="AL631" s="16" t="b">
        <v>0</v>
      </c>
      <c r="AM631" s="16" t="b">
        <v>0</v>
      </c>
      <c r="AN631" s="16" t="b">
        <v>0</v>
      </c>
      <c r="AO631" s="16" t="b">
        <v>0</v>
      </c>
      <c r="AP631" s="16" t="b">
        <v>0</v>
      </c>
      <c r="AQ631" s="17">
        <f t="shared" si="9"/>
        <v>0.15</v>
      </c>
      <c r="AR631" s="12">
        <f t="shared" si="10"/>
        <v>10706.073</v>
      </c>
      <c r="AS631" s="18">
        <f t="shared" si="11"/>
        <v>-3.0000000006111804E-3</v>
      </c>
      <c r="AT631" s="12">
        <f t="shared" si="12"/>
        <v>4778.973</v>
      </c>
      <c r="AU631" s="18">
        <f t="shared" si="13"/>
        <v>-2.9999999997016857E-3</v>
      </c>
      <c r="AV631" s="19">
        <f t="shared" si="14"/>
        <v>0.44637963892082555</v>
      </c>
      <c r="AW631" s="20" t="str">
        <f t="shared" si="15"/>
        <v>September</v>
      </c>
      <c r="AX631" s="21">
        <f t="shared" si="16"/>
        <v>2025</v>
      </c>
    </row>
    <row r="632" spans="1:50" ht="15.75" customHeight="1">
      <c r="A632" s="10" t="s">
        <v>2010</v>
      </c>
      <c r="B632" s="11">
        <v>45391</v>
      </c>
      <c r="C632" s="11">
        <v>45392</v>
      </c>
      <c r="D632" s="10" t="s">
        <v>2011</v>
      </c>
      <c r="E632" s="10" t="s">
        <v>143</v>
      </c>
      <c r="F632" s="10" t="s">
        <v>119</v>
      </c>
      <c r="G632" s="10" t="s">
        <v>67</v>
      </c>
      <c r="H632" s="10" t="s">
        <v>195</v>
      </c>
      <c r="I632" s="10" t="s">
        <v>196</v>
      </c>
      <c r="J632" s="10" t="s">
        <v>57</v>
      </c>
      <c r="K632" s="10" t="s">
        <v>58</v>
      </c>
      <c r="L632" s="10" t="s">
        <v>2012</v>
      </c>
      <c r="M632" s="10" t="s">
        <v>88</v>
      </c>
      <c r="N632" s="12">
        <v>4</v>
      </c>
      <c r="O632" s="12">
        <v>3047.05</v>
      </c>
      <c r="P632" s="12">
        <v>0.1</v>
      </c>
      <c r="Q632" s="12">
        <v>10969.38</v>
      </c>
      <c r="R632" s="12">
        <v>9254.4599999999991</v>
      </c>
      <c r="S632" s="12">
        <v>1714.92</v>
      </c>
      <c r="T632" s="10" t="s">
        <v>61</v>
      </c>
      <c r="U632" s="13" t="s">
        <v>62</v>
      </c>
      <c r="V632" s="14" t="e">
        <f t="shared" ca="1" si="0"/>
        <v>#NAME?</v>
      </c>
      <c r="W632" s="10" t="str">
        <f ca="1">IFERROR(__xludf.DUMMYFUNCTION("IF(COUNTIF($A:$A,A626)=1,
""Unique"",
IF(COUNTUNIQUE(FILTER($V$2:$V$934,$A$2:$A$934=A626))&gt;1,
""Conflicting Duplicate"",
""Exact Duplicate""))"),"Unique")</f>
        <v>Unique</v>
      </c>
      <c r="X632" s="10" t="b">
        <f t="shared" ca="1" si="1"/>
        <v>1</v>
      </c>
      <c r="Y632" s="10" t="str">
        <f t="shared" si="2"/>
        <v>Unique</v>
      </c>
      <c r="Z632" s="10"/>
      <c r="AA632" s="10" t="str">
        <f t="shared" si="3"/>
        <v>Clean</v>
      </c>
      <c r="AB632" s="15" t="str">
        <f t="shared" si="4"/>
        <v>Valid</v>
      </c>
      <c r="AC632" s="15">
        <v>1</v>
      </c>
      <c r="AD632" s="16" t="str">
        <f t="shared" si="5"/>
        <v>Valid</v>
      </c>
      <c r="AE632" s="16" t="str">
        <f t="shared" si="6"/>
        <v>Valid</v>
      </c>
      <c r="AF632" s="16" t="str">
        <f t="shared" ref="AF632:AG632" si="1275">IF(ISNUMBER(B632),"Valid","Invalid")</f>
        <v>Valid</v>
      </c>
      <c r="AG632" s="16" t="str">
        <f t="shared" si="1275"/>
        <v>Valid</v>
      </c>
      <c r="AH632" s="16" t="str">
        <f t="shared" ref="AH632:AI632" si="1276">IF(OR(B632="",ISBLANK(B632)),"Missing","Valid")</f>
        <v>Valid</v>
      </c>
      <c r="AI632" s="16" t="str">
        <f t="shared" si="1276"/>
        <v>Valid</v>
      </c>
      <c r="AJ632" s="16" t="b">
        <v>0</v>
      </c>
      <c r="AK632" s="16" t="b">
        <v>0</v>
      </c>
      <c r="AL632" s="16" t="b">
        <v>0</v>
      </c>
      <c r="AM632" s="16" t="b">
        <v>0</v>
      </c>
      <c r="AN632" s="16" t="b">
        <v>0</v>
      </c>
      <c r="AO632" s="16" t="b">
        <v>0</v>
      </c>
      <c r="AP632" s="16" t="b">
        <v>0</v>
      </c>
      <c r="AQ632" s="17">
        <f t="shared" si="9"/>
        <v>0.1</v>
      </c>
      <c r="AR632" s="12">
        <f t="shared" si="10"/>
        <v>10969.380000000001</v>
      </c>
      <c r="AS632" s="18">
        <f t="shared" si="11"/>
        <v>0</v>
      </c>
      <c r="AT632" s="12">
        <f t="shared" si="12"/>
        <v>1714.9200000000019</v>
      </c>
      <c r="AU632" s="18">
        <f t="shared" si="13"/>
        <v>-1.8189894035458565E-12</v>
      </c>
      <c r="AV632" s="19">
        <f t="shared" si="14"/>
        <v>0.15633700354988173</v>
      </c>
      <c r="AW632" s="20" t="str">
        <f t="shared" si="15"/>
        <v>April</v>
      </c>
      <c r="AX632" s="21">
        <f t="shared" si="16"/>
        <v>2024</v>
      </c>
    </row>
    <row r="633" spans="1:50" ht="15.75" customHeight="1">
      <c r="A633" s="10" t="s">
        <v>2013</v>
      </c>
      <c r="B633" s="11">
        <v>45392</v>
      </c>
      <c r="C633" s="11">
        <v>45397</v>
      </c>
      <c r="D633" s="10" t="s">
        <v>2014</v>
      </c>
      <c r="E633" s="10" t="s">
        <v>157</v>
      </c>
      <c r="F633" s="10" t="s">
        <v>124</v>
      </c>
      <c r="G633" s="10" t="s">
        <v>92</v>
      </c>
      <c r="H633" s="10" t="s">
        <v>55</v>
      </c>
      <c r="I633" s="10" t="s">
        <v>138</v>
      </c>
      <c r="J633" s="10" t="s">
        <v>70</v>
      </c>
      <c r="K633" s="10" t="s">
        <v>95</v>
      </c>
      <c r="L633" s="10" t="s">
        <v>2015</v>
      </c>
      <c r="M633" s="10" t="s">
        <v>88</v>
      </c>
      <c r="N633" s="12">
        <v>8</v>
      </c>
      <c r="O633" s="12">
        <v>4362.4799999999996</v>
      </c>
      <c r="P633" s="12">
        <v>0.1</v>
      </c>
      <c r="Q633" s="12">
        <v>31409.86</v>
      </c>
      <c r="R633" s="12">
        <v>22523.54</v>
      </c>
      <c r="S633" s="12">
        <v>8886.32</v>
      </c>
      <c r="T633" s="10" t="s">
        <v>61</v>
      </c>
      <c r="U633" s="13" t="s">
        <v>62</v>
      </c>
      <c r="V633" s="14" t="e">
        <f t="shared" ca="1" si="0"/>
        <v>#NAME?</v>
      </c>
      <c r="W633" s="10" t="str">
        <f ca="1">IFERROR(__xludf.DUMMYFUNCTION("IF(COUNTIF($A:$A,A627)=1,
""Unique"",
IF(COUNTUNIQUE(FILTER($V$2:$V$934,$A$2:$A$934=A627))&gt;1,
""Conflicting Duplicate"",
""Exact Duplicate""))"),"Unique")</f>
        <v>Unique</v>
      </c>
      <c r="X633" s="10" t="b">
        <f t="shared" ca="1" si="1"/>
        <v>1</v>
      </c>
      <c r="Y633" s="10" t="str">
        <f t="shared" si="2"/>
        <v>Unique</v>
      </c>
      <c r="Z633" s="10"/>
      <c r="AA633" s="10" t="str">
        <f t="shared" si="3"/>
        <v>Clean</v>
      </c>
      <c r="AB633" s="15" t="str">
        <f t="shared" si="4"/>
        <v>Valid</v>
      </c>
      <c r="AC633" s="15">
        <v>5</v>
      </c>
      <c r="AD633" s="16" t="str">
        <f t="shared" si="5"/>
        <v>Valid</v>
      </c>
      <c r="AE633" s="16" t="str">
        <f t="shared" si="6"/>
        <v>Valid</v>
      </c>
      <c r="AF633" s="16" t="str">
        <f t="shared" ref="AF633:AG633" si="1277">IF(ISNUMBER(B633),"Valid","Invalid")</f>
        <v>Valid</v>
      </c>
      <c r="AG633" s="16" t="str">
        <f t="shared" si="1277"/>
        <v>Valid</v>
      </c>
      <c r="AH633" s="16" t="str">
        <f t="shared" ref="AH633:AI633" si="1278">IF(OR(B633="",ISBLANK(B633)),"Missing","Valid")</f>
        <v>Valid</v>
      </c>
      <c r="AI633" s="16" t="str">
        <f t="shared" si="1278"/>
        <v>Valid</v>
      </c>
      <c r="AJ633" s="16" t="b">
        <v>0</v>
      </c>
      <c r="AK633" s="16" t="b">
        <v>0</v>
      </c>
      <c r="AL633" s="16" t="b">
        <v>0</v>
      </c>
      <c r="AM633" s="16" t="b">
        <v>0</v>
      </c>
      <c r="AN633" s="16" t="b">
        <v>0</v>
      </c>
      <c r="AO633" s="16" t="b">
        <v>0</v>
      </c>
      <c r="AP633" s="16" t="b">
        <v>0</v>
      </c>
      <c r="AQ633" s="17">
        <f t="shared" si="9"/>
        <v>0.1</v>
      </c>
      <c r="AR633" s="12">
        <f t="shared" si="10"/>
        <v>31409.855999999996</v>
      </c>
      <c r="AS633" s="18">
        <f t="shared" si="11"/>
        <v>4.0000000044528861E-3</v>
      </c>
      <c r="AT633" s="12">
        <f t="shared" si="12"/>
        <v>8886.3159999999953</v>
      </c>
      <c r="AU633" s="18">
        <f t="shared" si="13"/>
        <v>4.0000000044528861E-3</v>
      </c>
      <c r="AV633" s="19">
        <f t="shared" si="14"/>
        <v>0.2829148914277097</v>
      </c>
      <c r="AW633" s="20" t="str">
        <f t="shared" si="15"/>
        <v>April</v>
      </c>
      <c r="AX633" s="21">
        <f t="shared" si="16"/>
        <v>2024</v>
      </c>
    </row>
    <row r="634" spans="1:50" ht="15.75" customHeight="1">
      <c r="A634" s="10" t="s">
        <v>2016</v>
      </c>
      <c r="B634" s="11">
        <v>45762</v>
      </c>
      <c r="C634" s="11">
        <v>45763</v>
      </c>
      <c r="D634" s="10" t="s">
        <v>2017</v>
      </c>
      <c r="E634" s="10" t="s">
        <v>161</v>
      </c>
      <c r="F634" s="10" t="s">
        <v>66</v>
      </c>
      <c r="G634" s="10" t="s">
        <v>83</v>
      </c>
      <c r="H634" s="10" t="s">
        <v>204</v>
      </c>
      <c r="I634" s="10" t="s">
        <v>205</v>
      </c>
      <c r="J634" s="10" t="s">
        <v>70</v>
      </c>
      <c r="K634" s="10" t="s">
        <v>86</v>
      </c>
      <c r="L634" s="10" t="s">
        <v>2018</v>
      </c>
      <c r="M634" s="10" t="s">
        <v>79</v>
      </c>
      <c r="N634" s="12">
        <v>5</v>
      </c>
      <c r="O634" s="12">
        <v>2850.53</v>
      </c>
      <c r="P634" s="12">
        <v>0</v>
      </c>
      <c r="Q634" s="12">
        <v>14252.65</v>
      </c>
      <c r="R634" s="12">
        <v>11558.31</v>
      </c>
      <c r="S634" s="12">
        <v>2694.34</v>
      </c>
      <c r="T634" s="10" t="s">
        <v>61</v>
      </c>
      <c r="U634" s="13" t="s">
        <v>62</v>
      </c>
      <c r="V634" s="14" t="e">
        <f t="shared" ca="1" si="0"/>
        <v>#NAME?</v>
      </c>
      <c r="W634" s="10" t="str">
        <f ca="1">IFERROR(__xludf.DUMMYFUNCTION("IF(COUNTIF($A:$A,A628)=1,
""Unique"",
IF(COUNTUNIQUE(FILTER($V$2:$V$934,$A$2:$A$934=A628))&gt;1,
""Conflicting Duplicate"",
""Exact Duplicate""))"),"Unique")</f>
        <v>Unique</v>
      </c>
      <c r="X634" s="10" t="b">
        <f t="shared" ca="1" si="1"/>
        <v>1</v>
      </c>
      <c r="Y634" s="10" t="str">
        <f t="shared" si="2"/>
        <v>Duplicate Order ID</v>
      </c>
      <c r="Z634" s="10"/>
      <c r="AA634" s="10" t="str">
        <f t="shared" si="3"/>
        <v>Clean</v>
      </c>
      <c r="AB634" s="15" t="str">
        <f t="shared" si="4"/>
        <v>Valid</v>
      </c>
      <c r="AC634" s="15">
        <v>1</v>
      </c>
      <c r="AD634" s="16" t="str">
        <f t="shared" si="5"/>
        <v>Valid</v>
      </c>
      <c r="AE634" s="16" t="str">
        <f t="shared" si="6"/>
        <v>Valid</v>
      </c>
      <c r="AF634" s="16" t="str">
        <f t="shared" ref="AF634:AG634" si="1279">IF(ISNUMBER(B634),"Valid","Invalid")</f>
        <v>Valid</v>
      </c>
      <c r="AG634" s="16" t="str">
        <f t="shared" si="1279"/>
        <v>Valid</v>
      </c>
      <c r="AH634" s="16" t="str">
        <f t="shared" ref="AH634:AI634" si="1280">IF(OR(B634="",ISBLANK(B634)),"Missing","Valid")</f>
        <v>Valid</v>
      </c>
      <c r="AI634" s="16" t="str">
        <f t="shared" si="1280"/>
        <v>Valid</v>
      </c>
      <c r="AJ634" s="16" t="b">
        <v>0</v>
      </c>
      <c r="AK634" s="16" t="b">
        <v>0</v>
      </c>
      <c r="AL634" s="16" t="b">
        <v>0</v>
      </c>
      <c r="AM634" s="16" t="b">
        <v>0</v>
      </c>
      <c r="AN634" s="16" t="b">
        <v>0</v>
      </c>
      <c r="AO634" s="16" t="b">
        <v>0</v>
      </c>
      <c r="AP634" s="16" t="b">
        <v>0</v>
      </c>
      <c r="AQ634" s="17">
        <f t="shared" si="9"/>
        <v>0</v>
      </c>
      <c r="AR634" s="12">
        <f t="shared" si="10"/>
        <v>14252.650000000001</v>
      </c>
      <c r="AS634" s="18">
        <f t="shared" si="11"/>
        <v>0</v>
      </c>
      <c r="AT634" s="12">
        <f t="shared" si="12"/>
        <v>2694.340000000002</v>
      </c>
      <c r="AU634" s="18">
        <f t="shared" si="13"/>
        <v>0</v>
      </c>
      <c r="AV634" s="19">
        <f t="shared" si="14"/>
        <v>0.18904133617257154</v>
      </c>
      <c r="AW634" s="20" t="str">
        <f t="shared" si="15"/>
        <v>April</v>
      </c>
      <c r="AX634" s="21">
        <f t="shared" si="16"/>
        <v>2025</v>
      </c>
    </row>
    <row r="635" spans="1:50" ht="15.75" customHeight="1">
      <c r="A635" s="10" t="s">
        <v>2019</v>
      </c>
      <c r="B635" s="11">
        <v>45765</v>
      </c>
      <c r="C635" s="11">
        <v>45767</v>
      </c>
      <c r="D635" s="10" t="s">
        <v>2020</v>
      </c>
      <c r="E635" s="10" t="s">
        <v>157</v>
      </c>
      <c r="F635" s="10" t="s">
        <v>66</v>
      </c>
      <c r="G635" s="10" t="s">
        <v>83</v>
      </c>
      <c r="H635" s="10" t="s">
        <v>277</v>
      </c>
      <c r="I635" s="10" t="s">
        <v>278</v>
      </c>
      <c r="J635" s="10" t="s">
        <v>103</v>
      </c>
      <c r="K635" s="10" t="s">
        <v>104</v>
      </c>
      <c r="L635" s="10" t="s">
        <v>2021</v>
      </c>
      <c r="M635" s="10" t="s">
        <v>60</v>
      </c>
      <c r="N635" s="12">
        <v>1</v>
      </c>
      <c r="O635" s="12">
        <v>1626.08</v>
      </c>
      <c r="P635" s="12">
        <v>0.15</v>
      </c>
      <c r="Q635" s="12">
        <v>1382.17</v>
      </c>
      <c r="R635" s="12">
        <v>810.03</v>
      </c>
      <c r="S635" s="12">
        <v>572.14</v>
      </c>
      <c r="T635" s="10" t="s">
        <v>61</v>
      </c>
      <c r="U635" s="13" t="s">
        <v>62</v>
      </c>
      <c r="V635" s="14" t="e">
        <f t="shared" ca="1" si="0"/>
        <v>#NAME?</v>
      </c>
      <c r="W635" s="10" t="str">
        <f ca="1">IFERROR(__xludf.DUMMYFUNCTION("IF(COUNTIF($A:$A,A629)=1,
""Unique"",
IF(COUNTUNIQUE(FILTER($V$2:$V$934,$A$2:$A$934=A629))&gt;1,
""Conflicting Duplicate"",
""Exact Duplicate""))"),"Unique")</f>
        <v>Unique</v>
      </c>
      <c r="X635" s="10" t="b">
        <f t="shared" ca="1" si="1"/>
        <v>1</v>
      </c>
      <c r="Y635" s="10" t="str">
        <f t="shared" si="2"/>
        <v>Unique</v>
      </c>
      <c r="Z635" s="10"/>
      <c r="AA635" s="10" t="str">
        <f t="shared" si="3"/>
        <v>Clean</v>
      </c>
      <c r="AB635" s="15" t="str">
        <f t="shared" si="4"/>
        <v>Valid</v>
      </c>
      <c r="AC635" s="15">
        <v>2</v>
      </c>
      <c r="AD635" s="16" t="str">
        <f t="shared" si="5"/>
        <v>Valid</v>
      </c>
      <c r="AE635" s="16" t="str">
        <f t="shared" si="6"/>
        <v>Valid</v>
      </c>
      <c r="AF635" s="16" t="str">
        <f t="shared" ref="AF635:AG635" si="1281">IF(ISNUMBER(B635),"Valid","Invalid")</f>
        <v>Valid</v>
      </c>
      <c r="AG635" s="16" t="str">
        <f t="shared" si="1281"/>
        <v>Valid</v>
      </c>
      <c r="AH635" s="16" t="str">
        <f t="shared" ref="AH635:AI635" si="1282">IF(OR(B635="",ISBLANK(B635)),"Missing","Valid")</f>
        <v>Valid</v>
      </c>
      <c r="AI635" s="16" t="str">
        <f t="shared" si="1282"/>
        <v>Valid</v>
      </c>
      <c r="AJ635" s="16" t="b">
        <v>0</v>
      </c>
      <c r="AK635" s="16" t="b">
        <v>0</v>
      </c>
      <c r="AL635" s="16" t="b">
        <v>0</v>
      </c>
      <c r="AM635" s="16" t="b">
        <v>0</v>
      </c>
      <c r="AN635" s="16" t="b">
        <v>0</v>
      </c>
      <c r="AO635" s="16" t="b">
        <v>0</v>
      </c>
      <c r="AP635" s="16" t="b">
        <v>0</v>
      </c>
      <c r="AQ635" s="17">
        <f t="shared" si="9"/>
        <v>0.15</v>
      </c>
      <c r="AR635" s="12">
        <f t="shared" si="10"/>
        <v>1382.1679999999999</v>
      </c>
      <c r="AS635" s="18">
        <f t="shared" si="11"/>
        <v>2.00000000018008E-3</v>
      </c>
      <c r="AT635" s="12">
        <f t="shared" si="12"/>
        <v>572.13799999999992</v>
      </c>
      <c r="AU635" s="18">
        <f t="shared" si="13"/>
        <v>2.0000000000663931E-3</v>
      </c>
      <c r="AV635" s="19">
        <f t="shared" si="14"/>
        <v>0.4139424440444287</v>
      </c>
      <c r="AW635" s="20" t="str">
        <f t="shared" si="15"/>
        <v>April</v>
      </c>
      <c r="AX635" s="21">
        <f t="shared" si="16"/>
        <v>2025</v>
      </c>
    </row>
    <row r="636" spans="1:50" ht="15.75" customHeight="1">
      <c r="A636" s="10" t="s">
        <v>2022</v>
      </c>
      <c r="B636" s="11">
        <v>45668</v>
      </c>
      <c r="C636" s="11">
        <v>45669</v>
      </c>
      <c r="D636" s="10" t="s">
        <v>2023</v>
      </c>
      <c r="E636" s="10" t="s">
        <v>118</v>
      </c>
      <c r="F636" s="10" t="s">
        <v>53</v>
      </c>
      <c r="G636" s="10" t="s">
        <v>83</v>
      </c>
      <c r="H636" s="10" t="s">
        <v>84</v>
      </c>
      <c r="I636" s="10" t="s">
        <v>85</v>
      </c>
      <c r="J636" s="10" t="s">
        <v>70</v>
      </c>
      <c r="K636" s="10" t="s">
        <v>95</v>
      </c>
      <c r="L636" s="10" t="s">
        <v>2024</v>
      </c>
      <c r="M636" s="10" t="s">
        <v>60</v>
      </c>
      <c r="N636" s="12">
        <v>4</v>
      </c>
      <c r="O636" s="12">
        <v>2427.15</v>
      </c>
      <c r="P636" s="12">
        <v>0.05</v>
      </c>
      <c r="Q636" s="12">
        <v>9223.17</v>
      </c>
      <c r="R636" s="12">
        <v>5103.7</v>
      </c>
      <c r="S636" s="12">
        <v>4119.47</v>
      </c>
      <c r="T636" s="10" t="s">
        <v>61</v>
      </c>
      <c r="U636" s="13" t="s">
        <v>62</v>
      </c>
      <c r="V636" s="14" t="e">
        <f t="shared" ca="1" si="0"/>
        <v>#NAME?</v>
      </c>
      <c r="W636" s="10" t="str">
        <f ca="1">IFERROR(__xludf.DUMMYFUNCTION("IF(COUNTIF($A:$A,A630)=1,
""Unique"",
IF(COUNTUNIQUE(FILTER($V$2:$V$934,$A$2:$A$934=A630))&gt;1,
""Conflicting Duplicate"",
""Exact Duplicate""))"),"Unique")</f>
        <v>Unique</v>
      </c>
      <c r="X636" s="10" t="b">
        <f t="shared" ca="1" si="1"/>
        <v>1</v>
      </c>
      <c r="Y636" s="10" t="str">
        <f t="shared" si="2"/>
        <v>Unique</v>
      </c>
      <c r="Z636" s="10"/>
      <c r="AA636" s="10" t="str">
        <f t="shared" si="3"/>
        <v>Clean</v>
      </c>
      <c r="AB636" s="15" t="str">
        <f t="shared" si="4"/>
        <v>Valid</v>
      </c>
      <c r="AC636" s="15">
        <v>1</v>
      </c>
      <c r="AD636" s="16" t="str">
        <f t="shared" si="5"/>
        <v>Valid</v>
      </c>
      <c r="AE636" s="16" t="str">
        <f t="shared" si="6"/>
        <v>Valid</v>
      </c>
      <c r="AF636" s="16" t="str">
        <f t="shared" ref="AF636:AG636" si="1283">IF(ISNUMBER(B636),"Valid","Invalid")</f>
        <v>Valid</v>
      </c>
      <c r="AG636" s="16" t="str">
        <f t="shared" si="1283"/>
        <v>Valid</v>
      </c>
      <c r="AH636" s="16" t="str">
        <f t="shared" ref="AH636:AI636" si="1284">IF(OR(B636="",ISBLANK(B636)),"Missing","Valid")</f>
        <v>Valid</v>
      </c>
      <c r="AI636" s="16" t="str">
        <f t="shared" si="1284"/>
        <v>Valid</v>
      </c>
      <c r="AJ636" s="16" t="b">
        <v>0</v>
      </c>
      <c r="AK636" s="16" t="b">
        <v>0</v>
      </c>
      <c r="AL636" s="16" t="b">
        <v>0</v>
      </c>
      <c r="AM636" s="16" t="b">
        <v>0</v>
      </c>
      <c r="AN636" s="16" t="b">
        <v>0</v>
      </c>
      <c r="AO636" s="16" t="b">
        <v>0</v>
      </c>
      <c r="AP636" s="16" t="b">
        <v>0</v>
      </c>
      <c r="AQ636" s="17">
        <f t="shared" si="9"/>
        <v>0.05</v>
      </c>
      <c r="AR636" s="12">
        <f t="shared" si="10"/>
        <v>9223.17</v>
      </c>
      <c r="AS636" s="18">
        <f t="shared" si="11"/>
        <v>0</v>
      </c>
      <c r="AT636" s="12">
        <f t="shared" si="12"/>
        <v>4119.47</v>
      </c>
      <c r="AU636" s="18">
        <f t="shared" si="13"/>
        <v>0</v>
      </c>
      <c r="AV636" s="19">
        <f t="shared" si="14"/>
        <v>0.44664361602355807</v>
      </c>
      <c r="AW636" s="20" t="str">
        <f t="shared" si="15"/>
        <v>January</v>
      </c>
      <c r="AX636" s="21">
        <f t="shared" si="16"/>
        <v>2025</v>
      </c>
    </row>
    <row r="637" spans="1:50" ht="15.75" customHeight="1">
      <c r="A637" s="10" t="s">
        <v>2025</v>
      </c>
      <c r="B637" s="11">
        <v>45432</v>
      </c>
      <c r="C637" s="11">
        <v>45437</v>
      </c>
      <c r="D637" s="10" t="s">
        <v>2026</v>
      </c>
      <c r="E637" s="10" t="s">
        <v>65</v>
      </c>
      <c r="F637" s="10" t="s">
        <v>119</v>
      </c>
      <c r="G637" s="10" t="s">
        <v>83</v>
      </c>
      <c r="H637" s="10" t="s">
        <v>113</v>
      </c>
      <c r="I637" s="10" t="s">
        <v>114</v>
      </c>
      <c r="J637" s="10" t="s">
        <v>70</v>
      </c>
      <c r="K637" s="10" t="s">
        <v>95</v>
      </c>
      <c r="L637" s="10" t="s">
        <v>2027</v>
      </c>
      <c r="M637" s="10" t="s">
        <v>73</v>
      </c>
      <c r="N637" s="12">
        <v>7</v>
      </c>
      <c r="O637" s="12">
        <v>3122.85</v>
      </c>
      <c r="P637" s="12">
        <v>0.25</v>
      </c>
      <c r="Q637" s="12">
        <v>16394.96</v>
      </c>
      <c r="R637" s="12">
        <v>10404.17</v>
      </c>
      <c r="S637" s="12">
        <v>5990.79</v>
      </c>
      <c r="T637" s="10" t="s">
        <v>61</v>
      </c>
      <c r="U637" s="13" t="s">
        <v>62</v>
      </c>
      <c r="V637" s="14" t="e">
        <f t="shared" ca="1" si="0"/>
        <v>#NAME?</v>
      </c>
      <c r="W637" s="10" t="str">
        <f ca="1">IFERROR(__xludf.DUMMYFUNCTION("IF(COUNTIF($A:$A,A631)=1,
""Unique"",
IF(COUNTUNIQUE(FILTER($V$2:$V$934,$A$2:$A$934=A631))&gt;1,
""Conflicting Duplicate"",
""Exact Duplicate""))"),"Unique")</f>
        <v>Unique</v>
      </c>
      <c r="X637" s="10" t="b">
        <f t="shared" ca="1" si="1"/>
        <v>1</v>
      </c>
      <c r="Y637" s="10" t="str">
        <f t="shared" si="2"/>
        <v>Unique</v>
      </c>
      <c r="Z637" s="10"/>
      <c r="AA637" s="10" t="str">
        <f t="shared" si="3"/>
        <v>Clean</v>
      </c>
      <c r="AB637" s="15" t="str">
        <f t="shared" si="4"/>
        <v>Valid</v>
      </c>
      <c r="AC637" s="15">
        <v>5</v>
      </c>
      <c r="AD637" s="16" t="str">
        <f t="shared" si="5"/>
        <v>Valid</v>
      </c>
      <c r="AE637" s="16" t="str">
        <f t="shared" si="6"/>
        <v>Valid</v>
      </c>
      <c r="AF637" s="16" t="str">
        <f t="shared" ref="AF637:AG637" si="1285">IF(ISNUMBER(B637),"Valid","Invalid")</f>
        <v>Valid</v>
      </c>
      <c r="AG637" s="16" t="str">
        <f t="shared" si="1285"/>
        <v>Valid</v>
      </c>
      <c r="AH637" s="16" t="str">
        <f t="shared" ref="AH637:AI637" si="1286">IF(OR(B637="",ISBLANK(B637)),"Missing","Valid")</f>
        <v>Valid</v>
      </c>
      <c r="AI637" s="16" t="str">
        <f t="shared" si="1286"/>
        <v>Valid</v>
      </c>
      <c r="AJ637" s="16" t="b">
        <v>0</v>
      </c>
      <c r="AK637" s="16" t="b">
        <v>0</v>
      </c>
      <c r="AL637" s="16" t="b">
        <v>0</v>
      </c>
      <c r="AM637" s="16" t="b">
        <v>0</v>
      </c>
      <c r="AN637" s="16" t="b">
        <v>0</v>
      </c>
      <c r="AO637" s="16" t="b">
        <v>0</v>
      </c>
      <c r="AP637" s="16" t="b">
        <v>0</v>
      </c>
      <c r="AQ637" s="17">
        <f t="shared" si="9"/>
        <v>0.25</v>
      </c>
      <c r="AR637" s="12">
        <f t="shared" si="10"/>
        <v>16394.962500000001</v>
      </c>
      <c r="AS637" s="18">
        <f t="shared" si="11"/>
        <v>-2.5000000023283064E-3</v>
      </c>
      <c r="AT637" s="12">
        <f t="shared" si="12"/>
        <v>5990.7925000000014</v>
      </c>
      <c r="AU637" s="18">
        <f t="shared" si="13"/>
        <v>-2.5000000014188117E-3</v>
      </c>
      <c r="AV637" s="19">
        <f t="shared" si="14"/>
        <v>0.36540446493854445</v>
      </c>
      <c r="AW637" s="20" t="str">
        <f t="shared" si="15"/>
        <v>May</v>
      </c>
      <c r="AX637" s="21">
        <f t="shared" si="16"/>
        <v>2024</v>
      </c>
    </row>
    <row r="638" spans="1:50" ht="15.75" customHeight="1">
      <c r="A638" s="10" t="s">
        <v>2028</v>
      </c>
      <c r="B638" s="11">
        <v>45567</v>
      </c>
      <c r="C638" s="11">
        <v>45574</v>
      </c>
      <c r="D638" s="10" t="s">
        <v>2029</v>
      </c>
      <c r="E638" s="10" t="s">
        <v>91</v>
      </c>
      <c r="F638" s="10" t="s">
        <v>53</v>
      </c>
      <c r="G638" s="10" t="s">
        <v>83</v>
      </c>
      <c r="H638" s="10" t="s">
        <v>277</v>
      </c>
      <c r="I638" s="10" t="s">
        <v>278</v>
      </c>
      <c r="J638" s="10" t="s">
        <v>57</v>
      </c>
      <c r="K638" s="10" t="s">
        <v>58</v>
      </c>
      <c r="L638" s="10" t="s">
        <v>2030</v>
      </c>
      <c r="M638" s="10" t="s">
        <v>88</v>
      </c>
      <c r="N638" s="12">
        <v>8</v>
      </c>
      <c r="O638" s="12">
        <v>1910.31</v>
      </c>
      <c r="P638" s="12">
        <v>0.15</v>
      </c>
      <c r="Q638" s="12">
        <v>12990.11</v>
      </c>
      <c r="R638" s="12">
        <v>10200.799999999999</v>
      </c>
      <c r="S638" s="12">
        <v>2789.31</v>
      </c>
      <c r="T638" s="10" t="s">
        <v>61</v>
      </c>
      <c r="U638" s="13" t="s">
        <v>62</v>
      </c>
      <c r="V638" s="14" t="e">
        <f t="shared" ca="1" si="0"/>
        <v>#NAME?</v>
      </c>
      <c r="W638" s="10" t="str">
        <f ca="1">IFERROR(__xludf.DUMMYFUNCTION("IF(COUNTIF($A:$A,A632)=1,
""Unique"",
IF(COUNTUNIQUE(FILTER($V$2:$V$934,$A$2:$A$934=A632))&gt;1,
""Conflicting Duplicate"",
""Exact Duplicate""))"),"Unique")</f>
        <v>Unique</v>
      </c>
      <c r="X638" s="10" t="b">
        <f t="shared" ca="1" si="1"/>
        <v>1</v>
      </c>
      <c r="Y638" s="10" t="str">
        <f t="shared" si="2"/>
        <v>Unique</v>
      </c>
      <c r="Z638" s="10"/>
      <c r="AA638" s="10" t="str">
        <f t="shared" si="3"/>
        <v>Clean</v>
      </c>
      <c r="AB638" s="15" t="str">
        <f t="shared" si="4"/>
        <v>Valid</v>
      </c>
      <c r="AC638" s="15">
        <v>7</v>
      </c>
      <c r="AD638" s="16" t="str">
        <f t="shared" si="5"/>
        <v>Valid</v>
      </c>
      <c r="AE638" s="16" t="str">
        <f t="shared" si="6"/>
        <v>Valid</v>
      </c>
      <c r="AF638" s="16" t="str">
        <f t="shared" ref="AF638:AG638" si="1287">IF(ISNUMBER(B638),"Valid","Invalid")</f>
        <v>Valid</v>
      </c>
      <c r="AG638" s="16" t="str">
        <f t="shared" si="1287"/>
        <v>Valid</v>
      </c>
      <c r="AH638" s="16" t="str">
        <f t="shared" ref="AH638:AI638" si="1288">IF(OR(B638="",ISBLANK(B638)),"Missing","Valid")</f>
        <v>Valid</v>
      </c>
      <c r="AI638" s="16" t="str">
        <f t="shared" si="1288"/>
        <v>Valid</v>
      </c>
      <c r="AJ638" s="16" t="b">
        <v>0</v>
      </c>
      <c r="AK638" s="16" t="b">
        <v>0</v>
      </c>
      <c r="AL638" s="16" t="b">
        <v>0</v>
      </c>
      <c r="AM638" s="16" t="b">
        <v>0</v>
      </c>
      <c r="AN638" s="16" t="b">
        <v>0</v>
      </c>
      <c r="AO638" s="16" t="b">
        <v>0</v>
      </c>
      <c r="AP638" s="16" t="b">
        <v>0</v>
      </c>
      <c r="AQ638" s="17">
        <f t="shared" si="9"/>
        <v>0.15</v>
      </c>
      <c r="AR638" s="12">
        <f t="shared" si="10"/>
        <v>12990.108</v>
      </c>
      <c r="AS638" s="18">
        <f t="shared" si="11"/>
        <v>2.0000000004074536E-3</v>
      </c>
      <c r="AT638" s="12">
        <f t="shared" si="12"/>
        <v>2789.3080000000009</v>
      </c>
      <c r="AU638" s="18">
        <f t="shared" si="13"/>
        <v>1.9999999990432116E-3</v>
      </c>
      <c r="AV638" s="19">
        <f t="shared" si="14"/>
        <v>0.2147255434673831</v>
      </c>
      <c r="AW638" s="20" t="str">
        <f t="shared" si="15"/>
        <v>October</v>
      </c>
      <c r="AX638" s="21">
        <f t="shared" si="16"/>
        <v>2024</v>
      </c>
    </row>
    <row r="639" spans="1:50" ht="15.75" customHeight="1">
      <c r="A639" s="10" t="s">
        <v>2031</v>
      </c>
      <c r="B639" s="11">
        <v>45438</v>
      </c>
      <c r="C639" s="11">
        <v>45438</v>
      </c>
      <c r="D639" s="10" t="s">
        <v>2032</v>
      </c>
      <c r="E639" s="10" t="s">
        <v>147</v>
      </c>
      <c r="F639" s="10" t="s">
        <v>66</v>
      </c>
      <c r="G639" s="10" t="s">
        <v>92</v>
      </c>
      <c r="H639" s="10" t="s">
        <v>219</v>
      </c>
      <c r="I639" s="10" t="s">
        <v>220</v>
      </c>
      <c r="J639" s="10" t="s">
        <v>103</v>
      </c>
      <c r="K639" s="10" t="s">
        <v>109</v>
      </c>
      <c r="L639" s="10" t="s">
        <v>2033</v>
      </c>
      <c r="M639" s="10" t="s">
        <v>79</v>
      </c>
      <c r="N639" s="12">
        <v>2</v>
      </c>
      <c r="O639" s="12">
        <v>3192.47</v>
      </c>
      <c r="P639" s="12">
        <v>0.2</v>
      </c>
      <c r="Q639" s="12">
        <v>5107.95</v>
      </c>
      <c r="R639" s="12">
        <v>3133.08</v>
      </c>
      <c r="S639" s="12">
        <v>1974.87</v>
      </c>
      <c r="T639" s="10" t="s">
        <v>61</v>
      </c>
      <c r="U639" s="13" t="s">
        <v>62</v>
      </c>
      <c r="V639" s="14" t="e">
        <f t="shared" ca="1" si="0"/>
        <v>#NAME?</v>
      </c>
      <c r="W639" s="10" t="str">
        <f ca="1">IFERROR(__xludf.DUMMYFUNCTION("IF(COUNTIF($A:$A,A633)=1,
""Unique"",
IF(COUNTUNIQUE(FILTER($V$2:$V$934,$A$2:$A$934=A633))&gt;1,
""Conflicting Duplicate"",
""Exact Duplicate""))"),"Unique")</f>
        <v>Unique</v>
      </c>
      <c r="X639" s="10" t="b">
        <f t="shared" ca="1" si="1"/>
        <v>1</v>
      </c>
      <c r="Y639" s="10" t="str">
        <f t="shared" si="2"/>
        <v>Unique</v>
      </c>
      <c r="Z639" s="10"/>
      <c r="AA639" s="10" t="str">
        <f t="shared" si="3"/>
        <v>Clean</v>
      </c>
      <c r="AB639" s="15" t="str">
        <f t="shared" si="4"/>
        <v>Valid</v>
      </c>
      <c r="AC639" s="15">
        <v>0</v>
      </c>
      <c r="AD639" s="16" t="str">
        <f t="shared" si="5"/>
        <v>Valid</v>
      </c>
      <c r="AE639" s="16" t="str">
        <f t="shared" si="6"/>
        <v>Valid</v>
      </c>
      <c r="AF639" s="16" t="str">
        <f t="shared" ref="AF639:AG639" si="1289">IF(ISNUMBER(B639),"Valid","Invalid")</f>
        <v>Valid</v>
      </c>
      <c r="AG639" s="16" t="str">
        <f t="shared" si="1289"/>
        <v>Valid</v>
      </c>
      <c r="AH639" s="16" t="str">
        <f t="shared" ref="AH639:AI639" si="1290">IF(OR(B639="",ISBLANK(B639)),"Missing","Valid")</f>
        <v>Valid</v>
      </c>
      <c r="AI639" s="16" t="str">
        <f t="shared" si="1290"/>
        <v>Valid</v>
      </c>
      <c r="AJ639" s="16" t="b">
        <v>0</v>
      </c>
      <c r="AK639" s="16" t="b">
        <v>0</v>
      </c>
      <c r="AL639" s="16" t="b">
        <v>0</v>
      </c>
      <c r="AM639" s="16" t="b">
        <v>0</v>
      </c>
      <c r="AN639" s="16" t="b">
        <v>0</v>
      </c>
      <c r="AO639" s="16" t="b">
        <v>0</v>
      </c>
      <c r="AP639" s="16" t="b">
        <v>0</v>
      </c>
      <c r="AQ639" s="17">
        <f t="shared" si="9"/>
        <v>0.2</v>
      </c>
      <c r="AR639" s="12">
        <f t="shared" si="10"/>
        <v>5107.9520000000002</v>
      </c>
      <c r="AS639" s="18">
        <f t="shared" si="11"/>
        <v>-2.0000000004074536E-3</v>
      </c>
      <c r="AT639" s="12">
        <f t="shared" si="12"/>
        <v>1974.8720000000003</v>
      </c>
      <c r="AU639" s="18">
        <f t="shared" si="13"/>
        <v>-2.0000000004074536E-3</v>
      </c>
      <c r="AV639" s="19">
        <f t="shared" si="14"/>
        <v>0.38662696908663202</v>
      </c>
      <c r="AW639" s="20" t="str">
        <f t="shared" si="15"/>
        <v>May</v>
      </c>
      <c r="AX639" s="21">
        <f t="shared" si="16"/>
        <v>2024</v>
      </c>
    </row>
    <row r="640" spans="1:50" ht="15.75" customHeight="1">
      <c r="A640" s="10" t="s">
        <v>2034</v>
      </c>
      <c r="B640" s="11">
        <v>45317</v>
      </c>
      <c r="C640" s="11">
        <v>45322</v>
      </c>
      <c r="D640" s="10" t="s">
        <v>2035</v>
      </c>
      <c r="E640" s="10" t="s">
        <v>52</v>
      </c>
      <c r="F640" s="10" t="s">
        <v>119</v>
      </c>
      <c r="G640" s="10" t="s">
        <v>83</v>
      </c>
      <c r="H640" s="10" t="s">
        <v>214</v>
      </c>
      <c r="I640" s="10" t="s">
        <v>215</v>
      </c>
      <c r="J640" s="10" t="s">
        <v>57</v>
      </c>
      <c r="K640" s="10" t="s">
        <v>153</v>
      </c>
      <c r="L640" s="10" t="s">
        <v>2036</v>
      </c>
      <c r="M640" s="10" t="s">
        <v>60</v>
      </c>
      <c r="N640" s="12">
        <v>3</v>
      </c>
      <c r="O640" s="12">
        <v>3224.32</v>
      </c>
      <c r="P640" s="12">
        <v>0.2</v>
      </c>
      <c r="Q640" s="12">
        <v>7738.37</v>
      </c>
      <c r="R640" s="12">
        <v>4626.8500000000004</v>
      </c>
      <c r="S640" s="12">
        <v>3111.52</v>
      </c>
      <c r="T640" s="10" t="s">
        <v>184</v>
      </c>
      <c r="U640" s="13" t="s">
        <v>132</v>
      </c>
      <c r="V640" s="14" t="e">
        <f t="shared" ca="1" si="0"/>
        <v>#NAME?</v>
      </c>
      <c r="W640" s="10" t="str">
        <f ca="1">IFERROR(__xludf.DUMMYFUNCTION("IF(COUNTIF($A:$A,A634)=1,
""Unique"",
IF(COUNTUNIQUE(FILTER($V$2:$V$934,$A$2:$A$934=A634))&gt;1,
""Conflicting Duplicate"",
""Exact Duplicate""))"),"Exact Duplicate")</f>
        <v>Exact Duplicate</v>
      </c>
      <c r="X640" s="10" t="b">
        <f t="shared" ca="1" si="1"/>
        <v>1</v>
      </c>
      <c r="Y640" s="10" t="str">
        <f t="shared" si="2"/>
        <v>Unique</v>
      </c>
      <c r="Z640" s="10"/>
      <c r="AA640" s="10" t="str">
        <f t="shared" si="3"/>
        <v>Clean</v>
      </c>
      <c r="AB640" s="15" t="str">
        <f t="shared" si="4"/>
        <v>Valid</v>
      </c>
      <c r="AC640" s="15">
        <v>5</v>
      </c>
      <c r="AD640" s="16" t="str">
        <f t="shared" si="5"/>
        <v>Valid</v>
      </c>
      <c r="AE640" s="16" t="str">
        <f t="shared" si="6"/>
        <v>Valid</v>
      </c>
      <c r="AF640" s="16" t="str">
        <f t="shared" ref="AF640:AG640" si="1291">IF(ISNUMBER(B640),"Valid","Invalid")</f>
        <v>Valid</v>
      </c>
      <c r="AG640" s="16" t="str">
        <f t="shared" si="1291"/>
        <v>Valid</v>
      </c>
      <c r="AH640" s="16" t="str">
        <f t="shared" ref="AH640:AI640" si="1292">IF(OR(B640="",ISBLANK(B640)),"Missing","Valid")</f>
        <v>Valid</v>
      </c>
      <c r="AI640" s="16" t="str">
        <f t="shared" si="1292"/>
        <v>Valid</v>
      </c>
      <c r="AJ640" s="16" t="b">
        <v>0</v>
      </c>
      <c r="AK640" s="16" t="b">
        <v>0</v>
      </c>
      <c r="AL640" s="16" t="b">
        <v>0</v>
      </c>
      <c r="AM640" s="16" t="b">
        <v>0</v>
      </c>
      <c r="AN640" s="16" t="b">
        <v>0</v>
      </c>
      <c r="AO640" s="16" t="b">
        <v>0</v>
      </c>
      <c r="AP640" s="16" t="b">
        <v>0</v>
      </c>
      <c r="AQ640" s="17">
        <f t="shared" si="9"/>
        <v>0.2</v>
      </c>
      <c r="AR640" s="12">
        <f t="shared" si="10"/>
        <v>7738.3680000000013</v>
      </c>
      <c r="AS640" s="18">
        <f t="shared" si="11"/>
        <v>1.9999999985884642E-3</v>
      </c>
      <c r="AT640" s="12">
        <f t="shared" si="12"/>
        <v>3111.5180000000009</v>
      </c>
      <c r="AU640" s="18">
        <f t="shared" si="13"/>
        <v>1.9999999990432116E-3</v>
      </c>
      <c r="AV640" s="19">
        <f t="shared" si="14"/>
        <v>0.40208969126306743</v>
      </c>
      <c r="AW640" s="20" t="str">
        <f t="shared" si="15"/>
        <v>January</v>
      </c>
      <c r="AX640" s="21">
        <f t="shared" si="16"/>
        <v>2024</v>
      </c>
    </row>
    <row r="641" spans="1:50" ht="15.75" customHeight="1">
      <c r="A641" s="10" t="s">
        <v>2037</v>
      </c>
      <c r="B641" s="11">
        <v>45653</v>
      </c>
      <c r="C641" s="11">
        <v>45657</v>
      </c>
      <c r="D641" s="10" t="s">
        <v>2038</v>
      </c>
      <c r="E641" s="10" t="s">
        <v>76</v>
      </c>
      <c r="F641" s="10" t="s">
        <v>66</v>
      </c>
      <c r="G641" s="10" t="s">
        <v>67</v>
      </c>
      <c r="H641" s="10" t="s">
        <v>68</v>
      </c>
      <c r="I641" s="10" t="s">
        <v>69</v>
      </c>
      <c r="J641" s="10" t="s">
        <v>70</v>
      </c>
      <c r="K641" s="10" t="s">
        <v>95</v>
      </c>
      <c r="L641" s="10" t="s">
        <v>2039</v>
      </c>
      <c r="M641" s="10" t="s">
        <v>60</v>
      </c>
      <c r="N641" s="12">
        <v>1</v>
      </c>
      <c r="O641" s="12">
        <v>1594.7</v>
      </c>
      <c r="P641" s="12">
        <v>0.05</v>
      </c>
      <c r="Q641" s="12">
        <v>1514.96</v>
      </c>
      <c r="R641" s="12">
        <v>1046.17</v>
      </c>
      <c r="S641" s="12">
        <v>468.79</v>
      </c>
      <c r="T641" s="10" t="s">
        <v>61</v>
      </c>
      <c r="U641" s="13" t="s">
        <v>62</v>
      </c>
      <c r="V641" s="14" t="e">
        <f t="shared" ca="1" si="0"/>
        <v>#NAME?</v>
      </c>
      <c r="W641" s="10" t="str">
        <f ca="1">IFERROR(__xludf.DUMMYFUNCTION("IF(COUNTIF($A:$A,A635)=1,
""Unique"",
IF(COUNTUNIQUE(FILTER($V$2:$V$934,$A$2:$A$934=A635))&gt;1,
""Conflicting Duplicate"",
""Exact Duplicate""))"),"Unique")</f>
        <v>Unique</v>
      </c>
      <c r="X641" s="10" t="b">
        <f t="shared" ca="1" si="1"/>
        <v>1</v>
      </c>
      <c r="Y641" s="10" t="str">
        <f t="shared" si="2"/>
        <v>Unique</v>
      </c>
      <c r="Z641" s="10"/>
      <c r="AA641" s="10" t="str">
        <f t="shared" si="3"/>
        <v>Clean</v>
      </c>
      <c r="AB641" s="15" t="str">
        <f t="shared" si="4"/>
        <v>Valid</v>
      </c>
      <c r="AC641" s="15">
        <v>4</v>
      </c>
      <c r="AD641" s="16" t="str">
        <f t="shared" si="5"/>
        <v>Valid</v>
      </c>
      <c r="AE641" s="16" t="str">
        <f t="shared" si="6"/>
        <v>Valid</v>
      </c>
      <c r="AF641" s="16" t="str">
        <f t="shared" ref="AF641:AG641" si="1293">IF(ISNUMBER(B641),"Valid","Invalid")</f>
        <v>Valid</v>
      </c>
      <c r="AG641" s="16" t="str">
        <f t="shared" si="1293"/>
        <v>Valid</v>
      </c>
      <c r="AH641" s="16" t="str">
        <f t="shared" ref="AH641:AI641" si="1294">IF(OR(B641="",ISBLANK(B641)),"Missing","Valid")</f>
        <v>Valid</v>
      </c>
      <c r="AI641" s="16" t="str">
        <f t="shared" si="1294"/>
        <v>Valid</v>
      </c>
      <c r="AJ641" s="16" t="b">
        <v>0</v>
      </c>
      <c r="AK641" s="16" t="b">
        <v>0</v>
      </c>
      <c r="AL641" s="16" t="b">
        <v>0</v>
      </c>
      <c r="AM641" s="16" t="b">
        <v>0</v>
      </c>
      <c r="AN641" s="16" t="b">
        <v>0</v>
      </c>
      <c r="AO641" s="16" t="b">
        <v>0</v>
      </c>
      <c r="AP641" s="16" t="b">
        <v>0</v>
      </c>
      <c r="AQ641" s="17">
        <f t="shared" si="9"/>
        <v>0.05</v>
      </c>
      <c r="AR641" s="12">
        <f t="shared" si="10"/>
        <v>1514.9649999999999</v>
      </c>
      <c r="AS641" s="18">
        <f t="shared" si="11"/>
        <v>-4.9999999998817657E-3</v>
      </c>
      <c r="AT641" s="12">
        <f t="shared" si="12"/>
        <v>468.79499999999985</v>
      </c>
      <c r="AU641" s="18">
        <f t="shared" si="13"/>
        <v>-4.9999999998249223E-3</v>
      </c>
      <c r="AV641" s="19">
        <f t="shared" si="14"/>
        <v>0.3094427924077453</v>
      </c>
      <c r="AW641" s="20" t="str">
        <f t="shared" si="15"/>
        <v>December</v>
      </c>
      <c r="AX641" s="21">
        <f t="shared" si="16"/>
        <v>2024</v>
      </c>
    </row>
    <row r="642" spans="1:50" ht="15.75" customHeight="1">
      <c r="A642" s="10" t="s">
        <v>2040</v>
      </c>
      <c r="B642" s="11">
        <v>45671</v>
      </c>
      <c r="C642" s="11">
        <v>45674</v>
      </c>
      <c r="D642" s="10" t="s">
        <v>2041</v>
      </c>
      <c r="E642" s="10" t="s">
        <v>100</v>
      </c>
      <c r="F642" s="10" t="s">
        <v>53</v>
      </c>
      <c r="G642" s="10" t="s">
        <v>92</v>
      </c>
      <c r="H642" s="10" t="s">
        <v>219</v>
      </c>
      <c r="I642" s="10" t="s">
        <v>220</v>
      </c>
      <c r="J642" s="10" t="s">
        <v>57</v>
      </c>
      <c r="K642" s="10" t="s">
        <v>153</v>
      </c>
      <c r="L642" s="10" t="s">
        <v>2042</v>
      </c>
      <c r="M642" s="10" t="s">
        <v>79</v>
      </c>
      <c r="N642" s="12">
        <v>1</v>
      </c>
      <c r="O642" s="12">
        <v>1584.12</v>
      </c>
      <c r="P642" s="12">
        <v>0.2</v>
      </c>
      <c r="Q642" s="12">
        <v>1267.3</v>
      </c>
      <c r="R642" s="12">
        <v>923.53</v>
      </c>
      <c r="S642" s="12">
        <v>343.77</v>
      </c>
      <c r="T642" s="10" t="s">
        <v>61</v>
      </c>
      <c r="U642" s="13" t="s">
        <v>62</v>
      </c>
      <c r="V642" s="14" t="e">
        <f t="shared" ca="1" si="0"/>
        <v>#NAME?</v>
      </c>
      <c r="W642" s="10" t="str">
        <f ca="1">IFERROR(__xludf.DUMMYFUNCTION("IF(COUNTIF($A:$A,A636)=1,
""Unique"",
IF(COUNTUNIQUE(FILTER($V$2:$V$934,$A$2:$A$934=A636))&gt;1,
""Conflicting Duplicate"",
""Exact Duplicate""))"),"Unique")</f>
        <v>Unique</v>
      </c>
      <c r="X642" s="10" t="b">
        <f t="shared" ca="1" si="1"/>
        <v>1</v>
      </c>
      <c r="Y642" s="10" t="str">
        <f t="shared" si="2"/>
        <v>Unique</v>
      </c>
      <c r="Z642" s="10"/>
      <c r="AA642" s="10" t="str">
        <f t="shared" si="3"/>
        <v>Clean</v>
      </c>
      <c r="AB642" s="15" t="str">
        <f t="shared" si="4"/>
        <v>Valid</v>
      </c>
      <c r="AC642" s="15">
        <v>3</v>
      </c>
      <c r="AD642" s="16" t="str">
        <f t="shared" si="5"/>
        <v>Valid</v>
      </c>
      <c r="AE642" s="16" t="str">
        <f t="shared" si="6"/>
        <v>Valid</v>
      </c>
      <c r="AF642" s="16" t="str">
        <f t="shared" ref="AF642:AG642" si="1295">IF(ISNUMBER(B642),"Valid","Invalid")</f>
        <v>Valid</v>
      </c>
      <c r="AG642" s="16" t="str">
        <f t="shared" si="1295"/>
        <v>Valid</v>
      </c>
      <c r="AH642" s="16" t="str">
        <f t="shared" ref="AH642:AI642" si="1296">IF(OR(B642="",ISBLANK(B642)),"Missing","Valid")</f>
        <v>Valid</v>
      </c>
      <c r="AI642" s="16" t="str">
        <f t="shared" si="1296"/>
        <v>Valid</v>
      </c>
      <c r="AJ642" s="16" t="b">
        <v>0</v>
      </c>
      <c r="AK642" s="16" t="b">
        <v>0</v>
      </c>
      <c r="AL642" s="16" t="b">
        <v>0</v>
      </c>
      <c r="AM642" s="16" t="b">
        <v>0</v>
      </c>
      <c r="AN642" s="16" t="b">
        <v>0</v>
      </c>
      <c r="AO642" s="16" t="b">
        <v>0</v>
      </c>
      <c r="AP642" s="16" t="b">
        <v>0</v>
      </c>
      <c r="AQ642" s="17">
        <f t="shared" si="9"/>
        <v>0.2</v>
      </c>
      <c r="AR642" s="12">
        <f t="shared" si="10"/>
        <v>1267.296</v>
      </c>
      <c r="AS642" s="18">
        <f t="shared" si="11"/>
        <v>3.9999999999054126E-3</v>
      </c>
      <c r="AT642" s="12">
        <f t="shared" si="12"/>
        <v>343.76600000000008</v>
      </c>
      <c r="AU642" s="18">
        <f t="shared" si="13"/>
        <v>3.9999999999054126E-3</v>
      </c>
      <c r="AV642" s="19">
        <f t="shared" si="14"/>
        <v>0.27125943741635739</v>
      </c>
      <c r="AW642" s="20" t="str">
        <f t="shared" si="15"/>
        <v>January</v>
      </c>
      <c r="AX642" s="21">
        <f t="shared" si="16"/>
        <v>2025</v>
      </c>
    </row>
    <row r="643" spans="1:50" ht="15.75" customHeight="1">
      <c r="A643" s="10" t="s">
        <v>2043</v>
      </c>
      <c r="B643" s="11">
        <v>45756</v>
      </c>
      <c r="C643" s="11">
        <v>45761</v>
      </c>
      <c r="D643" s="10" t="s">
        <v>2044</v>
      </c>
      <c r="E643" s="10" t="s">
        <v>52</v>
      </c>
      <c r="F643" s="10" t="s">
        <v>53</v>
      </c>
      <c r="G643" s="10" t="s">
        <v>54</v>
      </c>
      <c r="H643" s="10" t="s">
        <v>380</v>
      </c>
      <c r="I643" s="10" t="s">
        <v>381</v>
      </c>
      <c r="J643" s="10" t="s">
        <v>70</v>
      </c>
      <c r="K643" s="10" t="s">
        <v>86</v>
      </c>
      <c r="L643" s="10" t="s">
        <v>2045</v>
      </c>
      <c r="M643" s="10" t="s">
        <v>73</v>
      </c>
      <c r="N643" s="12">
        <v>2</v>
      </c>
      <c r="O643" s="12">
        <v>3202.87</v>
      </c>
      <c r="P643" s="12">
        <v>0</v>
      </c>
      <c r="Q643" s="12">
        <v>6405.74</v>
      </c>
      <c r="R643" s="12">
        <v>3561.87</v>
      </c>
      <c r="S643" s="12">
        <v>2843.87</v>
      </c>
      <c r="T643" s="10" t="s">
        <v>61</v>
      </c>
      <c r="U643" s="13" t="s">
        <v>62</v>
      </c>
      <c r="V643" s="14" t="e">
        <f t="shared" ca="1" si="0"/>
        <v>#NAME?</v>
      </c>
      <c r="W643" s="10" t="str">
        <f ca="1">IFERROR(__xludf.DUMMYFUNCTION("IF(COUNTIF($A:$A,A637)=1,
""Unique"",
IF(COUNTUNIQUE(FILTER($V$2:$V$934,$A$2:$A$934=A637))&gt;1,
""Conflicting Duplicate"",
""Exact Duplicate""))"),"Unique")</f>
        <v>Unique</v>
      </c>
      <c r="X643" s="10" t="b">
        <f t="shared" ca="1" si="1"/>
        <v>1</v>
      </c>
      <c r="Y643" s="10" t="str">
        <f t="shared" si="2"/>
        <v>Unique</v>
      </c>
      <c r="Z643" s="10"/>
      <c r="AA643" s="10" t="str">
        <f t="shared" si="3"/>
        <v>Clean</v>
      </c>
      <c r="AB643" s="15" t="str">
        <f t="shared" si="4"/>
        <v>Valid</v>
      </c>
      <c r="AC643" s="15">
        <v>5</v>
      </c>
      <c r="AD643" s="16" t="str">
        <f t="shared" si="5"/>
        <v>Valid</v>
      </c>
      <c r="AE643" s="16" t="str">
        <f t="shared" si="6"/>
        <v>Valid</v>
      </c>
      <c r="AF643" s="16" t="str">
        <f t="shared" ref="AF643:AG643" si="1297">IF(ISNUMBER(B643),"Valid","Invalid")</f>
        <v>Valid</v>
      </c>
      <c r="AG643" s="16" t="str">
        <f t="shared" si="1297"/>
        <v>Valid</v>
      </c>
      <c r="AH643" s="16" t="str">
        <f t="shared" ref="AH643:AI643" si="1298">IF(OR(B643="",ISBLANK(B643)),"Missing","Valid")</f>
        <v>Valid</v>
      </c>
      <c r="AI643" s="16" t="str">
        <f t="shared" si="1298"/>
        <v>Valid</v>
      </c>
      <c r="AJ643" s="16" t="b">
        <v>0</v>
      </c>
      <c r="AK643" s="16" t="b">
        <v>0</v>
      </c>
      <c r="AL643" s="16" t="b">
        <v>0</v>
      </c>
      <c r="AM643" s="16" t="b">
        <v>0</v>
      </c>
      <c r="AN643" s="16" t="b">
        <v>0</v>
      </c>
      <c r="AO643" s="16" t="b">
        <v>0</v>
      </c>
      <c r="AP643" s="16" t="b">
        <v>0</v>
      </c>
      <c r="AQ643" s="17">
        <f t="shared" si="9"/>
        <v>0</v>
      </c>
      <c r="AR643" s="12">
        <f t="shared" si="10"/>
        <v>6405.74</v>
      </c>
      <c r="AS643" s="18">
        <f t="shared" si="11"/>
        <v>0</v>
      </c>
      <c r="AT643" s="12">
        <f t="shared" si="12"/>
        <v>2843.87</v>
      </c>
      <c r="AU643" s="18">
        <f t="shared" si="13"/>
        <v>0</v>
      </c>
      <c r="AV643" s="19">
        <f t="shared" si="14"/>
        <v>0.44395651400150488</v>
      </c>
      <c r="AW643" s="20" t="str">
        <f t="shared" si="15"/>
        <v>April</v>
      </c>
      <c r="AX643" s="21">
        <f t="shared" si="16"/>
        <v>2025</v>
      </c>
    </row>
    <row r="644" spans="1:50" ht="15.75" customHeight="1">
      <c r="A644" s="10" t="s">
        <v>2046</v>
      </c>
      <c r="B644" s="11">
        <v>45533</v>
      </c>
      <c r="C644" s="11">
        <v>45535</v>
      </c>
      <c r="D644" s="10" t="s">
        <v>2047</v>
      </c>
      <c r="E644" s="10" t="s">
        <v>76</v>
      </c>
      <c r="F644" s="10" t="s">
        <v>124</v>
      </c>
      <c r="G644" s="10" t="s">
        <v>67</v>
      </c>
      <c r="H644" s="10" t="s">
        <v>195</v>
      </c>
      <c r="I644" s="10" t="s">
        <v>196</v>
      </c>
      <c r="J644" s="10" t="s">
        <v>57</v>
      </c>
      <c r="K644" s="10" t="s">
        <v>182</v>
      </c>
      <c r="L644" s="10" t="s">
        <v>2048</v>
      </c>
      <c r="M644" s="10" t="s">
        <v>60</v>
      </c>
      <c r="N644" s="12">
        <v>9</v>
      </c>
      <c r="O644" s="12">
        <v>1275.21</v>
      </c>
      <c r="P644" s="12">
        <v>0.25</v>
      </c>
      <c r="Q644" s="12">
        <v>8607.67</v>
      </c>
      <c r="R644" s="12">
        <v>5337.64</v>
      </c>
      <c r="S644" s="12">
        <v>3270.03</v>
      </c>
      <c r="T644" s="10" t="s">
        <v>184</v>
      </c>
      <c r="U644" s="13" t="s">
        <v>132</v>
      </c>
      <c r="V644" s="14" t="e">
        <f t="shared" ca="1" si="0"/>
        <v>#NAME?</v>
      </c>
      <c r="W644" s="10" t="str">
        <f ca="1">IFERROR(__xludf.DUMMYFUNCTION("IF(COUNTIF($A:$A,A638)=1,
""Unique"",
IF(COUNTUNIQUE(FILTER($V$2:$V$934,$A$2:$A$934=A638))&gt;1,
""Conflicting Duplicate"",
""Exact Duplicate""))"),"Unique")</f>
        <v>Unique</v>
      </c>
      <c r="X644" s="10" t="b">
        <f t="shared" ca="1" si="1"/>
        <v>1</v>
      </c>
      <c r="Y644" s="10" t="str">
        <f t="shared" si="2"/>
        <v>Unique</v>
      </c>
      <c r="Z644" s="10"/>
      <c r="AA644" s="10" t="str">
        <f t="shared" si="3"/>
        <v>Clean</v>
      </c>
      <c r="AB644" s="15" t="str">
        <f t="shared" si="4"/>
        <v>Valid</v>
      </c>
      <c r="AC644" s="15">
        <v>2</v>
      </c>
      <c r="AD644" s="16" t="str">
        <f t="shared" si="5"/>
        <v>Valid</v>
      </c>
      <c r="AE644" s="16" t="str">
        <f t="shared" si="6"/>
        <v>Valid</v>
      </c>
      <c r="AF644" s="16" t="str">
        <f t="shared" ref="AF644:AG644" si="1299">IF(ISNUMBER(B644),"Valid","Invalid")</f>
        <v>Valid</v>
      </c>
      <c r="AG644" s="16" t="str">
        <f t="shared" si="1299"/>
        <v>Valid</v>
      </c>
      <c r="AH644" s="16" t="str">
        <f t="shared" ref="AH644:AI644" si="1300">IF(OR(B644="",ISBLANK(B644)),"Missing","Valid")</f>
        <v>Valid</v>
      </c>
      <c r="AI644" s="16" t="str">
        <f t="shared" si="1300"/>
        <v>Valid</v>
      </c>
      <c r="AJ644" s="16" t="b">
        <v>0</v>
      </c>
      <c r="AK644" s="16" t="b">
        <v>0</v>
      </c>
      <c r="AL644" s="16" t="b">
        <v>0</v>
      </c>
      <c r="AM644" s="16" t="b">
        <v>0</v>
      </c>
      <c r="AN644" s="16" t="b">
        <v>0</v>
      </c>
      <c r="AO644" s="16" t="b">
        <v>0</v>
      </c>
      <c r="AP644" s="16" t="b">
        <v>0</v>
      </c>
      <c r="AQ644" s="17">
        <f t="shared" si="9"/>
        <v>0.25</v>
      </c>
      <c r="AR644" s="12">
        <f t="shared" si="10"/>
        <v>8607.6674999999996</v>
      </c>
      <c r="AS644" s="18">
        <f t="shared" si="11"/>
        <v>2.500000000509317E-3</v>
      </c>
      <c r="AT644" s="12">
        <f t="shared" si="12"/>
        <v>3270.0274999999992</v>
      </c>
      <c r="AU644" s="18">
        <f t="shared" si="13"/>
        <v>2.5000000009640644E-3</v>
      </c>
      <c r="AV644" s="19">
        <f t="shared" si="14"/>
        <v>0.37989705108846261</v>
      </c>
      <c r="AW644" s="20" t="str">
        <f t="shared" si="15"/>
        <v>August</v>
      </c>
      <c r="AX644" s="21">
        <f t="shared" si="16"/>
        <v>2024</v>
      </c>
    </row>
    <row r="645" spans="1:50" ht="15.75" customHeight="1">
      <c r="A645" s="10" t="s">
        <v>2049</v>
      </c>
      <c r="B645" s="11">
        <v>45327</v>
      </c>
      <c r="C645" s="11">
        <v>45335</v>
      </c>
      <c r="D645" s="10" t="s">
        <v>750</v>
      </c>
      <c r="E645" s="10" t="s">
        <v>157</v>
      </c>
      <c r="F645" s="10" t="s">
        <v>124</v>
      </c>
      <c r="G645" s="10" t="s">
        <v>54</v>
      </c>
      <c r="H645" s="10" t="s">
        <v>165</v>
      </c>
      <c r="I645" s="10" t="s">
        <v>166</v>
      </c>
      <c r="J645" s="10" t="s">
        <v>57</v>
      </c>
      <c r="K645" s="10" t="s">
        <v>120</v>
      </c>
      <c r="L645" s="10" t="s">
        <v>2050</v>
      </c>
      <c r="M645" s="10" t="s">
        <v>88</v>
      </c>
      <c r="N645" s="12">
        <v>8</v>
      </c>
      <c r="O645" s="12">
        <v>3871.18</v>
      </c>
      <c r="P645" s="12">
        <v>0.15</v>
      </c>
      <c r="Q645" s="12">
        <v>26324.02</v>
      </c>
      <c r="R645" s="12">
        <v>16277.96</v>
      </c>
      <c r="S645" s="12">
        <v>10046.06</v>
      </c>
      <c r="T645" s="10" t="s">
        <v>184</v>
      </c>
      <c r="U645" s="13" t="s">
        <v>132</v>
      </c>
      <c r="V645" s="14" t="e">
        <f t="shared" ca="1" si="0"/>
        <v>#NAME?</v>
      </c>
      <c r="W645" s="10" t="str">
        <f ca="1">IFERROR(__xludf.DUMMYFUNCTION("IF(COUNTIF($A:$A,A639)=1,
""Unique"",
IF(COUNTUNIQUE(FILTER($V$2:$V$934,$A$2:$A$934=A639))&gt;1,
""Conflicting Duplicate"",
""Exact Duplicate""))"),"Unique")</f>
        <v>Unique</v>
      </c>
      <c r="X645" s="10" t="b">
        <f t="shared" ca="1" si="1"/>
        <v>1</v>
      </c>
      <c r="Y645" s="10" t="str">
        <f t="shared" si="2"/>
        <v>Unique</v>
      </c>
      <c r="Z645" s="10"/>
      <c r="AA645" s="10" t="str">
        <f t="shared" si="3"/>
        <v>Clean</v>
      </c>
      <c r="AB645" s="15" t="str">
        <f t="shared" si="4"/>
        <v>Valid</v>
      </c>
      <c r="AC645" s="15">
        <v>8</v>
      </c>
      <c r="AD645" s="16" t="str">
        <f t="shared" si="5"/>
        <v>Valid</v>
      </c>
      <c r="AE645" s="16" t="str">
        <f t="shared" si="6"/>
        <v>Valid</v>
      </c>
      <c r="AF645" s="16" t="str">
        <f t="shared" ref="AF645:AG645" si="1301">IF(ISNUMBER(B645),"Valid","Invalid")</f>
        <v>Valid</v>
      </c>
      <c r="AG645" s="16" t="str">
        <f t="shared" si="1301"/>
        <v>Valid</v>
      </c>
      <c r="AH645" s="16" t="str">
        <f t="shared" ref="AH645:AI645" si="1302">IF(OR(B645="",ISBLANK(B645)),"Missing","Valid")</f>
        <v>Valid</v>
      </c>
      <c r="AI645" s="16" t="str">
        <f t="shared" si="1302"/>
        <v>Valid</v>
      </c>
      <c r="AJ645" s="16" t="b">
        <v>0</v>
      </c>
      <c r="AK645" s="16" t="b">
        <v>0</v>
      </c>
      <c r="AL645" s="16" t="b">
        <v>0</v>
      </c>
      <c r="AM645" s="16" t="b">
        <v>0</v>
      </c>
      <c r="AN645" s="16" t="b">
        <v>0</v>
      </c>
      <c r="AO645" s="16" t="b">
        <v>0</v>
      </c>
      <c r="AP645" s="16" t="b">
        <v>0</v>
      </c>
      <c r="AQ645" s="17">
        <f t="shared" si="9"/>
        <v>0.15</v>
      </c>
      <c r="AR645" s="12">
        <f t="shared" si="10"/>
        <v>26324.023999999998</v>
      </c>
      <c r="AS645" s="18">
        <f t="shared" si="11"/>
        <v>-3.9999999971769284E-3</v>
      </c>
      <c r="AT645" s="12">
        <f t="shared" si="12"/>
        <v>10046.063999999998</v>
      </c>
      <c r="AU645" s="18">
        <f t="shared" si="13"/>
        <v>-3.9999999989959178E-3</v>
      </c>
      <c r="AV645" s="19">
        <f t="shared" si="14"/>
        <v>0.3816310150758106</v>
      </c>
      <c r="AW645" s="20" t="str">
        <f t="shared" si="15"/>
        <v>February</v>
      </c>
      <c r="AX645" s="21">
        <f t="shared" si="16"/>
        <v>2024</v>
      </c>
    </row>
    <row r="646" spans="1:50" ht="15.75" customHeight="1">
      <c r="A646" s="10" t="s">
        <v>2051</v>
      </c>
      <c r="B646" s="11">
        <v>45757</v>
      </c>
      <c r="C646" s="11">
        <v>45764</v>
      </c>
      <c r="D646" s="10" t="s">
        <v>2052</v>
      </c>
      <c r="E646" s="10" t="s">
        <v>100</v>
      </c>
      <c r="F646" s="10" t="s">
        <v>53</v>
      </c>
      <c r="G646" s="10" t="s">
        <v>67</v>
      </c>
      <c r="H646" s="10" t="s">
        <v>128</v>
      </c>
      <c r="I646" s="10" t="s">
        <v>129</v>
      </c>
      <c r="J646" s="10" t="s">
        <v>70</v>
      </c>
      <c r="K646" s="10" t="s">
        <v>95</v>
      </c>
      <c r="L646" s="10" t="s">
        <v>2053</v>
      </c>
      <c r="M646" s="10" t="s">
        <v>88</v>
      </c>
      <c r="N646" s="12">
        <v>4</v>
      </c>
      <c r="O646" s="12">
        <v>3750.02</v>
      </c>
      <c r="P646" s="12">
        <v>0.05</v>
      </c>
      <c r="Q646" s="12">
        <v>14250.08</v>
      </c>
      <c r="R646" s="12">
        <v>10914.92</v>
      </c>
      <c r="S646" s="12">
        <v>3335.16</v>
      </c>
      <c r="T646" s="10" t="s">
        <v>61</v>
      </c>
      <c r="U646" s="13" t="s">
        <v>62</v>
      </c>
      <c r="V646" s="14" t="e">
        <f t="shared" ca="1" si="0"/>
        <v>#NAME?</v>
      </c>
      <c r="W646" s="10" t="str">
        <f ca="1">IFERROR(__xludf.DUMMYFUNCTION("IF(COUNTIF($A:$A,A640)=1,
""Unique"",
IF(COUNTUNIQUE(FILTER($V$2:$V$934,$A$2:$A$934=A640))&gt;1,
""Conflicting Duplicate"",
""Exact Duplicate""))"),"Unique")</f>
        <v>Unique</v>
      </c>
      <c r="X646" s="10" t="b">
        <f t="shared" ca="1" si="1"/>
        <v>1</v>
      </c>
      <c r="Y646" s="10" t="str">
        <f t="shared" si="2"/>
        <v>Unique</v>
      </c>
      <c r="Z646" s="10"/>
      <c r="AA646" s="10" t="str">
        <f t="shared" si="3"/>
        <v>Clean</v>
      </c>
      <c r="AB646" s="15" t="str">
        <f t="shared" si="4"/>
        <v>Valid</v>
      </c>
      <c r="AC646" s="15">
        <v>7</v>
      </c>
      <c r="AD646" s="16" t="str">
        <f t="shared" si="5"/>
        <v>Valid</v>
      </c>
      <c r="AE646" s="16" t="str">
        <f t="shared" si="6"/>
        <v>Valid</v>
      </c>
      <c r="AF646" s="16" t="str">
        <f t="shared" ref="AF646:AG646" si="1303">IF(ISNUMBER(B646),"Valid","Invalid")</f>
        <v>Valid</v>
      </c>
      <c r="AG646" s="16" t="str">
        <f t="shared" si="1303"/>
        <v>Valid</v>
      </c>
      <c r="AH646" s="16" t="str">
        <f t="shared" ref="AH646:AI646" si="1304">IF(OR(B646="",ISBLANK(B646)),"Missing","Valid")</f>
        <v>Valid</v>
      </c>
      <c r="AI646" s="16" t="str">
        <f t="shared" si="1304"/>
        <v>Valid</v>
      </c>
      <c r="AJ646" s="16" t="b">
        <v>0</v>
      </c>
      <c r="AK646" s="16" t="b">
        <v>0</v>
      </c>
      <c r="AL646" s="16" t="b">
        <v>0</v>
      </c>
      <c r="AM646" s="16" t="b">
        <v>0</v>
      </c>
      <c r="AN646" s="16" t="b">
        <v>0</v>
      </c>
      <c r="AO646" s="16" t="b">
        <v>0</v>
      </c>
      <c r="AP646" s="16" t="b">
        <v>0</v>
      </c>
      <c r="AQ646" s="17">
        <f t="shared" si="9"/>
        <v>0.05</v>
      </c>
      <c r="AR646" s="12">
        <f t="shared" si="10"/>
        <v>14250.075999999999</v>
      </c>
      <c r="AS646" s="18">
        <f t="shared" si="11"/>
        <v>4.0000000008149073E-3</v>
      </c>
      <c r="AT646" s="12">
        <f t="shared" si="12"/>
        <v>3335.155999999999</v>
      </c>
      <c r="AU646" s="18">
        <f t="shared" si="13"/>
        <v>4.0000000008149073E-3</v>
      </c>
      <c r="AV646" s="19">
        <f t="shared" si="14"/>
        <v>0.23404478684885605</v>
      </c>
      <c r="AW646" s="20" t="str">
        <f t="shared" si="15"/>
        <v>April</v>
      </c>
      <c r="AX646" s="21">
        <f t="shared" si="16"/>
        <v>2025</v>
      </c>
    </row>
    <row r="647" spans="1:50" ht="15.75" customHeight="1">
      <c r="A647" s="10" t="s">
        <v>2054</v>
      </c>
      <c r="B647" s="11">
        <v>45295</v>
      </c>
      <c r="C647" s="11">
        <v>45300</v>
      </c>
      <c r="D647" s="10" t="s">
        <v>2055</v>
      </c>
      <c r="E647" s="10" t="s">
        <v>294</v>
      </c>
      <c r="F647" s="10" t="s">
        <v>53</v>
      </c>
      <c r="G647" s="10" t="s">
        <v>67</v>
      </c>
      <c r="H647" s="10" t="s">
        <v>174</v>
      </c>
      <c r="I647" s="10" t="s">
        <v>175</v>
      </c>
      <c r="J647" s="10" t="s">
        <v>70</v>
      </c>
      <c r="K647" s="10" t="s">
        <v>95</v>
      </c>
      <c r="L647" s="10" t="s">
        <v>2056</v>
      </c>
      <c r="M647" s="10" t="s">
        <v>60</v>
      </c>
      <c r="N647" s="12">
        <v>6</v>
      </c>
      <c r="O647" s="12">
        <v>2423.61</v>
      </c>
      <c r="P647" s="12">
        <v>0.1</v>
      </c>
      <c r="Q647" s="12">
        <v>13087.49</v>
      </c>
      <c r="R647" s="12">
        <v>7608.89</v>
      </c>
      <c r="S647" s="12">
        <v>5133.22</v>
      </c>
      <c r="T647" s="10" t="s">
        <v>61</v>
      </c>
      <c r="U647" s="13" t="s">
        <v>62</v>
      </c>
      <c r="V647" s="14" t="e">
        <f t="shared" ca="1" si="0"/>
        <v>#NAME?</v>
      </c>
      <c r="W647" s="10" t="str">
        <f ca="1">IFERROR(__xludf.DUMMYFUNCTION("IF(COUNTIF($A:$A,A641)=1,
""Unique"",
IF(COUNTUNIQUE(FILTER($V$2:$V$934,$A$2:$A$934=A641))&gt;1,
""Conflicting Duplicate"",
""Exact Duplicate""))"),"Unique")</f>
        <v>Unique</v>
      </c>
      <c r="X647" s="10" t="b">
        <f t="shared" ca="1" si="1"/>
        <v>1</v>
      </c>
      <c r="Y647" s="10" t="str">
        <f t="shared" si="2"/>
        <v>Unique</v>
      </c>
      <c r="Z647" s="10"/>
      <c r="AA647" s="10" t="str">
        <f t="shared" si="3"/>
        <v>Clean</v>
      </c>
      <c r="AB647" s="15" t="str">
        <f t="shared" si="4"/>
        <v>Valid</v>
      </c>
      <c r="AC647" s="15">
        <v>5</v>
      </c>
      <c r="AD647" s="16" t="str">
        <f t="shared" si="5"/>
        <v>Valid</v>
      </c>
      <c r="AE647" s="16" t="str">
        <f t="shared" si="6"/>
        <v>Valid</v>
      </c>
      <c r="AF647" s="16" t="str">
        <f t="shared" ref="AF647:AG647" si="1305">IF(ISNUMBER(B647),"Valid","Invalid")</f>
        <v>Valid</v>
      </c>
      <c r="AG647" s="16" t="str">
        <f t="shared" si="1305"/>
        <v>Valid</v>
      </c>
      <c r="AH647" s="16" t="str">
        <f t="shared" ref="AH647:AI647" si="1306">IF(OR(B647="",ISBLANK(B647)),"Missing","Valid")</f>
        <v>Valid</v>
      </c>
      <c r="AI647" s="16" t="str">
        <f t="shared" si="1306"/>
        <v>Valid</v>
      </c>
      <c r="AJ647" s="16" t="b">
        <v>0</v>
      </c>
      <c r="AK647" s="16" t="b">
        <v>0</v>
      </c>
      <c r="AL647" s="16" t="b">
        <v>0</v>
      </c>
      <c r="AM647" s="16" t="b">
        <v>0</v>
      </c>
      <c r="AN647" s="16" t="b">
        <v>0</v>
      </c>
      <c r="AO647" s="16" t="b">
        <v>0</v>
      </c>
      <c r="AP647" s="16" t="b">
        <v>0</v>
      </c>
      <c r="AQ647" s="17">
        <f t="shared" si="9"/>
        <v>0.1</v>
      </c>
      <c r="AR647" s="12">
        <f t="shared" si="10"/>
        <v>13087.494000000001</v>
      </c>
      <c r="AS647" s="18">
        <f t="shared" si="11"/>
        <v>-4.0000000008149073E-3</v>
      </c>
      <c r="AT647" s="12">
        <f t="shared" si="12"/>
        <v>5478.6040000000003</v>
      </c>
      <c r="AU647" s="18">
        <f t="shared" si="13"/>
        <v>-345.38400000000001</v>
      </c>
      <c r="AV647" s="19">
        <f t="shared" si="14"/>
        <v>0.41861367806548755</v>
      </c>
      <c r="AW647" s="20" t="str">
        <f t="shared" si="15"/>
        <v>January</v>
      </c>
      <c r="AX647" s="21">
        <f t="shared" si="16"/>
        <v>2024</v>
      </c>
    </row>
    <row r="648" spans="1:50" ht="15.75" customHeight="1">
      <c r="A648" s="10" t="s">
        <v>2057</v>
      </c>
      <c r="B648" s="11">
        <v>45553</v>
      </c>
      <c r="C648" s="11">
        <v>45559</v>
      </c>
      <c r="D648" s="10" t="s">
        <v>2058</v>
      </c>
      <c r="E648" s="10" t="s">
        <v>100</v>
      </c>
      <c r="F648" s="10" t="s">
        <v>66</v>
      </c>
      <c r="G648" s="10" t="s">
        <v>67</v>
      </c>
      <c r="H648" s="10" t="s">
        <v>258</v>
      </c>
      <c r="I648" s="10" t="s">
        <v>259</v>
      </c>
      <c r="J648" s="10" t="s">
        <v>103</v>
      </c>
      <c r="K648" s="10" t="s">
        <v>304</v>
      </c>
      <c r="L648" s="10" t="s">
        <v>2059</v>
      </c>
      <c r="M648" s="10" t="s">
        <v>79</v>
      </c>
      <c r="N648" s="12">
        <v>3</v>
      </c>
      <c r="O648" s="12">
        <v>729.14</v>
      </c>
      <c r="P648" s="12">
        <v>0.25</v>
      </c>
      <c r="Q648" s="12">
        <v>1640.57</v>
      </c>
      <c r="R648" s="12">
        <v>1136.98</v>
      </c>
      <c r="S648" s="12">
        <v>503.59</v>
      </c>
      <c r="T648" s="10" t="s">
        <v>61</v>
      </c>
      <c r="U648" s="13" t="s">
        <v>62</v>
      </c>
      <c r="V648" s="14" t="e">
        <f t="shared" ca="1" si="0"/>
        <v>#NAME?</v>
      </c>
      <c r="W648" s="10" t="str">
        <f ca="1">IFERROR(__xludf.DUMMYFUNCTION("IF(COUNTIF($A:$A,A642)=1,
""Unique"",
IF(COUNTUNIQUE(FILTER($V$2:$V$934,$A$2:$A$934=A642))&gt;1,
""Conflicting Duplicate"",
""Exact Duplicate""))"),"Unique")</f>
        <v>Unique</v>
      </c>
      <c r="X648" s="10" t="b">
        <f t="shared" ca="1" si="1"/>
        <v>1</v>
      </c>
      <c r="Y648" s="10" t="str">
        <f t="shared" si="2"/>
        <v>Unique</v>
      </c>
      <c r="Z648" s="10"/>
      <c r="AA648" s="10" t="str">
        <f t="shared" si="3"/>
        <v>Clean</v>
      </c>
      <c r="AB648" s="15" t="str">
        <f t="shared" si="4"/>
        <v>Valid</v>
      </c>
      <c r="AC648" s="15">
        <v>6</v>
      </c>
      <c r="AD648" s="16" t="str">
        <f t="shared" si="5"/>
        <v>Valid</v>
      </c>
      <c r="AE648" s="16" t="str">
        <f t="shared" si="6"/>
        <v>Valid</v>
      </c>
      <c r="AF648" s="16" t="str">
        <f t="shared" ref="AF648:AG648" si="1307">IF(ISNUMBER(B648),"Valid","Invalid")</f>
        <v>Valid</v>
      </c>
      <c r="AG648" s="16" t="str">
        <f t="shared" si="1307"/>
        <v>Valid</v>
      </c>
      <c r="AH648" s="16" t="str">
        <f t="shared" ref="AH648:AI648" si="1308">IF(OR(B648="",ISBLANK(B648)),"Missing","Valid")</f>
        <v>Valid</v>
      </c>
      <c r="AI648" s="16" t="str">
        <f t="shared" si="1308"/>
        <v>Valid</v>
      </c>
      <c r="AJ648" s="16" t="b">
        <v>0</v>
      </c>
      <c r="AK648" s="16" t="b">
        <v>0</v>
      </c>
      <c r="AL648" s="16" t="b">
        <v>0</v>
      </c>
      <c r="AM648" s="16" t="b">
        <v>0</v>
      </c>
      <c r="AN648" s="16" t="b">
        <v>0</v>
      </c>
      <c r="AO648" s="16" t="b">
        <v>0</v>
      </c>
      <c r="AP648" s="16" t="b">
        <v>0</v>
      </c>
      <c r="AQ648" s="17">
        <f t="shared" si="9"/>
        <v>0.25</v>
      </c>
      <c r="AR648" s="12">
        <f t="shared" si="10"/>
        <v>1640.5650000000001</v>
      </c>
      <c r="AS648" s="18">
        <f t="shared" si="11"/>
        <v>4.9999999998817657E-3</v>
      </c>
      <c r="AT648" s="12">
        <f t="shared" si="12"/>
        <v>503.58500000000004</v>
      </c>
      <c r="AU648" s="18">
        <f t="shared" si="13"/>
        <v>4.9999999999386091E-3</v>
      </c>
      <c r="AV648" s="19">
        <f t="shared" si="14"/>
        <v>0.30695827352162214</v>
      </c>
      <c r="AW648" s="20" t="str">
        <f t="shared" si="15"/>
        <v>September</v>
      </c>
      <c r="AX648" s="21">
        <f t="shared" si="16"/>
        <v>2024</v>
      </c>
    </row>
    <row r="649" spans="1:50" ht="15.75" customHeight="1">
      <c r="A649" s="10" t="s">
        <v>2060</v>
      </c>
      <c r="B649" s="11">
        <v>45658</v>
      </c>
      <c r="C649" s="11">
        <v>45666</v>
      </c>
      <c r="D649" s="10" t="s">
        <v>2061</v>
      </c>
      <c r="E649" s="10" t="s">
        <v>170</v>
      </c>
      <c r="F649" s="10" t="s">
        <v>66</v>
      </c>
      <c r="G649" s="10" t="s">
        <v>54</v>
      </c>
      <c r="H649" s="10" t="s">
        <v>151</v>
      </c>
      <c r="I649" s="10" t="s">
        <v>152</v>
      </c>
      <c r="J649" s="10" t="s">
        <v>57</v>
      </c>
      <c r="K649" s="10" t="s">
        <v>77</v>
      </c>
      <c r="L649" s="10" t="s">
        <v>2062</v>
      </c>
      <c r="M649" s="10" t="s">
        <v>79</v>
      </c>
      <c r="N649" s="12">
        <v>8</v>
      </c>
      <c r="O649" s="12">
        <v>2123.81</v>
      </c>
      <c r="P649" s="12">
        <v>0.15</v>
      </c>
      <c r="Q649" s="12">
        <v>14441.91</v>
      </c>
      <c r="R649" s="12">
        <v>10872.89</v>
      </c>
      <c r="S649" s="12">
        <v>3569.02</v>
      </c>
      <c r="T649" s="10" t="s">
        <v>61</v>
      </c>
      <c r="U649" s="13" t="s">
        <v>62</v>
      </c>
      <c r="V649" s="14" t="e">
        <f t="shared" ca="1" si="0"/>
        <v>#NAME?</v>
      </c>
      <c r="W649" s="10" t="str">
        <f ca="1">IFERROR(__xludf.DUMMYFUNCTION("IF(COUNTIF($A:$A,A643)=1,
""Unique"",
IF(COUNTUNIQUE(FILTER($V$2:$V$934,$A$2:$A$934=A643))&gt;1,
""Conflicting Duplicate"",
""Exact Duplicate""))"),"Unique")</f>
        <v>Unique</v>
      </c>
      <c r="X649" s="10" t="b">
        <f t="shared" ca="1" si="1"/>
        <v>1</v>
      </c>
      <c r="Y649" s="10" t="str">
        <f t="shared" si="2"/>
        <v>Unique</v>
      </c>
      <c r="Z649" s="10"/>
      <c r="AA649" s="10" t="str">
        <f t="shared" si="3"/>
        <v>Clean</v>
      </c>
      <c r="AB649" s="15" t="str">
        <f t="shared" si="4"/>
        <v>Valid</v>
      </c>
      <c r="AC649" s="15">
        <v>8</v>
      </c>
      <c r="AD649" s="16" t="str">
        <f t="shared" si="5"/>
        <v>Valid</v>
      </c>
      <c r="AE649" s="16" t="str">
        <f t="shared" si="6"/>
        <v>Valid</v>
      </c>
      <c r="AF649" s="16" t="str">
        <f t="shared" ref="AF649:AG649" si="1309">IF(ISNUMBER(B649),"Valid","Invalid")</f>
        <v>Valid</v>
      </c>
      <c r="AG649" s="16" t="str">
        <f t="shared" si="1309"/>
        <v>Valid</v>
      </c>
      <c r="AH649" s="16" t="str">
        <f t="shared" ref="AH649:AI649" si="1310">IF(OR(B649="",ISBLANK(B649)),"Missing","Valid")</f>
        <v>Valid</v>
      </c>
      <c r="AI649" s="16" t="str">
        <f t="shared" si="1310"/>
        <v>Valid</v>
      </c>
      <c r="AJ649" s="16" t="b">
        <v>0</v>
      </c>
      <c r="AK649" s="16" t="b">
        <v>0</v>
      </c>
      <c r="AL649" s="16" t="b">
        <v>0</v>
      </c>
      <c r="AM649" s="16" t="b">
        <v>0</v>
      </c>
      <c r="AN649" s="16" t="b">
        <v>0</v>
      </c>
      <c r="AO649" s="16" t="b">
        <v>0</v>
      </c>
      <c r="AP649" s="16" t="b">
        <v>0</v>
      </c>
      <c r="AQ649" s="17">
        <f t="shared" si="9"/>
        <v>0.15</v>
      </c>
      <c r="AR649" s="12">
        <f t="shared" si="10"/>
        <v>14441.907999999999</v>
      </c>
      <c r="AS649" s="18">
        <f t="shared" si="11"/>
        <v>2.0000000004074536E-3</v>
      </c>
      <c r="AT649" s="12">
        <f t="shared" si="12"/>
        <v>3569.018</v>
      </c>
      <c r="AU649" s="18">
        <f t="shared" si="13"/>
        <v>1.9999999999527063E-3</v>
      </c>
      <c r="AV649" s="19">
        <f t="shared" si="14"/>
        <v>0.24712925743606731</v>
      </c>
      <c r="AW649" s="20" t="str">
        <f t="shared" si="15"/>
        <v>January</v>
      </c>
      <c r="AX649" s="21">
        <f t="shared" si="16"/>
        <v>2025</v>
      </c>
    </row>
    <row r="650" spans="1:50" ht="15.75" customHeight="1">
      <c r="A650" s="10" t="s">
        <v>2063</v>
      </c>
      <c r="B650" s="11">
        <v>45403</v>
      </c>
      <c r="C650" s="11">
        <v>45406</v>
      </c>
      <c r="D650" s="10" t="s">
        <v>2064</v>
      </c>
      <c r="E650" s="10" t="s">
        <v>108</v>
      </c>
      <c r="F650" s="10" t="s">
        <v>66</v>
      </c>
      <c r="G650" s="10" t="s">
        <v>83</v>
      </c>
      <c r="H650" s="10" t="s">
        <v>113</v>
      </c>
      <c r="I650" s="10" t="s">
        <v>114</v>
      </c>
      <c r="J650" s="10" t="s">
        <v>57</v>
      </c>
      <c r="K650" s="10" t="s">
        <v>77</v>
      </c>
      <c r="L650" s="10" t="s">
        <v>2065</v>
      </c>
      <c r="M650" s="10" t="s">
        <v>73</v>
      </c>
      <c r="N650" s="12">
        <v>9</v>
      </c>
      <c r="O650" s="12">
        <v>703.59</v>
      </c>
      <c r="P650" s="12">
        <v>0.2</v>
      </c>
      <c r="Q650" s="12">
        <v>5065.8500000000004</v>
      </c>
      <c r="R650" s="12">
        <v>3517.23</v>
      </c>
      <c r="S650" s="12">
        <v>1548.62</v>
      </c>
      <c r="T650" s="10" t="s">
        <v>184</v>
      </c>
      <c r="U650" s="13" t="s">
        <v>132</v>
      </c>
      <c r="V650" s="14" t="e">
        <f t="shared" ca="1" si="0"/>
        <v>#NAME?</v>
      </c>
      <c r="W650" s="10" t="str">
        <f ca="1">IFERROR(__xludf.DUMMYFUNCTION("IF(COUNTIF($A:$A,A644)=1,
""Unique"",
IF(COUNTUNIQUE(FILTER($V$2:$V$934,$A$2:$A$934=A644))&gt;1,
""Conflicting Duplicate"",
""Exact Duplicate""))"),"Unique")</f>
        <v>Unique</v>
      </c>
      <c r="X650" s="10" t="b">
        <f t="shared" ca="1" si="1"/>
        <v>1</v>
      </c>
      <c r="Y650" s="10" t="str">
        <f t="shared" si="2"/>
        <v>Unique</v>
      </c>
      <c r="Z650" s="10"/>
      <c r="AA650" s="10" t="str">
        <f t="shared" si="3"/>
        <v>Clean</v>
      </c>
      <c r="AB650" s="15" t="str">
        <f t="shared" si="4"/>
        <v>Valid</v>
      </c>
      <c r="AC650" s="15">
        <v>3</v>
      </c>
      <c r="AD650" s="16" t="str">
        <f t="shared" si="5"/>
        <v>Valid</v>
      </c>
      <c r="AE650" s="16" t="str">
        <f t="shared" si="6"/>
        <v>Valid</v>
      </c>
      <c r="AF650" s="16" t="str">
        <f t="shared" ref="AF650:AG650" si="1311">IF(ISNUMBER(B650),"Valid","Invalid")</f>
        <v>Valid</v>
      </c>
      <c r="AG650" s="16" t="str">
        <f t="shared" si="1311"/>
        <v>Valid</v>
      </c>
      <c r="AH650" s="16" t="str">
        <f t="shared" ref="AH650:AI650" si="1312">IF(OR(B650="",ISBLANK(B650)),"Missing","Valid")</f>
        <v>Valid</v>
      </c>
      <c r="AI650" s="16" t="str">
        <f t="shared" si="1312"/>
        <v>Valid</v>
      </c>
      <c r="AJ650" s="16" t="b">
        <v>0</v>
      </c>
      <c r="AK650" s="16" t="b">
        <v>0</v>
      </c>
      <c r="AL650" s="16" t="b">
        <v>0</v>
      </c>
      <c r="AM650" s="16" t="b">
        <v>0</v>
      </c>
      <c r="AN650" s="16" t="b">
        <v>0</v>
      </c>
      <c r="AO650" s="16" t="b">
        <v>0</v>
      </c>
      <c r="AP650" s="16" t="b">
        <v>0</v>
      </c>
      <c r="AQ650" s="17">
        <f t="shared" si="9"/>
        <v>0.2</v>
      </c>
      <c r="AR650" s="12">
        <f t="shared" si="10"/>
        <v>5065.8480000000009</v>
      </c>
      <c r="AS650" s="18">
        <f t="shared" si="11"/>
        <v>1.9999999994979589E-3</v>
      </c>
      <c r="AT650" s="12">
        <f t="shared" si="12"/>
        <v>1548.6180000000008</v>
      </c>
      <c r="AU650" s="18">
        <f t="shared" si="13"/>
        <v>1.9999999990432116E-3</v>
      </c>
      <c r="AV650" s="19">
        <f t="shared" si="14"/>
        <v>0.30569768378364304</v>
      </c>
      <c r="AW650" s="20" t="str">
        <f t="shared" si="15"/>
        <v>April</v>
      </c>
      <c r="AX650" s="21">
        <f t="shared" si="16"/>
        <v>2024</v>
      </c>
    </row>
    <row r="651" spans="1:50" ht="15.75" customHeight="1">
      <c r="A651" s="10" t="s">
        <v>2066</v>
      </c>
      <c r="B651" s="11">
        <v>45880</v>
      </c>
      <c r="C651" s="11">
        <v>45888</v>
      </c>
      <c r="D651" s="10" t="s">
        <v>2067</v>
      </c>
      <c r="E651" s="10" t="s">
        <v>294</v>
      </c>
      <c r="F651" s="10" t="s">
        <v>66</v>
      </c>
      <c r="G651" s="10" t="s">
        <v>83</v>
      </c>
      <c r="H651" s="10" t="s">
        <v>214</v>
      </c>
      <c r="I651" s="10" t="s">
        <v>215</v>
      </c>
      <c r="J651" s="10" t="s">
        <v>103</v>
      </c>
      <c r="K651" s="10" t="s">
        <v>104</v>
      </c>
      <c r="L651" s="10" t="s">
        <v>2068</v>
      </c>
      <c r="M651" s="10" t="s">
        <v>88</v>
      </c>
      <c r="N651" s="12">
        <v>4</v>
      </c>
      <c r="O651" s="12">
        <v>2258.96</v>
      </c>
      <c r="P651" s="12">
        <v>0.25</v>
      </c>
      <c r="Q651" s="12">
        <v>6776.88</v>
      </c>
      <c r="R651" s="12">
        <v>3836.24</v>
      </c>
      <c r="S651" s="12">
        <v>2940.64</v>
      </c>
      <c r="T651" s="10" t="s">
        <v>61</v>
      </c>
      <c r="U651" s="13" t="s">
        <v>62</v>
      </c>
      <c r="V651" s="14" t="e">
        <f t="shared" ca="1" si="0"/>
        <v>#NAME?</v>
      </c>
      <c r="W651" s="10" t="str">
        <f ca="1">IFERROR(__xludf.DUMMYFUNCTION("IF(COUNTIF($A:$A,A645)=1,
""Unique"",
IF(COUNTUNIQUE(FILTER($V$2:$V$934,$A$2:$A$934=A645))&gt;1,
""Conflicting Duplicate"",
""Exact Duplicate""))"),"Unique")</f>
        <v>Unique</v>
      </c>
      <c r="X651" s="10" t="b">
        <f t="shared" ca="1" si="1"/>
        <v>1</v>
      </c>
      <c r="Y651" s="10" t="str">
        <f t="shared" si="2"/>
        <v>Unique</v>
      </c>
      <c r="Z651" s="10"/>
      <c r="AA651" s="10" t="str">
        <f t="shared" si="3"/>
        <v>Clean</v>
      </c>
      <c r="AB651" s="15" t="str">
        <f t="shared" si="4"/>
        <v>Valid</v>
      </c>
      <c r="AC651" s="15">
        <v>8</v>
      </c>
      <c r="AD651" s="16" t="str">
        <f t="shared" si="5"/>
        <v>Valid</v>
      </c>
      <c r="AE651" s="16" t="str">
        <f t="shared" si="6"/>
        <v>Valid</v>
      </c>
      <c r="AF651" s="16" t="str">
        <f t="shared" ref="AF651:AG651" si="1313">IF(ISNUMBER(B651),"Valid","Invalid")</f>
        <v>Valid</v>
      </c>
      <c r="AG651" s="16" t="str">
        <f t="shared" si="1313"/>
        <v>Valid</v>
      </c>
      <c r="AH651" s="16" t="str">
        <f t="shared" ref="AH651:AI651" si="1314">IF(OR(B651="",ISBLANK(B651)),"Missing","Valid")</f>
        <v>Valid</v>
      </c>
      <c r="AI651" s="16" t="str">
        <f t="shared" si="1314"/>
        <v>Valid</v>
      </c>
      <c r="AJ651" s="16" t="b">
        <v>0</v>
      </c>
      <c r="AK651" s="16" t="b">
        <v>0</v>
      </c>
      <c r="AL651" s="16" t="b">
        <v>0</v>
      </c>
      <c r="AM651" s="16" t="b">
        <v>0</v>
      </c>
      <c r="AN651" s="16" t="b">
        <v>0</v>
      </c>
      <c r="AO651" s="16" t="b">
        <v>0</v>
      </c>
      <c r="AP651" s="16" t="b">
        <v>0</v>
      </c>
      <c r="AQ651" s="17">
        <f t="shared" si="9"/>
        <v>0.25</v>
      </c>
      <c r="AR651" s="12">
        <f t="shared" si="10"/>
        <v>6776.88</v>
      </c>
      <c r="AS651" s="18">
        <f t="shared" si="11"/>
        <v>0</v>
      </c>
      <c r="AT651" s="12">
        <f t="shared" si="12"/>
        <v>2940.6400000000003</v>
      </c>
      <c r="AU651" s="18">
        <f t="shared" si="13"/>
        <v>0</v>
      </c>
      <c r="AV651" s="19">
        <f t="shared" si="14"/>
        <v>0.43392239496641527</v>
      </c>
      <c r="AW651" s="20" t="str">
        <f t="shared" si="15"/>
        <v>August</v>
      </c>
      <c r="AX651" s="21">
        <f t="shared" si="16"/>
        <v>2025</v>
      </c>
    </row>
    <row r="652" spans="1:50" ht="15.75" customHeight="1">
      <c r="A652" s="10" t="s">
        <v>2069</v>
      </c>
      <c r="B652" s="11">
        <v>45395</v>
      </c>
      <c r="C652" s="11">
        <v>45403</v>
      </c>
      <c r="D652" s="10" t="s">
        <v>408</v>
      </c>
      <c r="E652" s="10" t="s">
        <v>157</v>
      </c>
      <c r="F652" s="10" t="s">
        <v>124</v>
      </c>
      <c r="G652" s="10" t="s">
        <v>67</v>
      </c>
      <c r="H652" s="10" t="s">
        <v>174</v>
      </c>
      <c r="I652" s="10" t="s">
        <v>175</v>
      </c>
      <c r="J652" s="10" t="s">
        <v>103</v>
      </c>
      <c r="K652" s="10" t="s">
        <v>104</v>
      </c>
      <c r="L652" s="10" t="s">
        <v>2070</v>
      </c>
      <c r="M652" s="10" t="s">
        <v>73</v>
      </c>
      <c r="N652" s="12">
        <v>7</v>
      </c>
      <c r="O652" s="12">
        <v>2648.76</v>
      </c>
      <c r="P652" s="12">
        <v>0.15</v>
      </c>
      <c r="Q652" s="12">
        <v>15760.12</v>
      </c>
      <c r="R652" s="12">
        <v>9931.5300000000007</v>
      </c>
      <c r="S652" s="12">
        <v>5828.59</v>
      </c>
      <c r="T652" s="10" t="s">
        <v>184</v>
      </c>
      <c r="U652" s="13" t="s">
        <v>132</v>
      </c>
      <c r="V652" s="14" t="e">
        <f t="shared" ca="1" si="0"/>
        <v>#NAME?</v>
      </c>
      <c r="W652" s="10" t="str">
        <f ca="1">IFERROR(__xludf.DUMMYFUNCTION("IF(COUNTIF($A:$A,A646)=1,
""Unique"",
IF(COUNTUNIQUE(FILTER($V$2:$V$934,$A$2:$A$934=A646))&gt;1,
""Conflicting Duplicate"",
""Exact Duplicate""))"),"Unique")</f>
        <v>Unique</v>
      </c>
      <c r="X652" s="10" t="b">
        <f t="shared" ca="1" si="1"/>
        <v>1</v>
      </c>
      <c r="Y652" s="10" t="str">
        <f t="shared" si="2"/>
        <v>Unique</v>
      </c>
      <c r="Z652" s="10"/>
      <c r="AA652" s="10" t="str">
        <f t="shared" si="3"/>
        <v>Clean</v>
      </c>
      <c r="AB652" s="15" t="str">
        <f t="shared" si="4"/>
        <v>Valid</v>
      </c>
      <c r="AC652" s="15">
        <v>8</v>
      </c>
      <c r="AD652" s="16" t="str">
        <f t="shared" si="5"/>
        <v>Valid</v>
      </c>
      <c r="AE652" s="16" t="str">
        <f t="shared" si="6"/>
        <v>Valid</v>
      </c>
      <c r="AF652" s="16" t="str">
        <f t="shared" ref="AF652:AG652" si="1315">IF(ISNUMBER(B652),"Valid","Invalid")</f>
        <v>Valid</v>
      </c>
      <c r="AG652" s="16" t="str">
        <f t="shared" si="1315"/>
        <v>Valid</v>
      </c>
      <c r="AH652" s="16" t="str">
        <f t="shared" ref="AH652:AI652" si="1316">IF(OR(B652="",ISBLANK(B652)),"Missing","Valid")</f>
        <v>Valid</v>
      </c>
      <c r="AI652" s="16" t="str">
        <f t="shared" si="1316"/>
        <v>Valid</v>
      </c>
      <c r="AJ652" s="16" t="b">
        <v>0</v>
      </c>
      <c r="AK652" s="16" t="b">
        <v>0</v>
      </c>
      <c r="AL652" s="16" t="b">
        <v>0</v>
      </c>
      <c r="AM652" s="16" t="b">
        <v>0</v>
      </c>
      <c r="AN652" s="16" t="b">
        <v>0</v>
      </c>
      <c r="AO652" s="16" t="b">
        <v>0</v>
      </c>
      <c r="AP652" s="16" t="b">
        <v>0</v>
      </c>
      <c r="AQ652" s="17">
        <f t="shared" si="9"/>
        <v>0.15</v>
      </c>
      <c r="AR652" s="12">
        <f t="shared" si="10"/>
        <v>15760.121999999999</v>
      </c>
      <c r="AS652" s="18">
        <f t="shared" si="11"/>
        <v>-1.9999999985884642E-3</v>
      </c>
      <c r="AT652" s="12">
        <f t="shared" si="12"/>
        <v>5828.5919999999987</v>
      </c>
      <c r="AU652" s="18">
        <f t="shared" si="13"/>
        <v>-1.9999999985884642E-3</v>
      </c>
      <c r="AV652" s="19">
        <f t="shared" si="14"/>
        <v>0.36983165485647884</v>
      </c>
      <c r="AW652" s="20" t="str">
        <f t="shared" si="15"/>
        <v>April</v>
      </c>
      <c r="AX652" s="21">
        <f t="shared" si="16"/>
        <v>2024</v>
      </c>
    </row>
    <row r="653" spans="1:50" ht="15.75" customHeight="1">
      <c r="A653" s="10" t="s">
        <v>2071</v>
      </c>
      <c r="B653" s="11">
        <v>45875</v>
      </c>
      <c r="C653" s="11">
        <v>45878</v>
      </c>
      <c r="D653" s="10" t="s">
        <v>2072</v>
      </c>
      <c r="E653" s="10" t="s">
        <v>65</v>
      </c>
      <c r="F653" s="10" t="s">
        <v>66</v>
      </c>
      <c r="G653" s="10" t="s">
        <v>83</v>
      </c>
      <c r="H653" s="10" t="s">
        <v>113</v>
      </c>
      <c r="I653" s="10" t="s">
        <v>114</v>
      </c>
      <c r="J653" s="10" t="s">
        <v>57</v>
      </c>
      <c r="K653" s="10" t="s">
        <v>58</v>
      </c>
      <c r="L653" s="10" t="s">
        <v>2073</v>
      </c>
      <c r="M653" s="10" t="s">
        <v>60</v>
      </c>
      <c r="N653" s="12">
        <v>3</v>
      </c>
      <c r="O653" s="12">
        <v>598.54999999999995</v>
      </c>
      <c r="P653" s="12">
        <v>0</v>
      </c>
      <c r="Q653" s="12">
        <v>1795.65</v>
      </c>
      <c r="R653" s="12">
        <v>996.72</v>
      </c>
      <c r="S653" s="12">
        <v>798.93</v>
      </c>
      <c r="T653" s="10" t="s">
        <v>61</v>
      </c>
      <c r="U653" s="13" t="s">
        <v>62</v>
      </c>
      <c r="V653" s="14" t="e">
        <f t="shared" ca="1" si="0"/>
        <v>#NAME?</v>
      </c>
      <c r="W653" s="10" t="str">
        <f ca="1">IFERROR(__xludf.DUMMYFUNCTION("IF(COUNTIF($A:$A,A647)=1,
""Unique"",
IF(COUNTUNIQUE(FILTER($V$2:$V$934,$A$2:$A$934=A647))&gt;1,
""Conflicting Duplicate"",
""Exact Duplicate""))"),"Unique")</f>
        <v>Unique</v>
      </c>
      <c r="X653" s="10" t="b">
        <f t="shared" ca="1" si="1"/>
        <v>1</v>
      </c>
      <c r="Y653" s="10" t="str">
        <f t="shared" si="2"/>
        <v>Unique</v>
      </c>
      <c r="Z653" s="10"/>
      <c r="AA653" s="10" t="str">
        <f t="shared" si="3"/>
        <v>Clean</v>
      </c>
      <c r="AB653" s="15" t="str">
        <f t="shared" si="4"/>
        <v>Valid</v>
      </c>
      <c r="AC653" s="15">
        <v>3</v>
      </c>
      <c r="AD653" s="16" t="str">
        <f t="shared" si="5"/>
        <v>Valid</v>
      </c>
      <c r="AE653" s="16" t="str">
        <f t="shared" si="6"/>
        <v>Valid</v>
      </c>
      <c r="AF653" s="16" t="str">
        <f t="shared" ref="AF653:AG653" si="1317">IF(ISNUMBER(B653),"Valid","Invalid")</f>
        <v>Valid</v>
      </c>
      <c r="AG653" s="16" t="str">
        <f t="shared" si="1317"/>
        <v>Valid</v>
      </c>
      <c r="AH653" s="16" t="str">
        <f t="shared" ref="AH653:AI653" si="1318">IF(OR(B653="",ISBLANK(B653)),"Missing","Valid")</f>
        <v>Valid</v>
      </c>
      <c r="AI653" s="16" t="str">
        <f t="shared" si="1318"/>
        <v>Valid</v>
      </c>
      <c r="AJ653" s="16" t="b">
        <v>0</v>
      </c>
      <c r="AK653" s="16" t="b">
        <v>0</v>
      </c>
      <c r="AL653" s="16" t="b">
        <v>0</v>
      </c>
      <c r="AM653" s="16" t="b">
        <v>0</v>
      </c>
      <c r="AN653" s="16" t="b">
        <v>0</v>
      </c>
      <c r="AO653" s="16" t="b">
        <v>0</v>
      </c>
      <c r="AP653" s="16" t="b">
        <v>0</v>
      </c>
      <c r="AQ653" s="17">
        <f t="shared" si="9"/>
        <v>0</v>
      </c>
      <c r="AR653" s="12">
        <f t="shared" si="10"/>
        <v>1795.6499999999999</v>
      </c>
      <c r="AS653" s="18">
        <f t="shared" si="11"/>
        <v>0</v>
      </c>
      <c r="AT653" s="12">
        <f t="shared" si="12"/>
        <v>798.92999999999984</v>
      </c>
      <c r="AU653" s="18">
        <f t="shared" si="13"/>
        <v>0</v>
      </c>
      <c r="AV653" s="19">
        <f t="shared" si="14"/>
        <v>0.44492523598696843</v>
      </c>
      <c r="AW653" s="20" t="str">
        <f t="shared" si="15"/>
        <v>August</v>
      </c>
      <c r="AX653" s="21">
        <f t="shared" si="16"/>
        <v>2025</v>
      </c>
    </row>
    <row r="654" spans="1:50" ht="15.75" customHeight="1">
      <c r="A654" s="10" t="s">
        <v>2074</v>
      </c>
      <c r="B654" s="11">
        <v>45733</v>
      </c>
      <c r="C654" s="11">
        <v>45737</v>
      </c>
      <c r="D654" s="10" t="s">
        <v>1718</v>
      </c>
      <c r="E654" s="10" t="s">
        <v>161</v>
      </c>
      <c r="F654" s="10" t="s">
        <v>53</v>
      </c>
      <c r="G654" s="10" t="s">
        <v>54</v>
      </c>
      <c r="H654" s="10" t="s">
        <v>165</v>
      </c>
      <c r="I654" s="10" t="s">
        <v>166</v>
      </c>
      <c r="J654" s="10" t="s">
        <v>57</v>
      </c>
      <c r="K654" s="10" t="s">
        <v>182</v>
      </c>
      <c r="L654" s="10" t="s">
        <v>2075</v>
      </c>
      <c r="M654" s="10" t="s">
        <v>88</v>
      </c>
      <c r="N654" s="12">
        <v>5</v>
      </c>
      <c r="O654" s="12">
        <v>4320.59</v>
      </c>
      <c r="P654" s="12">
        <v>0.15</v>
      </c>
      <c r="Q654" s="12">
        <v>18362.509999999998</v>
      </c>
      <c r="R654" s="12">
        <v>11133.97</v>
      </c>
      <c r="S654" s="12">
        <v>7228.54</v>
      </c>
      <c r="T654" s="10" t="s">
        <v>61</v>
      </c>
      <c r="U654" s="13" t="s">
        <v>62</v>
      </c>
      <c r="V654" s="14" t="e">
        <f t="shared" ca="1" si="0"/>
        <v>#NAME?</v>
      </c>
      <c r="W654" s="10" t="str">
        <f ca="1">IFERROR(__xludf.DUMMYFUNCTION("IF(COUNTIF($A:$A,A648)=1,
""Unique"",
IF(COUNTUNIQUE(FILTER($V$2:$V$934,$A$2:$A$934=A648))&gt;1,
""Conflicting Duplicate"",
""Exact Duplicate""))"),"Unique")</f>
        <v>Unique</v>
      </c>
      <c r="X654" s="10" t="b">
        <f t="shared" ca="1" si="1"/>
        <v>1</v>
      </c>
      <c r="Y654" s="10" t="str">
        <f t="shared" si="2"/>
        <v>Unique</v>
      </c>
      <c r="Z654" s="10"/>
      <c r="AA654" s="10" t="str">
        <f t="shared" si="3"/>
        <v>Clean</v>
      </c>
      <c r="AB654" s="15" t="str">
        <f t="shared" si="4"/>
        <v>Valid</v>
      </c>
      <c r="AC654" s="15">
        <v>4</v>
      </c>
      <c r="AD654" s="16" t="str">
        <f t="shared" si="5"/>
        <v>Valid</v>
      </c>
      <c r="AE654" s="16" t="str">
        <f t="shared" si="6"/>
        <v>Valid</v>
      </c>
      <c r="AF654" s="16" t="str">
        <f t="shared" ref="AF654:AG654" si="1319">IF(ISNUMBER(B654),"Valid","Invalid")</f>
        <v>Valid</v>
      </c>
      <c r="AG654" s="16" t="str">
        <f t="shared" si="1319"/>
        <v>Valid</v>
      </c>
      <c r="AH654" s="16" t="str">
        <f t="shared" ref="AH654:AI654" si="1320">IF(OR(B654="",ISBLANK(B654)),"Missing","Valid")</f>
        <v>Valid</v>
      </c>
      <c r="AI654" s="16" t="str">
        <f t="shared" si="1320"/>
        <v>Valid</v>
      </c>
      <c r="AJ654" s="16" t="b">
        <v>0</v>
      </c>
      <c r="AK654" s="16" t="b">
        <v>0</v>
      </c>
      <c r="AL654" s="16" t="b">
        <v>0</v>
      </c>
      <c r="AM654" s="16" t="b">
        <v>0</v>
      </c>
      <c r="AN654" s="16" t="b">
        <v>0</v>
      </c>
      <c r="AO654" s="16" t="b">
        <v>0</v>
      </c>
      <c r="AP654" s="16" t="b">
        <v>0</v>
      </c>
      <c r="AQ654" s="17">
        <f t="shared" si="9"/>
        <v>0.15</v>
      </c>
      <c r="AR654" s="12">
        <f t="shared" si="10"/>
        <v>18362.5075</v>
      </c>
      <c r="AS654" s="18">
        <f t="shared" si="11"/>
        <v>2.4999999986903276E-3</v>
      </c>
      <c r="AT654" s="12">
        <f t="shared" si="12"/>
        <v>7228.5375000000004</v>
      </c>
      <c r="AU654" s="18">
        <f t="shared" si="13"/>
        <v>2.4999999995998223E-3</v>
      </c>
      <c r="AV654" s="19">
        <f t="shared" si="14"/>
        <v>0.39365742941153326</v>
      </c>
      <c r="AW654" s="20" t="str">
        <f t="shared" si="15"/>
        <v>March</v>
      </c>
      <c r="AX654" s="21">
        <f t="shared" si="16"/>
        <v>2025</v>
      </c>
    </row>
    <row r="655" spans="1:50" ht="15.75" customHeight="1">
      <c r="A655" s="10" t="s">
        <v>2076</v>
      </c>
      <c r="B655" s="11">
        <v>45751</v>
      </c>
      <c r="C655" s="11">
        <v>45754</v>
      </c>
      <c r="D655" s="10" t="s">
        <v>2077</v>
      </c>
      <c r="E655" s="10" t="s">
        <v>143</v>
      </c>
      <c r="F655" s="10" t="s">
        <v>66</v>
      </c>
      <c r="G655" s="10" t="s">
        <v>83</v>
      </c>
      <c r="H655" s="10" t="s">
        <v>277</v>
      </c>
      <c r="I655" s="10" t="s">
        <v>278</v>
      </c>
      <c r="J655" s="10" t="s">
        <v>103</v>
      </c>
      <c r="K655" s="10" t="s">
        <v>109</v>
      </c>
      <c r="L655" s="10" t="s">
        <v>2078</v>
      </c>
      <c r="M655" s="10" t="s">
        <v>60</v>
      </c>
      <c r="N655" s="12">
        <v>7</v>
      </c>
      <c r="O655" s="12">
        <v>4457.93</v>
      </c>
      <c r="P655" s="12">
        <v>0.15</v>
      </c>
      <c r="Q655" s="12">
        <v>26524.68</v>
      </c>
      <c r="R655" s="12">
        <v>20574.3</v>
      </c>
      <c r="S655" s="12">
        <v>5950.38</v>
      </c>
      <c r="T655" s="10" t="s">
        <v>61</v>
      </c>
      <c r="U655" s="13" t="s">
        <v>62</v>
      </c>
      <c r="V655" s="14" t="e">
        <f t="shared" ca="1" si="0"/>
        <v>#NAME?</v>
      </c>
      <c r="W655" s="10" t="str">
        <f ca="1">IFERROR(__xludf.DUMMYFUNCTION("IF(COUNTIF($A:$A,A649)=1,
""Unique"",
IF(COUNTUNIQUE(FILTER($V$2:$V$934,$A$2:$A$934=A649))&gt;1,
""Conflicting Duplicate"",
""Exact Duplicate""))"),"Unique")</f>
        <v>Unique</v>
      </c>
      <c r="X655" s="10" t="b">
        <f t="shared" ca="1" si="1"/>
        <v>1</v>
      </c>
      <c r="Y655" s="10" t="str">
        <f t="shared" si="2"/>
        <v>Unique</v>
      </c>
      <c r="Z655" s="10"/>
      <c r="AA655" s="10" t="str">
        <f t="shared" si="3"/>
        <v>Clean</v>
      </c>
      <c r="AB655" s="15" t="str">
        <f t="shared" si="4"/>
        <v>Valid</v>
      </c>
      <c r="AC655" s="15">
        <v>3</v>
      </c>
      <c r="AD655" s="16" t="str">
        <f t="shared" si="5"/>
        <v>Valid</v>
      </c>
      <c r="AE655" s="16" t="str">
        <f t="shared" si="6"/>
        <v>Valid</v>
      </c>
      <c r="AF655" s="16" t="str">
        <f t="shared" ref="AF655:AG655" si="1321">IF(ISNUMBER(B655),"Valid","Invalid")</f>
        <v>Valid</v>
      </c>
      <c r="AG655" s="16" t="str">
        <f t="shared" si="1321"/>
        <v>Valid</v>
      </c>
      <c r="AH655" s="16" t="str">
        <f t="shared" ref="AH655:AI655" si="1322">IF(OR(B655="",ISBLANK(B655)),"Missing","Valid")</f>
        <v>Valid</v>
      </c>
      <c r="AI655" s="16" t="str">
        <f t="shared" si="1322"/>
        <v>Valid</v>
      </c>
      <c r="AJ655" s="16" t="b">
        <v>0</v>
      </c>
      <c r="AK655" s="16" t="b">
        <v>0</v>
      </c>
      <c r="AL655" s="16" t="b">
        <v>0</v>
      </c>
      <c r="AM655" s="16" t="b">
        <v>0</v>
      </c>
      <c r="AN655" s="16" t="b">
        <v>0</v>
      </c>
      <c r="AO655" s="16" t="b">
        <v>0</v>
      </c>
      <c r="AP655" s="16" t="b">
        <v>0</v>
      </c>
      <c r="AQ655" s="17">
        <f t="shared" si="9"/>
        <v>0.15</v>
      </c>
      <c r="AR655" s="12">
        <f t="shared" si="10"/>
        <v>26524.683500000003</v>
      </c>
      <c r="AS655" s="18">
        <f t="shared" si="11"/>
        <v>-3.5000000025320332E-3</v>
      </c>
      <c r="AT655" s="12">
        <f t="shared" si="12"/>
        <v>5950.3835000000036</v>
      </c>
      <c r="AU655" s="18">
        <f t="shared" si="13"/>
        <v>-3.500000003441528E-3</v>
      </c>
      <c r="AV655" s="19">
        <f t="shared" si="14"/>
        <v>0.22433381721595294</v>
      </c>
      <c r="AW655" s="20" t="str">
        <f t="shared" si="15"/>
        <v>April</v>
      </c>
      <c r="AX655" s="21">
        <f t="shared" si="16"/>
        <v>2025</v>
      </c>
    </row>
    <row r="656" spans="1:50" ht="15.75" customHeight="1">
      <c r="A656" s="10" t="s">
        <v>2079</v>
      </c>
      <c r="B656" s="11">
        <v>45942</v>
      </c>
      <c r="C656" s="11">
        <v>45946</v>
      </c>
      <c r="D656" s="10" t="s">
        <v>957</v>
      </c>
      <c r="E656" s="10" t="s">
        <v>191</v>
      </c>
      <c r="F656" s="10" t="s">
        <v>119</v>
      </c>
      <c r="G656" s="10" t="s">
        <v>67</v>
      </c>
      <c r="H656" s="10" t="s">
        <v>174</v>
      </c>
      <c r="I656" s="10" t="s">
        <v>175</v>
      </c>
      <c r="J656" s="10" t="s">
        <v>103</v>
      </c>
      <c r="K656" s="10" t="s">
        <v>304</v>
      </c>
      <c r="L656" s="10" t="s">
        <v>2080</v>
      </c>
      <c r="M656" s="10" t="s">
        <v>73</v>
      </c>
      <c r="N656" s="12">
        <v>1</v>
      </c>
      <c r="O656" s="12">
        <v>2570.06</v>
      </c>
      <c r="P656" s="12">
        <v>0.2</v>
      </c>
      <c r="Q656" s="12">
        <v>2056.0500000000002</v>
      </c>
      <c r="R656" s="12">
        <v>1662.39</v>
      </c>
      <c r="S656" s="12">
        <v>393.66</v>
      </c>
      <c r="T656" s="10" t="s">
        <v>61</v>
      </c>
      <c r="U656" s="13" t="s">
        <v>62</v>
      </c>
      <c r="V656" s="14" t="e">
        <f t="shared" ca="1" si="0"/>
        <v>#NAME?</v>
      </c>
      <c r="W656" s="10" t="str">
        <f ca="1">IFERROR(__xludf.DUMMYFUNCTION("IF(COUNTIF($A:$A,A650)=1,
""Unique"",
IF(COUNTUNIQUE(FILTER($V$2:$V$934,$A$2:$A$934=A650))&gt;1,
""Conflicting Duplicate"",
""Exact Duplicate""))"),"Unique")</f>
        <v>Unique</v>
      </c>
      <c r="X656" s="10" t="b">
        <f t="shared" ca="1" si="1"/>
        <v>1</v>
      </c>
      <c r="Y656" s="10" t="str">
        <f t="shared" si="2"/>
        <v>Unique</v>
      </c>
      <c r="Z656" s="10"/>
      <c r="AA656" s="10" t="str">
        <f t="shared" si="3"/>
        <v>Clean</v>
      </c>
      <c r="AB656" s="15" t="str">
        <f t="shared" si="4"/>
        <v>Valid</v>
      </c>
      <c r="AC656" s="15">
        <v>4</v>
      </c>
      <c r="AD656" s="16" t="str">
        <f t="shared" si="5"/>
        <v>Valid</v>
      </c>
      <c r="AE656" s="16" t="str">
        <f t="shared" si="6"/>
        <v>Valid</v>
      </c>
      <c r="AF656" s="16" t="str">
        <f t="shared" ref="AF656:AG656" si="1323">IF(ISNUMBER(B656),"Valid","Invalid")</f>
        <v>Valid</v>
      </c>
      <c r="AG656" s="16" t="str">
        <f t="shared" si="1323"/>
        <v>Valid</v>
      </c>
      <c r="AH656" s="16" t="str">
        <f t="shared" ref="AH656:AI656" si="1324">IF(OR(B656="",ISBLANK(B656)),"Missing","Valid")</f>
        <v>Valid</v>
      </c>
      <c r="AI656" s="16" t="str">
        <f t="shared" si="1324"/>
        <v>Valid</v>
      </c>
      <c r="AJ656" s="16" t="b">
        <v>0</v>
      </c>
      <c r="AK656" s="16" t="b">
        <v>0</v>
      </c>
      <c r="AL656" s="16" t="b">
        <v>0</v>
      </c>
      <c r="AM656" s="16" t="b">
        <v>0</v>
      </c>
      <c r="AN656" s="16" t="b">
        <v>0</v>
      </c>
      <c r="AO656" s="16" t="b">
        <v>0</v>
      </c>
      <c r="AP656" s="16" t="b">
        <v>0</v>
      </c>
      <c r="AQ656" s="17">
        <f t="shared" si="9"/>
        <v>0.2</v>
      </c>
      <c r="AR656" s="12">
        <f t="shared" si="10"/>
        <v>2056.0480000000002</v>
      </c>
      <c r="AS656" s="18">
        <f t="shared" si="11"/>
        <v>1.9999999999527063E-3</v>
      </c>
      <c r="AT656" s="12">
        <f t="shared" si="12"/>
        <v>393.65800000000013</v>
      </c>
      <c r="AU656" s="18">
        <f t="shared" si="13"/>
        <v>1.9999999998958629E-3</v>
      </c>
      <c r="AV656" s="19">
        <f t="shared" si="14"/>
        <v>0.19146342886936496</v>
      </c>
      <c r="AW656" s="20" t="str">
        <f t="shared" si="15"/>
        <v>October</v>
      </c>
      <c r="AX656" s="21">
        <f t="shared" si="16"/>
        <v>2025</v>
      </c>
    </row>
    <row r="657" spans="1:50" ht="15.75" customHeight="1">
      <c r="A657" s="10" t="s">
        <v>2081</v>
      </c>
      <c r="B657" s="11">
        <v>45895</v>
      </c>
      <c r="C657" s="11">
        <v>45895</v>
      </c>
      <c r="D657" s="10" t="s">
        <v>2082</v>
      </c>
      <c r="E657" s="10" t="s">
        <v>108</v>
      </c>
      <c r="F657" s="10" t="s">
        <v>124</v>
      </c>
      <c r="G657" s="10" t="s">
        <v>67</v>
      </c>
      <c r="H657" s="10" t="s">
        <v>128</v>
      </c>
      <c r="I657" s="10" t="s">
        <v>129</v>
      </c>
      <c r="J657" s="10" t="s">
        <v>70</v>
      </c>
      <c r="K657" s="10" t="s">
        <v>86</v>
      </c>
      <c r="L657" s="10" t="s">
        <v>2083</v>
      </c>
      <c r="M657" s="10" t="s">
        <v>88</v>
      </c>
      <c r="N657" s="12">
        <v>4</v>
      </c>
      <c r="O657" s="12">
        <v>2151.8200000000002</v>
      </c>
      <c r="P657" s="12">
        <v>0</v>
      </c>
      <c r="Q657" s="12">
        <v>8607.2800000000007</v>
      </c>
      <c r="R657" s="12">
        <v>5124.01</v>
      </c>
      <c r="S657" s="12">
        <v>3483.27</v>
      </c>
      <c r="T657" s="10" t="s">
        <v>61</v>
      </c>
      <c r="U657" s="13" t="s">
        <v>62</v>
      </c>
      <c r="V657" s="14" t="e">
        <f t="shared" ca="1" si="0"/>
        <v>#NAME?</v>
      </c>
      <c r="W657" s="10" t="str">
        <f ca="1">IFERROR(__xludf.DUMMYFUNCTION("IF(COUNTIF($A:$A,A651)=1,
""Unique"",
IF(COUNTUNIQUE(FILTER($V$2:$V$934,$A$2:$A$934=A651))&gt;1,
""Conflicting Duplicate"",
""Exact Duplicate""))"),"Unique")</f>
        <v>Unique</v>
      </c>
      <c r="X657" s="10" t="b">
        <f t="shared" ca="1" si="1"/>
        <v>1</v>
      </c>
      <c r="Y657" s="10" t="str">
        <f t="shared" si="2"/>
        <v>Unique</v>
      </c>
      <c r="Z657" s="10"/>
      <c r="AA657" s="10" t="str">
        <f t="shared" si="3"/>
        <v>Clean</v>
      </c>
      <c r="AB657" s="15" t="str">
        <f t="shared" si="4"/>
        <v>Valid</v>
      </c>
      <c r="AC657" s="15">
        <v>0</v>
      </c>
      <c r="AD657" s="16" t="str">
        <f t="shared" si="5"/>
        <v>Valid</v>
      </c>
      <c r="AE657" s="16" t="str">
        <f t="shared" si="6"/>
        <v>Valid</v>
      </c>
      <c r="AF657" s="16" t="str">
        <f t="shared" ref="AF657:AG657" si="1325">IF(ISNUMBER(B657),"Valid","Invalid")</f>
        <v>Valid</v>
      </c>
      <c r="AG657" s="16" t="str">
        <f t="shared" si="1325"/>
        <v>Valid</v>
      </c>
      <c r="AH657" s="16" t="str">
        <f t="shared" ref="AH657:AI657" si="1326">IF(OR(B657="",ISBLANK(B657)),"Missing","Valid")</f>
        <v>Valid</v>
      </c>
      <c r="AI657" s="16" t="str">
        <f t="shared" si="1326"/>
        <v>Valid</v>
      </c>
      <c r="AJ657" s="16" t="b">
        <v>0</v>
      </c>
      <c r="AK657" s="16" t="b">
        <v>0</v>
      </c>
      <c r="AL657" s="16" t="b">
        <v>0</v>
      </c>
      <c r="AM657" s="16" t="b">
        <v>0</v>
      </c>
      <c r="AN657" s="16" t="b">
        <v>0</v>
      </c>
      <c r="AO657" s="16" t="b">
        <v>0</v>
      </c>
      <c r="AP657" s="16" t="b">
        <v>0</v>
      </c>
      <c r="AQ657" s="17">
        <f t="shared" si="9"/>
        <v>0</v>
      </c>
      <c r="AR657" s="12">
        <f t="shared" si="10"/>
        <v>8607.2800000000007</v>
      </c>
      <c r="AS657" s="18">
        <f t="shared" si="11"/>
        <v>0</v>
      </c>
      <c r="AT657" s="12">
        <f t="shared" si="12"/>
        <v>3483.2700000000004</v>
      </c>
      <c r="AU657" s="18">
        <f t="shared" si="13"/>
        <v>0</v>
      </c>
      <c r="AV657" s="19">
        <f t="shared" si="14"/>
        <v>0.40468882155570635</v>
      </c>
      <c r="AW657" s="20" t="str">
        <f t="shared" si="15"/>
        <v>August</v>
      </c>
      <c r="AX657" s="21">
        <f t="shared" si="16"/>
        <v>2025</v>
      </c>
    </row>
    <row r="658" spans="1:50" ht="15.75" customHeight="1">
      <c r="A658" s="10" t="s">
        <v>2084</v>
      </c>
      <c r="B658" s="11">
        <v>45419</v>
      </c>
      <c r="C658" s="11">
        <v>45426</v>
      </c>
      <c r="D658" s="10" t="s">
        <v>2085</v>
      </c>
      <c r="E658" s="10" t="s">
        <v>108</v>
      </c>
      <c r="F658" s="10" t="s">
        <v>66</v>
      </c>
      <c r="G658" s="10" t="s">
        <v>54</v>
      </c>
      <c r="H658" s="10" t="s">
        <v>266</v>
      </c>
      <c r="I658" s="10" t="s">
        <v>267</v>
      </c>
      <c r="J658" s="10" t="s">
        <v>103</v>
      </c>
      <c r="K658" s="10" t="s">
        <v>304</v>
      </c>
      <c r="L658" s="10" t="s">
        <v>2086</v>
      </c>
      <c r="M658" s="10" t="s">
        <v>73</v>
      </c>
      <c r="N658" s="12">
        <v>4</v>
      </c>
      <c r="O658" s="12">
        <v>2751.1</v>
      </c>
      <c r="P658" s="12">
        <v>-0.05</v>
      </c>
      <c r="Q658" s="12">
        <v>9903.9599999999991</v>
      </c>
      <c r="R658" s="12">
        <v>7696.28</v>
      </c>
      <c r="S658" s="12">
        <v>2207.6799999999998</v>
      </c>
      <c r="T658" s="10" t="s">
        <v>61</v>
      </c>
      <c r="U658" s="13" t="s">
        <v>62</v>
      </c>
      <c r="V658" s="14" t="e">
        <f t="shared" ca="1" si="0"/>
        <v>#NAME?</v>
      </c>
      <c r="W658" s="10" t="str">
        <f ca="1">IFERROR(__xludf.DUMMYFUNCTION("IF(COUNTIF($A:$A,A652)=1,
""Unique"",
IF(COUNTUNIQUE(FILTER($V$2:$V$934,$A$2:$A$934=A652))&gt;1,
""Conflicting Duplicate"",
""Exact Duplicate""))"),"Unique")</f>
        <v>Unique</v>
      </c>
      <c r="X658" s="10" t="b">
        <f t="shared" ca="1" si="1"/>
        <v>1</v>
      </c>
      <c r="Y658" s="10" t="str">
        <f t="shared" si="2"/>
        <v>Unique</v>
      </c>
      <c r="Z658" s="10"/>
      <c r="AA658" s="10" t="str">
        <f t="shared" si="3"/>
        <v>Invalid</v>
      </c>
      <c r="AB658" s="15" t="str">
        <f t="shared" si="4"/>
        <v>Valid</v>
      </c>
      <c r="AC658" s="15">
        <v>7</v>
      </c>
      <c r="AD658" s="16" t="str">
        <f t="shared" si="5"/>
        <v>Valid</v>
      </c>
      <c r="AE658" s="16" t="str">
        <f t="shared" si="6"/>
        <v>Valid</v>
      </c>
      <c r="AF658" s="16" t="str">
        <f t="shared" ref="AF658:AG658" si="1327">IF(ISNUMBER(B658),"Valid","Invalid")</f>
        <v>Valid</v>
      </c>
      <c r="AG658" s="16" t="str">
        <f t="shared" si="1327"/>
        <v>Valid</v>
      </c>
      <c r="AH658" s="16" t="str">
        <f t="shared" ref="AH658:AI658" si="1328">IF(OR(B658="",ISBLANK(B658)),"Missing","Valid")</f>
        <v>Valid</v>
      </c>
      <c r="AI658" s="16" t="str">
        <f t="shared" si="1328"/>
        <v>Valid</v>
      </c>
      <c r="AJ658" s="16" t="b">
        <v>0</v>
      </c>
      <c r="AK658" s="16" t="b">
        <v>0</v>
      </c>
      <c r="AL658" s="16" t="b">
        <v>0</v>
      </c>
      <c r="AM658" s="16" t="b">
        <v>1</v>
      </c>
      <c r="AN658" s="16" t="b">
        <v>0</v>
      </c>
      <c r="AO658" s="16" t="b">
        <v>0</v>
      </c>
      <c r="AP658" s="16" t="b">
        <v>1</v>
      </c>
      <c r="AQ658" s="17">
        <f t="shared" si="9"/>
        <v>-0.05</v>
      </c>
      <c r="AR658" s="12">
        <f t="shared" si="10"/>
        <v>11554.62</v>
      </c>
      <c r="AS658" s="18">
        <f t="shared" si="11"/>
        <v>-1650.6600000000017</v>
      </c>
      <c r="AT658" s="12">
        <f t="shared" si="12"/>
        <v>3858.3400000000011</v>
      </c>
      <c r="AU658" s="18">
        <f t="shared" si="13"/>
        <v>-1650.6600000000012</v>
      </c>
      <c r="AV658" s="19">
        <f t="shared" si="14"/>
        <v>0.33392184251840396</v>
      </c>
      <c r="AW658" s="20" t="str">
        <f t="shared" si="15"/>
        <v>May</v>
      </c>
      <c r="AX658" s="21">
        <f t="shared" si="16"/>
        <v>2024</v>
      </c>
    </row>
    <row r="659" spans="1:50" ht="15.75" customHeight="1">
      <c r="A659" s="10" t="s">
        <v>2087</v>
      </c>
      <c r="B659" s="11">
        <v>45876</v>
      </c>
      <c r="C659" s="11">
        <v>45879</v>
      </c>
      <c r="D659" s="10" t="s">
        <v>2088</v>
      </c>
      <c r="E659" s="10" t="s">
        <v>118</v>
      </c>
      <c r="F659" s="10" t="s">
        <v>124</v>
      </c>
      <c r="G659" s="10" t="s">
        <v>67</v>
      </c>
      <c r="H659" s="10" t="s">
        <v>174</v>
      </c>
      <c r="I659" s="10" t="s">
        <v>175</v>
      </c>
      <c r="J659" s="10" t="s">
        <v>57</v>
      </c>
      <c r="K659" s="10" t="s">
        <v>153</v>
      </c>
      <c r="L659" s="10" t="s">
        <v>2089</v>
      </c>
      <c r="M659" s="10" t="s">
        <v>60</v>
      </c>
      <c r="N659" s="12">
        <v>1</v>
      </c>
      <c r="O659" s="12">
        <v>2541.25</v>
      </c>
      <c r="P659" s="12">
        <v>0.2</v>
      </c>
      <c r="Q659" s="12">
        <v>2033</v>
      </c>
      <c r="R659" s="12">
        <v>1291.4100000000001</v>
      </c>
      <c r="S659" s="12">
        <v>741.59</v>
      </c>
      <c r="T659" s="10" t="s">
        <v>61</v>
      </c>
      <c r="U659" s="13" t="s">
        <v>62</v>
      </c>
      <c r="V659" s="14" t="e">
        <f t="shared" ca="1" si="0"/>
        <v>#NAME?</v>
      </c>
      <c r="W659" s="10" t="str">
        <f ca="1">IFERROR(__xludf.DUMMYFUNCTION("IF(COUNTIF($A:$A,A653)=1,
""Unique"",
IF(COUNTUNIQUE(FILTER($V$2:$V$934,$A$2:$A$934=A653))&gt;1,
""Conflicting Duplicate"",
""Exact Duplicate""))"),"Unique")</f>
        <v>Unique</v>
      </c>
      <c r="X659" s="10" t="b">
        <f t="shared" ca="1" si="1"/>
        <v>1</v>
      </c>
      <c r="Y659" s="10" t="str">
        <f t="shared" si="2"/>
        <v>Unique</v>
      </c>
      <c r="Z659" s="10"/>
      <c r="AA659" s="10" t="str">
        <f t="shared" si="3"/>
        <v>Clean</v>
      </c>
      <c r="AB659" s="15" t="str">
        <f t="shared" si="4"/>
        <v>Valid</v>
      </c>
      <c r="AC659" s="15">
        <v>3</v>
      </c>
      <c r="AD659" s="16" t="str">
        <f t="shared" si="5"/>
        <v>Valid</v>
      </c>
      <c r="AE659" s="16" t="str">
        <f t="shared" si="6"/>
        <v>Valid</v>
      </c>
      <c r="AF659" s="16" t="str">
        <f t="shared" ref="AF659:AG659" si="1329">IF(ISNUMBER(B659),"Valid","Invalid")</f>
        <v>Valid</v>
      </c>
      <c r="AG659" s="16" t="str">
        <f t="shared" si="1329"/>
        <v>Valid</v>
      </c>
      <c r="AH659" s="16" t="str">
        <f t="shared" ref="AH659:AI659" si="1330">IF(OR(B659="",ISBLANK(B659)),"Missing","Valid")</f>
        <v>Valid</v>
      </c>
      <c r="AI659" s="16" t="str">
        <f t="shared" si="1330"/>
        <v>Valid</v>
      </c>
      <c r="AJ659" s="16" t="b">
        <v>0</v>
      </c>
      <c r="AK659" s="16" t="b">
        <v>0</v>
      </c>
      <c r="AL659" s="16" t="b">
        <v>0</v>
      </c>
      <c r="AM659" s="16" t="b">
        <v>0</v>
      </c>
      <c r="AN659" s="16" t="b">
        <v>0</v>
      </c>
      <c r="AO659" s="16" t="b">
        <v>0</v>
      </c>
      <c r="AP659" s="16" t="b">
        <v>0</v>
      </c>
      <c r="AQ659" s="17">
        <f t="shared" si="9"/>
        <v>0.2</v>
      </c>
      <c r="AR659" s="12">
        <f t="shared" si="10"/>
        <v>2033</v>
      </c>
      <c r="AS659" s="18">
        <f t="shared" si="11"/>
        <v>0</v>
      </c>
      <c r="AT659" s="12">
        <f t="shared" si="12"/>
        <v>741.58999999999992</v>
      </c>
      <c r="AU659" s="18">
        <f t="shared" si="13"/>
        <v>0</v>
      </c>
      <c r="AV659" s="19">
        <f t="shared" si="14"/>
        <v>0.36477619281849477</v>
      </c>
      <c r="AW659" s="20" t="str">
        <f t="shared" si="15"/>
        <v>August</v>
      </c>
      <c r="AX659" s="21">
        <f t="shared" si="16"/>
        <v>2025</v>
      </c>
    </row>
    <row r="660" spans="1:50" ht="15.75" customHeight="1">
      <c r="A660" s="10" t="s">
        <v>2090</v>
      </c>
      <c r="B660" s="11">
        <v>45817</v>
      </c>
      <c r="C660" s="11">
        <v>45820</v>
      </c>
      <c r="D660" s="10" t="s">
        <v>2091</v>
      </c>
      <c r="E660" s="10" t="s">
        <v>161</v>
      </c>
      <c r="F660" s="10" t="s">
        <v>53</v>
      </c>
      <c r="G660" s="10" t="s">
        <v>234</v>
      </c>
      <c r="H660" s="10" t="s">
        <v>174</v>
      </c>
      <c r="I660" s="10" t="s">
        <v>175</v>
      </c>
      <c r="J660" s="10" t="s">
        <v>57</v>
      </c>
      <c r="K660" s="10" t="s">
        <v>77</v>
      </c>
      <c r="L660" s="10" t="s">
        <v>2092</v>
      </c>
      <c r="M660" s="10" t="s">
        <v>79</v>
      </c>
      <c r="N660" s="12">
        <v>7</v>
      </c>
      <c r="O660" s="12">
        <v>2852.42</v>
      </c>
      <c r="P660" s="12">
        <v>0</v>
      </c>
      <c r="Q660" s="12">
        <v>19966.939999999999</v>
      </c>
      <c r="R660" s="12">
        <v>12690.83</v>
      </c>
      <c r="S660" s="12">
        <v>7276.11</v>
      </c>
      <c r="T660" s="10" t="s">
        <v>131</v>
      </c>
      <c r="U660" s="13" t="s">
        <v>97</v>
      </c>
      <c r="V660" s="14" t="e">
        <f t="shared" ca="1" si="0"/>
        <v>#NAME?</v>
      </c>
      <c r="W660" s="10" t="str">
        <f ca="1">IFERROR(__xludf.DUMMYFUNCTION("IF(COUNTIF($A:$A,A654)=1,
""Unique"",
IF(COUNTUNIQUE(FILTER($V$2:$V$934,$A$2:$A$934=A654))&gt;1,
""Conflicting Duplicate"",
""Exact Duplicate""))"),"Unique")</f>
        <v>Unique</v>
      </c>
      <c r="X660" s="10" t="b">
        <f t="shared" ca="1" si="1"/>
        <v>1</v>
      </c>
      <c r="Y660" s="10" t="str">
        <f t="shared" si="2"/>
        <v>Unique</v>
      </c>
      <c r="Z660" s="10"/>
      <c r="AA660" s="10" t="str">
        <f t="shared" si="3"/>
        <v>Warning</v>
      </c>
      <c r="AB660" s="15" t="str">
        <f t="shared" si="4"/>
        <v>Valid</v>
      </c>
      <c r="AC660" s="15">
        <v>3</v>
      </c>
      <c r="AD660" s="16" t="str">
        <f t="shared" si="5"/>
        <v>Valid</v>
      </c>
      <c r="AE660" s="16" t="str">
        <f t="shared" si="6"/>
        <v>Valid</v>
      </c>
      <c r="AF660" s="16" t="str">
        <f t="shared" ref="AF660:AG660" si="1331">IF(ISNUMBER(B660),"Valid","Invalid")</f>
        <v>Valid</v>
      </c>
      <c r="AG660" s="16" t="str">
        <f t="shared" si="1331"/>
        <v>Valid</v>
      </c>
      <c r="AH660" s="16" t="str">
        <f t="shared" ref="AH660:AI660" si="1332">IF(OR(B660="",ISBLANK(B660)),"Missing","Valid")</f>
        <v>Valid</v>
      </c>
      <c r="AI660" s="16" t="str">
        <f t="shared" si="1332"/>
        <v>Valid</v>
      </c>
      <c r="AJ660" s="16" t="b">
        <v>1</v>
      </c>
      <c r="AK660" s="16" t="b">
        <v>0</v>
      </c>
      <c r="AL660" s="16" t="b">
        <v>0</v>
      </c>
      <c r="AM660" s="16" t="b">
        <v>0</v>
      </c>
      <c r="AN660" s="16" t="b">
        <v>0</v>
      </c>
      <c r="AO660" s="16" t="b">
        <v>0</v>
      </c>
      <c r="AP660" s="16" t="b">
        <v>1</v>
      </c>
      <c r="AQ660" s="17">
        <f t="shared" si="9"/>
        <v>0</v>
      </c>
      <c r="AR660" s="12">
        <f t="shared" si="10"/>
        <v>19966.940000000002</v>
      </c>
      <c r="AS660" s="18">
        <f t="shared" si="11"/>
        <v>0</v>
      </c>
      <c r="AT660" s="12">
        <f t="shared" si="12"/>
        <v>7276.1100000000024</v>
      </c>
      <c r="AU660" s="18">
        <f t="shared" si="13"/>
        <v>0</v>
      </c>
      <c r="AV660" s="19">
        <f t="shared" si="14"/>
        <v>0.36440786620283339</v>
      </c>
      <c r="AW660" s="20" t="str">
        <f t="shared" si="15"/>
        <v>June</v>
      </c>
      <c r="AX660" s="21">
        <f t="shared" si="16"/>
        <v>2025</v>
      </c>
    </row>
    <row r="661" spans="1:50" ht="15.75" customHeight="1">
      <c r="A661" s="10" t="s">
        <v>2093</v>
      </c>
      <c r="B661" s="11">
        <v>45678</v>
      </c>
      <c r="C661" s="11">
        <v>45679</v>
      </c>
      <c r="D661" s="10" t="s">
        <v>2094</v>
      </c>
      <c r="E661" s="10" t="s">
        <v>191</v>
      </c>
      <c r="F661" s="10" t="s">
        <v>119</v>
      </c>
      <c r="G661" s="10" t="s">
        <v>83</v>
      </c>
      <c r="H661" s="10" t="s">
        <v>204</v>
      </c>
      <c r="I661" s="10" t="s">
        <v>205</v>
      </c>
      <c r="J661" s="10" t="s">
        <v>103</v>
      </c>
      <c r="K661" s="10" t="s">
        <v>200</v>
      </c>
      <c r="L661" s="10" t="s">
        <v>2095</v>
      </c>
      <c r="M661" s="10" t="s">
        <v>60</v>
      </c>
      <c r="N661" s="12">
        <v>2</v>
      </c>
      <c r="O661" s="12">
        <v>444.31</v>
      </c>
      <c r="P661" s="12">
        <v>0.2</v>
      </c>
      <c r="Q661" s="12">
        <v>710.9</v>
      </c>
      <c r="R661" s="12">
        <v>513.88</v>
      </c>
      <c r="S661" s="12">
        <v>197.02</v>
      </c>
      <c r="T661" s="10" t="s">
        <v>131</v>
      </c>
      <c r="U661" s="13" t="s">
        <v>97</v>
      </c>
      <c r="V661" s="14" t="e">
        <f t="shared" ca="1" si="0"/>
        <v>#NAME?</v>
      </c>
      <c r="W661" s="10" t="str">
        <f ca="1">IFERROR(__xludf.DUMMYFUNCTION("IF(COUNTIF($A:$A,A655)=1,
""Unique"",
IF(COUNTUNIQUE(FILTER($V$2:$V$934,$A$2:$A$934=A655))&gt;1,
""Conflicting Duplicate"",
""Exact Duplicate""))"),"Unique")</f>
        <v>Unique</v>
      </c>
      <c r="X661" s="10" t="b">
        <f t="shared" ca="1" si="1"/>
        <v>1</v>
      </c>
      <c r="Y661" s="10" t="str">
        <f t="shared" si="2"/>
        <v>Unique</v>
      </c>
      <c r="Z661" s="10"/>
      <c r="AA661" s="10" t="str">
        <f t="shared" si="3"/>
        <v>Clean</v>
      </c>
      <c r="AB661" s="15" t="str">
        <f t="shared" si="4"/>
        <v>Valid</v>
      </c>
      <c r="AC661" s="15">
        <v>1</v>
      </c>
      <c r="AD661" s="16" t="str">
        <f t="shared" si="5"/>
        <v>Valid</v>
      </c>
      <c r="AE661" s="16" t="str">
        <f t="shared" si="6"/>
        <v>Valid</v>
      </c>
      <c r="AF661" s="16" t="str">
        <f t="shared" ref="AF661:AG661" si="1333">IF(ISNUMBER(B661),"Valid","Invalid")</f>
        <v>Valid</v>
      </c>
      <c r="AG661" s="16" t="str">
        <f t="shared" si="1333"/>
        <v>Valid</v>
      </c>
      <c r="AH661" s="16" t="str">
        <f t="shared" ref="AH661:AI661" si="1334">IF(OR(B661="",ISBLANK(B661)),"Missing","Valid")</f>
        <v>Valid</v>
      </c>
      <c r="AI661" s="16" t="str">
        <f t="shared" si="1334"/>
        <v>Valid</v>
      </c>
      <c r="AJ661" s="16" t="b">
        <v>0</v>
      </c>
      <c r="AK661" s="16" t="b">
        <v>0</v>
      </c>
      <c r="AL661" s="16" t="b">
        <v>0</v>
      </c>
      <c r="AM661" s="16" t="b">
        <v>0</v>
      </c>
      <c r="AN661" s="16" t="b">
        <v>0</v>
      </c>
      <c r="AO661" s="16" t="b">
        <v>0</v>
      </c>
      <c r="AP661" s="16" t="b">
        <v>0</v>
      </c>
      <c r="AQ661" s="17">
        <f t="shared" si="9"/>
        <v>0.2</v>
      </c>
      <c r="AR661" s="12">
        <f t="shared" si="10"/>
        <v>710.89600000000007</v>
      </c>
      <c r="AS661" s="18">
        <f t="shared" si="11"/>
        <v>3.9999999999054126E-3</v>
      </c>
      <c r="AT661" s="12">
        <f t="shared" si="12"/>
        <v>197.01600000000008</v>
      </c>
      <c r="AU661" s="18">
        <f t="shared" si="13"/>
        <v>3.9999999999338343E-3</v>
      </c>
      <c r="AV661" s="19">
        <f t="shared" si="14"/>
        <v>0.27713758411919615</v>
      </c>
      <c r="AW661" s="20" t="str">
        <f t="shared" si="15"/>
        <v>January</v>
      </c>
      <c r="AX661" s="21">
        <f t="shared" si="16"/>
        <v>2025</v>
      </c>
    </row>
    <row r="662" spans="1:50" ht="15.75" customHeight="1">
      <c r="A662" s="10" t="s">
        <v>2096</v>
      </c>
      <c r="B662" s="11">
        <v>45853</v>
      </c>
      <c r="C662" s="11">
        <v>45853</v>
      </c>
      <c r="D662" s="10" t="s">
        <v>2097</v>
      </c>
      <c r="E662" s="10" t="s">
        <v>82</v>
      </c>
      <c r="F662" s="10" t="s">
        <v>66</v>
      </c>
      <c r="G662" s="10" t="s">
        <v>67</v>
      </c>
      <c r="H662" s="10" t="s">
        <v>258</v>
      </c>
      <c r="I662" s="10" t="s">
        <v>259</v>
      </c>
      <c r="J662" s="10" t="s">
        <v>103</v>
      </c>
      <c r="K662" s="10" t="s">
        <v>200</v>
      </c>
      <c r="L662" s="10" t="s">
        <v>2098</v>
      </c>
      <c r="M662" s="10" t="s">
        <v>73</v>
      </c>
      <c r="N662" s="12">
        <v>4</v>
      </c>
      <c r="O662" s="12">
        <v>4442.91</v>
      </c>
      <c r="P662" s="12">
        <v>0.1</v>
      </c>
      <c r="Q662" s="12">
        <v>15994.48</v>
      </c>
      <c r="R662" s="12">
        <v>9224.2800000000007</v>
      </c>
      <c r="S662" s="12">
        <v>6770.2</v>
      </c>
      <c r="T662" s="10" t="s">
        <v>61</v>
      </c>
      <c r="U662" s="13" t="s">
        <v>62</v>
      </c>
      <c r="V662" s="14" t="e">
        <f t="shared" ca="1" si="0"/>
        <v>#NAME?</v>
      </c>
      <c r="W662" s="10" t="str">
        <f ca="1">IFERROR(__xludf.DUMMYFUNCTION("IF(COUNTIF($A:$A,A656)=1,
""Unique"",
IF(COUNTUNIQUE(FILTER($V$2:$V$934,$A$2:$A$934=A656))&gt;1,
""Conflicting Duplicate"",
""Exact Duplicate""))"),"Unique")</f>
        <v>Unique</v>
      </c>
      <c r="X662" s="10" t="b">
        <f t="shared" ca="1" si="1"/>
        <v>1</v>
      </c>
      <c r="Y662" s="10" t="str">
        <f t="shared" si="2"/>
        <v>Unique</v>
      </c>
      <c r="Z662" s="10"/>
      <c r="AA662" s="10" t="str">
        <f t="shared" si="3"/>
        <v>Clean</v>
      </c>
      <c r="AB662" s="15" t="str">
        <f t="shared" si="4"/>
        <v>Valid</v>
      </c>
      <c r="AC662" s="15">
        <v>0</v>
      </c>
      <c r="AD662" s="16" t="str">
        <f t="shared" si="5"/>
        <v>Valid</v>
      </c>
      <c r="AE662" s="16" t="str">
        <f t="shared" si="6"/>
        <v>Valid</v>
      </c>
      <c r="AF662" s="16" t="str">
        <f t="shared" ref="AF662:AG662" si="1335">IF(ISNUMBER(B662),"Valid","Invalid")</f>
        <v>Valid</v>
      </c>
      <c r="AG662" s="16" t="str">
        <f t="shared" si="1335"/>
        <v>Valid</v>
      </c>
      <c r="AH662" s="16" t="str">
        <f t="shared" ref="AH662:AI662" si="1336">IF(OR(B662="",ISBLANK(B662)),"Missing","Valid")</f>
        <v>Valid</v>
      </c>
      <c r="AI662" s="16" t="str">
        <f t="shared" si="1336"/>
        <v>Valid</v>
      </c>
      <c r="AJ662" s="16" t="b">
        <v>0</v>
      </c>
      <c r="AK662" s="16" t="b">
        <v>0</v>
      </c>
      <c r="AL662" s="16" t="b">
        <v>0</v>
      </c>
      <c r="AM662" s="16" t="b">
        <v>0</v>
      </c>
      <c r="AN662" s="16" t="b">
        <v>0</v>
      </c>
      <c r="AO662" s="16" t="b">
        <v>0</v>
      </c>
      <c r="AP662" s="16" t="b">
        <v>0</v>
      </c>
      <c r="AQ662" s="17">
        <f t="shared" si="9"/>
        <v>0.1</v>
      </c>
      <c r="AR662" s="12">
        <f t="shared" si="10"/>
        <v>15994.476000000001</v>
      </c>
      <c r="AS662" s="18">
        <f t="shared" si="11"/>
        <v>3.9999999989959178E-3</v>
      </c>
      <c r="AT662" s="12">
        <f t="shared" si="12"/>
        <v>6770.1959999999999</v>
      </c>
      <c r="AU662" s="18">
        <f t="shared" si="13"/>
        <v>3.9999999999054126E-3</v>
      </c>
      <c r="AV662" s="19">
        <f t="shared" si="14"/>
        <v>0.42328338858991066</v>
      </c>
      <c r="AW662" s="20" t="str">
        <f t="shared" si="15"/>
        <v>July</v>
      </c>
      <c r="AX662" s="21">
        <f t="shared" si="16"/>
        <v>2025</v>
      </c>
    </row>
    <row r="663" spans="1:50" ht="15.75" customHeight="1">
      <c r="A663" s="10" t="s">
        <v>2099</v>
      </c>
      <c r="B663" s="11">
        <v>45429</v>
      </c>
      <c r="C663" s="11">
        <v>45434</v>
      </c>
      <c r="D663" s="10" t="s">
        <v>2100</v>
      </c>
      <c r="E663" s="10" t="s">
        <v>161</v>
      </c>
      <c r="F663" s="10" t="s">
        <v>53</v>
      </c>
      <c r="G663" s="10" t="s">
        <v>83</v>
      </c>
      <c r="H663" s="10" t="s">
        <v>113</v>
      </c>
      <c r="I663" s="10" t="s">
        <v>114</v>
      </c>
      <c r="J663" s="10" t="s">
        <v>103</v>
      </c>
      <c r="K663" s="10" t="s">
        <v>304</v>
      </c>
      <c r="L663" s="10" t="s">
        <v>2101</v>
      </c>
      <c r="M663" s="10" t="s">
        <v>60</v>
      </c>
      <c r="N663" s="12">
        <v>7</v>
      </c>
      <c r="O663" s="12">
        <v>232.5</v>
      </c>
      <c r="P663" s="12">
        <v>0</v>
      </c>
      <c r="Q663" s="12">
        <v>1627.5</v>
      </c>
      <c r="R663" s="12">
        <v>939.9</v>
      </c>
      <c r="S663" s="12">
        <v>687.6</v>
      </c>
      <c r="T663" s="10" t="s">
        <v>61</v>
      </c>
      <c r="U663" s="13" t="s">
        <v>62</v>
      </c>
      <c r="V663" s="14" t="e">
        <f t="shared" ca="1" si="0"/>
        <v>#NAME?</v>
      </c>
      <c r="W663" s="10" t="str">
        <f ca="1">IFERROR(__xludf.DUMMYFUNCTION("IF(COUNTIF($A:$A,A657)=1,
""Unique"",
IF(COUNTUNIQUE(FILTER($V$2:$V$934,$A$2:$A$934=A657))&gt;1,
""Conflicting Duplicate"",
""Exact Duplicate""))"),"Unique")</f>
        <v>Unique</v>
      </c>
      <c r="X663" s="10" t="b">
        <f t="shared" ca="1" si="1"/>
        <v>1</v>
      </c>
      <c r="Y663" s="10" t="str">
        <f t="shared" si="2"/>
        <v>Unique</v>
      </c>
      <c r="Z663" s="10"/>
      <c r="AA663" s="10" t="str">
        <f t="shared" si="3"/>
        <v>Clean</v>
      </c>
      <c r="AB663" s="15" t="str">
        <f t="shared" si="4"/>
        <v>Valid</v>
      </c>
      <c r="AC663" s="15">
        <v>5</v>
      </c>
      <c r="AD663" s="16" t="str">
        <f t="shared" si="5"/>
        <v>Valid</v>
      </c>
      <c r="AE663" s="16" t="str">
        <f t="shared" si="6"/>
        <v>Valid</v>
      </c>
      <c r="AF663" s="16" t="str">
        <f t="shared" ref="AF663:AG663" si="1337">IF(ISNUMBER(B663),"Valid","Invalid")</f>
        <v>Valid</v>
      </c>
      <c r="AG663" s="16" t="str">
        <f t="shared" si="1337"/>
        <v>Valid</v>
      </c>
      <c r="AH663" s="16" t="str">
        <f t="shared" ref="AH663:AI663" si="1338">IF(OR(B663="",ISBLANK(B663)),"Missing","Valid")</f>
        <v>Valid</v>
      </c>
      <c r="AI663" s="16" t="str">
        <f t="shared" si="1338"/>
        <v>Valid</v>
      </c>
      <c r="AJ663" s="16" t="b">
        <v>0</v>
      </c>
      <c r="AK663" s="16" t="b">
        <v>0</v>
      </c>
      <c r="AL663" s="16" t="b">
        <v>0</v>
      </c>
      <c r="AM663" s="16" t="b">
        <v>0</v>
      </c>
      <c r="AN663" s="16" t="b">
        <v>0</v>
      </c>
      <c r="AO663" s="16" t="b">
        <v>0</v>
      </c>
      <c r="AP663" s="16" t="b">
        <v>0</v>
      </c>
      <c r="AQ663" s="17">
        <f t="shared" si="9"/>
        <v>0</v>
      </c>
      <c r="AR663" s="12">
        <f t="shared" si="10"/>
        <v>1627.5</v>
      </c>
      <c r="AS663" s="18">
        <f t="shared" si="11"/>
        <v>0</v>
      </c>
      <c r="AT663" s="12">
        <f t="shared" si="12"/>
        <v>687.6</v>
      </c>
      <c r="AU663" s="18">
        <f t="shared" si="13"/>
        <v>0</v>
      </c>
      <c r="AV663" s="19">
        <f t="shared" si="14"/>
        <v>0.4224884792626728</v>
      </c>
      <c r="AW663" s="20" t="str">
        <f t="shared" si="15"/>
        <v>May</v>
      </c>
      <c r="AX663" s="21">
        <f t="shared" si="16"/>
        <v>2024</v>
      </c>
    </row>
    <row r="664" spans="1:50" ht="15.75" customHeight="1">
      <c r="A664" s="10" t="s">
        <v>2102</v>
      </c>
      <c r="B664" s="11">
        <v>45305</v>
      </c>
      <c r="C664" s="11">
        <v>45309</v>
      </c>
      <c r="D664" s="10" t="s">
        <v>2103</v>
      </c>
      <c r="E664" s="10" t="s">
        <v>65</v>
      </c>
      <c r="F664" s="10" t="s">
        <v>124</v>
      </c>
      <c r="G664" s="10" t="s">
        <v>92</v>
      </c>
      <c r="H664" s="10" t="s">
        <v>55</v>
      </c>
      <c r="I664" s="10" t="s">
        <v>138</v>
      </c>
      <c r="J664" s="10" t="s">
        <v>103</v>
      </c>
      <c r="K664" s="10" t="s">
        <v>304</v>
      </c>
      <c r="L664" s="10" t="s">
        <v>2104</v>
      </c>
      <c r="M664" s="10" t="s">
        <v>73</v>
      </c>
      <c r="N664" s="12">
        <v>6</v>
      </c>
      <c r="O664" s="12">
        <v>1784.8</v>
      </c>
      <c r="P664" s="12">
        <v>0.1</v>
      </c>
      <c r="Q664" s="12">
        <v>9637.92</v>
      </c>
      <c r="R664" s="12">
        <v>7329.29</v>
      </c>
      <c r="S664" s="12">
        <v>2308.63</v>
      </c>
      <c r="T664" s="10" t="s">
        <v>61</v>
      </c>
      <c r="U664" s="13" t="s">
        <v>62</v>
      </c>
      <c r="V664" s="14" t="e">
        <f t="shared" ca="1" si="0"/>
        <v>#NAME?</v>
      </c>
      <c r="W664" s="10" t="str">
        <f ca="1">IFERROR(__xludf.DUMMYFUNCTION("IF(COUNTIF($A:$A,A658)=1,
""Unique"",
IF(COUNTUNIQUE(FILTER($V$2:$V$934,$A$2:$A$934=A658))&gt;1,
""Conflicting Duplicate"",
""Exact Duplicate""))"),"Unique")</f>
        <v>Unique</v>
      </c>
      <c r="X664" s="10" t="b">
        <f t="shared" ca="1" si="1"/>
        <v>1</v>
      </c>
      <c r="Y664" s="10" t="str">
        <f t="shared" si="2"/>
        <v>Unique</v>
      </c>
      <c r="Z664" s="10"/>
      <c r="AA664" s="10" t="str">
        <f t="shared" si="3"/>
        <v>Clean</v>
      </c>
      <c r="AB664" s="15" t="str">
        <f t="shared" si="4"/>
        <v>Valid</v>
      </c>
      <c r="AC664" s="15">
        <v>4</v>
      </c>
      <c r="AD664" s="16" t="str">
        <f t="shared" si="5"/>
        <v>Valid</v>
      </c>
      <c r="AE664" s="16" t="str">
        <f t="shared" si="6"/>
        <v>Valid</v>
      </c>
      <c r="AF664" s="16" t="str">
        <f t="shared" ref="AF664:AG664" si="1339">IF(ISNUMBER(B664),"Valid","Invalid")</f>
        <v>Valid</v>
      </c>
      <c r="AG664" s="16" t="str">
        <f t="shared" si="1339"/>
        <v>Valid</v>
      </c>
      <c r="AH664" s="16" t="str">
        <f t="shared" ref="AH664:AI664" si="1340">IF(OR(B664="",ISBLANK(B664)),"Missing","Valid")</f>
        <v>Valid</v>
      </c>
      <c r="AI664" s="16" t="str">
        <f t="shared" si="1340"/>
        <v>Valid</v>
      </c>
      <c r="AJ664" s="16" t="b">
        <v>0</v>
      </c>
      <c r="AK664" s="16" t="b">
        <v>0</v>
      </c>
      <c r="AL664" s="16" t="b">
        <v>0</v>
      </c>
      <c r="AM664" s="16" t="b">
        <v>0</v>
      </c>
      <c r="AN664" s="16" t="b">
        <v>0</v>
      </c>
      <c r="AO664" s="16" t="b">
        <v>0</v>
      </c>
      <c r="AP664" s="16" t="b">
        <v>0</v>
      </c>
      <c r="AQ664" s="17">
        <f t="shared" si="9"/>
        <v>0.1</v>
      </c>
      <c r="AR664" s="12">
        <f t="shared" si="10"/>
        <v>9637.92</v>
      </c>
      <c r="AS664" s="18">
        <f t="shared" si="11"/>
        <v>0</v>
      </c>
      <c r="AT664" s="12">
        <f t="shared" si="12"/>
        <v>2308.63</v>
      </c>
      <c r="AU664" s="18">
        <f t="shared" si="13"/>
        <v>0</v>
      </c>
      <c r="AV664" s="19">
        <f t="shared" si="14"/>
        <v>0.2395361239769577</v>
      </c>
      <c r="AW664" s="20" t="str">
        <f t="shared" si="15"/>
        <v>January</v>
      </c>
      <c r="AX664" s="21">
        <f t="shared" si="16"/>
        <v>2024</v>
      </c>
    </row>
    <row r="665" spans="1:50" ht="15.75" customHeight="1">
      <c r="A665" s="10" t="s">
        <v>2105</v>
      </c>
      <c r="B665" s="11">
        <v>45414</v>
      </c>
      <c r="C665" s="11">
        <v>45420</v>
      </c>
      <c r="D665" s="10" t="s">
        <v>2106</v>
      </c>
      <c r="E665" s="10" t="s">
        <v>147</v>
      </c>
      <c r="F665" s="10" t="s">
        <v>124</v>
      </c>
      <c r="G665" s="10" t="s">
        <v>67</v>
      </c>
      <c r="H665" s="10" t="s">
        <v>258</v>
      </c>
      <c r="I665" s="10" t="s">
        <v>259</v>
      </c>
      <c r="J665" s="10" t="s">
        <v>103</v>
      </c>
      <c r="K665" s="10" t="s">
        <v>109</v>
      </c>
      <c r="L665" s="10" t="s">
        <v>2107</v>
      </c>
      <c r="M665" s="10" t="s">
        <v>60</v>
      </c>
      <c r="N665" s="12">
        <v>2</v>
      </c>
      <c r="O665" s="12">
        <v>3185.01</v>
      </c>
      <c r="P665" s="12">
        <v>-0.24</v>
      </c>
      <c r="Q665" s="12">
        <v>4777.5200000000004</v>
      </c>
      <c r="R665" s="12">
        <v>3152.98</v>
      </c>
      <c r="S665" s="12">
        <v>1624.54</v>
      </c>
      <c r="T665" s="10" t="s">
        <v>61</v>
      </c>
      <c r="U665" s="13" t="s">
        <v>62</v>
      </c>
      <c r="V665" s="14" t="e">
        <f t="shared" ca="1" si="0"/>
        <v>#NAME?</v>
      </c>
      <c r="W665" s="10" t="str">
        <f ca="1">IFERROR(__xludf.DUMMYFUNCTION("IF(COUNTIF($A:$A,A659)=1,
""Unique"",
IF(COUNTUNIQUE(FILTER($V$2:$V$934,$A$2:$A$934=A659))&gt;1,
""Conflicting Duplicate"",
""Exact Duplicate""))"),"Unique")</f>
        <v>Unique</v>
      </c>
      <c r="X665" s="10" t="b">
        <f t="shared" ca="1" si="1"/>
        <v>1</v>
      </c>
      <c r="Y665" s="10" t="str">
        <f t="shared" si="2"/>
        <v>Unique</v>
      </c>
      <c r="Z665" s="10"/>
      <c r="AA665" s="10" t="str">
        <f t="shared" si="3"/>
        <v>Invalid</v>
      </c>
      <c r="AB665" s="15" t="str">
        <f t="shared" si="4"/>
        <v>Valid</v>
      </c>
      <c r="AC665" s="15">
        <v>6</v>
      </c>
      <c r="AD665" s="16" t="str">
        <f t="shared" si="5"/>
        <v>Valid</v>
      </c>
      <c r="AE665" s="16" t="str">
        <f t="shared" si="6"/>
        <v>Valid</v>
      </c>
      <c r="AF665" s="16" t="str">
        <f t="shared" ref="AF665:AG665" si="1341">IF(ISNUMBER(B665),"Valid","Invalid")</f>
        <v>Valid</v>
      </c>
      <c r="AG665" s="16" t="str">
        <f t="shared" si="1341"/>
        <v>Valid</v>
      </c>
      <c r="AH665" s="16" t="str">
        <f t="shared" ref="AH665:AI665" si="1342">IF(OR(B665="",ISBLANK(B665)),"Missing","Valid")</f>
        <v>Valid</v>
      </c>
      <c r="AI665" s="16" t="str">
        <f t="shared" si="1342"/>
        <v>Valid</v>
      </c>
      <c r="AJ665" s="16" t="b">
        <v>0</v>
      </c>
      <c r="AK665" s="16" t="b">
        <v>0</v>
      </c>
      <c r="AL665" s="16" t="b">
        <v>0</v>
      </c>
      <c r="AM665" s="16" t="b">
        <v>1</v>
      </c>
      <c r="AN665" s="16" t="b">
        <v>0</v>
      </c>
      <c r="AO665" s="16" t="b">
        <v>0</v>
      </c>
      <c r="AP665" s="16" t="b">
        <v>1</v>
      </c>
      <c r="AQ665" s="17">
        <f t="shared" si="9"/>
        <v>-0.24</v>
      </c>
      <c r="AR665" s="12">
        <f t="shared" si="10"/>
        <v>7898.8248000000003</v>
      </c>
      <c r="AS665" s="18">
        <f t="shared" si="11"/>
        <v>-3121.3047999999999</v>
      </c>
      <c r="AT665" s="12">
        <f t="shared" si="12"/>
        <v>4745.8448000000008</v>
      </c>
      <c r="AU665" s="18">
        <f t="shared" si="13"/>
        <v>-3121.3048000000008</v>
      </c>
      <c r="AV665" s="19">
        <f t="shared" si="14"/>
        <v>0.60082922715287979</v>
      </c>
      <c r="AW665" s="20" t="str">
        <f t="shared" si="15"/>
        <v>May</v>
      </c>
      <c r="AX665" s="21">
        <f t="shared" si="16"/>
        <v>2024</v>
      </c>
    </row>
    <row r="666" spans="1:50" ht="15.75" customHeight="1">
      <c r="A666" s="10" t="s">
        <v>2108</v>
      </c>
      <c r="B666" s="11">
        <v>45633</v>
      </c>
      <c r="C666" s="11">
        <v>45636</v>
      </c>
      <c r="D666" s="10" t="s">
        <v>2109</v>
      </c>
      <c r="E666" s="10" t="s">
        <v>65</v>
      </c>
      <c r="F666" s="10" t="s">
        <v>124</v>
      </c>
      <c r="G666" s="10" t="s">
        <v>83</v>
      </c>
      <c r="H666" s="10" t="s">
        <v>84</v>
      </c>
      <c r="I666" s="10" t="s">
        <v>85</v>
      </c>
      <c r="J666" s="10" t="s">
        <v>103</v>
      </c>
      <c r="K666" s="10" t="s">
        <v>104</v>
      </c>
      <c r="L666" s="10" t="s">
        <v>2110</v>
      </c>
      <c r="M666" s="10" t="s">
        <v>88</v>
      </c>
      <c r="N666" s="12">
        <v>1</v>
      </c>
      <c r="O666" s="12">
        <v>1908.83</v>
      </c>
      <c r="P666" s="12">
        <v>0.2</v>
      </c>
      <c r="Q666" s="12">
        <v>1527.06</v>
      </c>
      <c r="R666" s="12">
        <v>1055.8900000000001</v>
      </c>
      <c r="S666" s="12">
        <v>471.17</v>
      </c>
      <c r="T666" s="10" t="s">
        <v>61</v>
      </c>
      <c r="U666" s="13" t="s">
        <v>62</v>
      </c>
      <c r="V666" s="14" t="e">
        <f t="shared" ca="1" si="0"/>
        <v>#NAME?</v>
      </c>
      <c r="W666" s="10" t="str">
        <f ca="1">IFERROR(__xludf.DUMMYFUNCTION("IF(COUNTIF($A:$A,A660)=1,
""Unique"",
IF(COUNTUNIQUE(FILTER($V$2:$V$934,$A$2:$A$934=A660))&gt;1,
""Conflicting Duplicate"",
""Exact Duplicate""))"),"Unique")</f>
        <v>Unique</v>
      </c>
      <c r="X666" s="10" t="b">
        <f t="shared" ca="1" si="1"/>
        <v>1</v>
      </c>
      <c r="Y666" s="10" t="str">
        <f t="shared" si="2"/>
        <v>Unique</v>
      </c>
      <c r="Z666" s="10"/>
      <c r="AA666" s="10" t="str">
        <f t="shared" si="3"/>
        <v>Clean</v>
      </c>
      <c r="AB666" s="15" t="str">
        <f t="shared" si="4"/>
        <v>Valid</v>
      </c>
      <c r="AC666" s="15">
        <v>3</v>
      </c>
      <c r="AD666" s="16" t="str">
        <f t="shared" si="5"/>
        <v>Valid</v>
      </c>
      <c r="AE666" s="16" t="str">
        <f t="shared" si="6"/>
        <v>Valid</v>
      </c>
      <c r="AF666" s="16" t="str">
        <f t="shared" ref="AF666:AG666" si="1343">IF(ISNUMBER(B666),"Valid","Invalid")</f>
        <v>Valid</v>
      </c>
      <c r="AG666" s="16" t="str">
        <f t="shared" si="1343"/>
        <v>Valid</v>
      </c>
      <c r="AH666" s="16" t="str">
        <f t="shared" ref="AH666:AI666" si="1344">IF(OR(B666="",ISBLANK(B666)),"Missing","Valid")</f>
        <v>Valid</v>
      </c>
      <c r="AI666" s="16" t="str">
        <f t="shared" si="1344"/>
        <v>Valid</v>
      </c>
      <c r="AJ666" s="16" t="b">
        <v>0</v>
      </c>
      <c r="AK666" s="16" t="b">
        <v>0</v>
      </c>
      <c r="AL666" s="16" t="b">
        <v>0</v>
      </c>
      <c r="AM666" s="16" t="b">
        <v>0</v>
      </c>
      <c r="AN666" s="16" t="b">
        <v>0</v>
      </c>
      <c r="AO666" s="16" t="b">
        <v>0</v>
      </c>
      <c r="AP666" s="16" t="b">
        <v>0</v>
      </c>
      <c r="AQ666" s="17">
        <f t="shared" si="9"/>
        <v>0.2</v>
      </c>
      <c r="AR666" s="12">
        <f t="shared" si="10"/>
        <v>1527.0640000000001</v>
      </c>
      <c r="AS666" s="18">
        <f t="shared" si="11"/>
        <v>-4.0000000001327862E-3</v>
      </c>
      <c r="AT666" s="12">
        <f t="shared" si="12"/>
        <v>471.17399999999998</v>
      </c>
      <c r="AU666" s="18">
        <f t="shared" si="13"/>
        <v>-3.999999999962256E-3</v>
      </c>
      <c r="AV666" s="19">
        <f t="shared" si="14"/>
        <v>0.30854895407134209</v>
      </c>
      <c r="AW666" s="20" t="str">
        <f t="shared" si="15"/>
        <v>December</v>
      </c>
      <c r="AX666" s="21">
        <f t="shared" si="16"/>
        <v>2024</v>
      </c>
    </row>
    <row r="667" spans="1:50" ht="15.75" customHeight="1">
      <c r="A667" s="10" t="s">
        <v>2111</v>
      </c>
      <c r="B667" s="11">
        <v>45670</v>
      </c>
      <c r="C667" s="11">
        <v>45670</v>
      </c>
      <c r="D667" s="10" t="s">
        <v>2112</v>
      </c>
      <c r="E667" s="10" t="s">
        <v>147</v>
      </c>
      <c r="F667" s="10" t="s">
        <v>124</v>
      </c>
      <c r="G667" s="10" t="s">
        <v>92</v>
      </c>
      <c r="H667" s="10" t="s">
        <v>209</v>
      </c>
      <c r="I667" s="10" t="s">
        <v>210</v>
      </c>
      <c r="J667" s="10" t="s">
        <v>57</v>
      </c>
      <c r="K667" s="10" t="s">
        <v>77</v>
      </c>
      <c r="L667" s="10" t="s">
        <v>2113</v>
      </c>
      <c r="M667" s="10" t="s">
        <v>88</v>
      </c>
      <c r="N667" s="12">
        <v>3</v>
      </c>
      <c r="O667" s="12">
        <v>2110.52</v>
      </c>
      <c r="P667" s="12">
        <v>0.1</v>
      </c>
      <c r="Q667" s="12">
        <v>5698.4</v>
      </c>
      <c r="R667" s="12">
        <v>3640.89</v>
      </c>
      <c r="S667" s="12">
        <v>2057.5100000000002</v>
      </c>
      <c r="T667" s="10" t="s">
        <v>184</v>
      </c>
      <c r="U667" s="13" t="s">
        <v>97</v>
      </c>
      <c r="V667" s="14" t="e">
        <f t="shared" ca="1" si="0"/>
        <v>#NAME?</v>
      </c>
      <c r="W667" s="10" t="str">
        <f ca="1">IFERROR(__xludf.DUMMYFUNCTION("IF(COUNTIF($A:$A,A661)=1,
""Unique"",
IF(COUNTUNIQUE(FILTER($V$2:$V$934,$A$2:$A$934=A661))&gt;1,
""Conflicting Duplicate"",
""Exact Duplicate""))"),"Unique")</f>
        <v>Unique</v>
      </c>
      <c r="X667" s="10" t="b">
        <f t="shared" ca="1" si="1"/>
        <v>1</v>
      </c>
      <c r="Y667" s="10" t="str">
        <f t="shared" si="2"/>
        <v>Unique</v>
      </c>
      <c r="Z667" s="10"/>
      <c r="AA667" s="10" t="str">
        <f t="shared" si="3"/>
        <v>Clean</v>
      </c>
      <c r="AB667" s="15" t="str">
        <f t="shared" si="4"/>
        <v>Valid</v>
      </c>
      <c r="AC667" s="15">
        <v>0</v>
      </c>
      <c r="AD667" s="16" t="str">
        <f t="shared" si="5"/>
        <v>Valid</v>
      </c>
      <c r="AE667" s="16" t="str">
        <f t="shared" si="6"/>
        <v>Valid</v>
      </c>
      <c r="AF667" s="16" t="str">
        <f t="shared" ref="AF667:AG667" si="1345">IF(ISNUMBER(B667),"Valid","Invalid")</f>
        <v>Valid</v>
      </c>
      <c r="AG667" s="16" t="str">
        <f t="shared" si="1345"/>
        <v>Valid</v>
      </c>
      <c r="AH667" s="16" t="str">
        <f t="shared" ref="AH667:AI667" si="1346">IF(OR(B667="",ISBLANK(B667)),"Missing","Valid")</f>
        <v>Valid</v>
      </c>
      <c r="AI667" s="16" t="str">
        <f t="shared" si="1346"/>
        <v>Valid</v>
      </c>
      <c r="AJ667" s="16" t="b">
        <v>0</v>
      </c>
      <c r="AK667" s="16" t="b">
        <v>0</v>
      </c>
      <c r="AL667" s="16" t="b">
        <v>0</v>
      </c>
      <c r="AM667" s="16" t="b">
        <v>0</v>
      </c>
      <c r="AN667" s="16" t="b">
        <v>0</v>
      </c>
      <c r="AO667" s="16" t="b">
        <v>0</v>
      </c>
      <c r="AP667" s="16" t="b">
        <v>0</v>
      </c>
      <c r="AQ667" s="17">
        <f t="shared" si="9"/>
        <v>0.1</v>
      </c>
      <c r="AR667" s="12">
        <f t="shared" si="10"/>
        <v>5698.4039999999995</v>
      </c>
      <c r="AS667" s="18">
        <f t="shared" si="11"/>
        <v>-3.9999999999054126E-3</v>
      </c>
      <c r="AT667" s="12">
        <f t="shared" si="12"/>
        <v>2057.5139999999997</v>
      </c>
      <c r="AU667" s="18">
        <f t="shared" si="13"/>
        <v>-3.9999999994506652E-3</v>
      </c>
      <c r="AV667" s="19">
        <f t="shared" si="14"/>
        <v>0.36106846759197836</v>
      </c>
      <c r="AW667" s="20" t="str">
        <f t="shared" si="15"/>
        <v>January</v>
      </c>
      <c r="AX667" s="21">
        <f t="shared" si="16"/>
        <v>2025</v>
      </c>
    </row>
    <row r="668" spans="1:50" ht="15.75" customHeight="1">
      <c r="A668" s="10" t="s">
        <v>2114</v>
      </c>
      <c r="B668" s="11">
        <v>45464</v>
      </c>
      <c r="C668" s="11">
        <v>45469</v>
      </c>
      <c r="D668" s="10" t="s">
        <v>2115</v>
      </c>
      <c r="E668" s="10" t="s">
        <v>170</v>
      </c>
      <c r="F668" s="10" t="s">
        <v>66</v>
      </c>
      <c r="G668" s="10" t="s">
        <v>54</v>
      </c>
      <c r="H668" s="10" t="s">
        <v>151</v>
      </c>
      <c r="I668" s="10" t="s">
        <v>152</v>
      </c>
      <c r="J668" s="10" t="s">
        <v>103</v>
      </c>
      <c r="K668" s="10" t="s">
        <v>109</v>
      </c>
      <c r="L668" s="10" t="s">
        <v>2116</v>
      </c>
      <c r="M668" s="10" t="s">
        <v>73</v>
      </c>
      <c r="N668" s="12">
        <v>1</v>
      </c>
      <c r="O668" s="12">
        <v>279.83</v>
      </c>
      <c r="P668" s="12">
        <v>0.05</v>
      </c>
      <c r="Q668" s="12">
        <v>265.83999999999997</v>
      </c>
      <c r="R668" s="12">
        <v>223.49</v>
      </c>
      <c r="S668" s="12">
        <v>42.35</v>
      </c>
      <c r="T668" s="10" t="s">
        <v>61</v>
      </c>
      <c r="U668" s="13" t="s">
        <v>62</v>
      </c>
      <c r="V668" s="14" t="e">
        <f t="shared" ca="1" si="0"/>
        <v>#NAME?</v>
      </c>
      <c r="W668" s="10" t="str">
        <f ca="1">IFERROR(__xludf.DUMMYFUNCTION("IF(COUNTIF($A:$A,A662)=1,
""Unique"",
IF(COUNTUNIQUE(FILTER($V$2:$V$934,$A$2:$A$934=A662))&gt;1,
""Conflicting Duplicate"",
""Exact Duplicate""))"),"Unique")</f>
        <v>Unique</v>
      </c>
      <c r="X668" s="10" t="b">
        <f t="shared" ca="1" si="1"/>
        <v>1</v>
      </c>
      <c r="Y668" s="10" t="str">
        <f t="shared" si="2"/>
        <v>Unique</v>
      </c>
      <c r="Z668" s="10"/>
      <c r="AA668" s="10" t="str">
        <f t="shared" si="3"/>
        <v>Clean</v>
      </c>
      <c r="AB668" s="15" t="str">
        <f t="shared" si="4"/>
        <v>Valid</v>
      </c>
      <c r="AC668" s="15">
        <v>5</v>
      </c>
      <c r="AD668" s="16" t="str">
        <f t="shared" si="5"/>
        <v>Valid</v>
      </c>
      <c r="AE668" s="16" t="str">
        <f t="shared" si="6"/>
        <v>Valid</v>
      </c>
      <c r="AF668" s="16" t="str">
        <f t="shared" ref="AF668:AG668" si="1347">IF(ISNUMBER(B668),"Valid","Invalid")</f>
        <v>Valid</v>
      </c>
      <c r="AG668" s="16" t="str">
        <f t="shared" si="1347"/>
        <v>Valid</v>
      </c>
      <c r="AH668" s="16" t="str">
        <f t="shared" ref="AH668:AI668" si="1348">IF(OR(B668="",ISBLANK(B668)),"Missing","Valid")</f>
        <v>Valid</v>
      </c>
      <c r="AI668" s="16" t="str">
        <f t="shared" si="1348"/>
        <v>Valid</v>
      </c>
      <c r="AJ668" s="16" t="b">
        <v>0</v>
      </c>
      <c r="AK668" s="16" t="b">
        <v>0</v>
      </c>
      <c r="AL668" s="16" t="b">
        <v>0</v>
      </c>
      <c r="AM668" s="16" t="b">
        <v>0</v>
      </c>
      <c r="AN668" s="16" t="b">
        <v>0</v>
      </c>
      <c r="AO668" s="16" t="b">
        <v>0</v>
      </c>
      <c r="AP668" s="16" t="b">
        <v>0</v>
      </c>
      <c r="AQ668" s="17">
        <f t="shared" si="9"/>
        <v>0.05</v>
      </c>
      <c r="AR668" s="12">
        <f t="shared" si="10"/>
        <v>265.83849999999995</v>
      </c>
      <c r="AS668" s="18">
        <f t="shared" si="11"/>
        <v>1.5000000000213731E-3</v>
      </c>
      <c r="AT668" s="12">
        <f t="shared" si="12"/>
        <v>42.348499999999945</v>
      </c>
      <c r="AU668" s="18">
        <f t="shared" si="13"/>
        <v>1.5000000000569003E-3</v>
      </c>
      <c r="AV668" s="19">
        <f t="shared" si="14"/>
        <v>0.15930160605028976</v>
      </c>
      <c r="AW668" s="20" t="str">
        <f t="shared" si="15"/>
        <v>June</v>
      </c>
      <c r="AX668" s="21">
        <f t="shared" si="16"/>
        <v>2024</v>
      </c>
    </row>
    <row r="669" spans="1:50" ht="15.75" customHeight="1">
      <c r="A669" s="10" t="s">
        <v>2117</v>
      </c>
      <c r="B669" s="11">
        <v>45797</v>
      </c>
      <c r="C669" s="11">
        <v>45804</v>
      </c>
      <c r="D669" s="10" t="s">
        <v>2118</v>
      </c>
      <c r="E669" s="10" t="s">
        <v>191</v>
      </c>
      <c r="F669" s="10" t="s">
        <v>66</v>
      </c>
      <c r="G669" s="10" t="s">
        <v>67</v>
      </c>
      <c r="H669" s="10" t="s">
        <v>174</v>
      </c>
      <c r="I669" s="10" t="s">
        <v>175</v>
      </c>
      <c r="J669" s="10" t="s">
        <v>103</v>
      </c>
      <c r="K669" s="10" t="s">
        <v>304</v>
      </c>
      <c r="L669" s="10" t="s">
        <v>2119</v>
      </c>
      <c r="M669" s="10" t="s">
        <v>88</v>
      </c>
      <c r="N669" s="12">
        <v>1</v>
      </c>
      <c r="O669" s="12">
        <v>3959.14</v>
      </c>
      <c r="P669" s="12">
        <v>0</v>
      </c>
      <c r="Q669" s="12">
        <v>3959.14</v>
      </c>
      <c r="R669" s="12">
        <v>3239.53</v>
      </c>
      <c r="S669" s="12">
        <v>719.61</v>
      </c>
      <c r="T669" s="10" t="s">
        <v>140</v>
      </c>
      <c r="U669" s="13" t="s">
        <v>132</v>
      </c>
      <c r="V669" s="14" t="e">
        <f t="shared" ca="1" si="0"/>
        <v>#NAME?</v>
      </c>
      <c r="W669" s="10" t="str">
        <f ca="1">IFERROR(__xludf.DUMMYFUNCTION("IF(COUNTIF($A:$A,A663)=1,
""Unique"",
IF(COUNTUNIQUE(FILTER($V$2:$V$934,$A$2:$A$934=A663))&gt;1,
""Conflicting Duplicate"",
""Exact Duplicate""))"),"Unique")</f>
        <v>Unique</v>
      </c>
      <c r="X669" s="10" t="b">
        <f t="shared" ca="1" si="1"/>
        <v>1</v>
      </c>
      <c r="Y669" s="10" t="str">
        <f t="shared" si="2"/>
        <v>Unique</v>
      </c>
      <c r="Z669" s="10"/>
      <c r="AA669" s="10" t="str">
        <f t="shared" si="3"/>
        <v>Clean</v>
      </c>
      <c r="AB669" s="15" t="str">
        <f t="shared" si="4"/>
        <v>Valid</v>
      </c>
      <c r="AC669" s="15">
        <v>7</v>
      </c>
      <c r="AD669" s="16" t="str">
        <f t="shared" si="5"/>
        <v>Valid</v>
      </c>
      <c r="AE669" s="16" t="str">
        <f t="shared" si="6"/>
        <v>Valid</v>
      </c>
      <c r="AF669" s="16" t="str">
        <f t="shared" ref="AF669:AG669" si="1349">IF(ISNUMBER(B669),"Valid","Invalid")</f>
        <v>Valid</v>
      </c>
      <c r="AG669" s="16" t="str">
        <f t="shared" si="1349"/>
        <v>Valid</v>
      </c>
      <c r="AH669" s="16" t="str">
        <f t="shared" ref="AH669:AI669" si="1350">IF(OR(B669="",ISBLANK(B669)),"Missing","Valid")</f>
        <v>Valid</v>
      </c>
      <c r="AI669" s="16" t="str">
        <f t="shared" si="1350"/>
        <v>Valid</v>
      </c>
      <c r="AJ669" s="16" t="b">
        <v>0</v>
      </c>
      <c r="AK669" s="16" t="b">
        <v>0</v>
      </c>
      <c r="AL669" s="16" t="b">
        <v>0</v>
      </c>
      <c r="AM669" s="16" t="b">
        <v>0</v>
      </c>
      <c r="AN669" s="16" t="b">
        <v>0</v>
      </c>
      <c r="AO669" s="16" t="b">
        <v>0</v>
      </c>
      <c r="AP669" s="16" t="b">
        <v>0</v>
      </c>
      <c r="AQ669" s="17">
        <f t="shared" si="9"/>
        <v>0</v>
      </c>
      <c r="AR669" s="12">
        <f t="shared" si="10"/>
        <v>3959.14</v>
      </c>
      <c r="AS669" s="18">
        <f t="shared" si="11"/>
        <v>0</v>
      </c>
      <c r="AT669" s="12">
        <f t="shared" si="12"/>
        <v>719.60999999999967</v>
      </c>
      <c r="AU669" s="18">
        <f t="shared" si="13"/>
        <v>0</v>
      </c>
      <c r="AV669" s="19">
        <f t="shared" si="14"/>
        <v>0.18175916992074029</v>
      </c>
      <c r="AW669" s="20" t="str">
        <f t="shared" si="15"/>
        <v>May</v>
      </c>
      <c r="AX669" s="21">
        <f t="shared" si="16"/>
        <v>2025</v>
      </c>
    </row>
    <row r="670" spans="1:50" ht="15.75" customHeight="1">
      <c r="A670" s="10" t="s">
        <v>2120</v>
      </c>
      <c r="B670" s="11">
        <v>45617</v>
      </c>
      <c r="C670" s="11">
        <v>45619</v>
      </c>
      <c r="D670" s="10" t="s">
        <v>2121</v>
      </c>
      <c r="E670" s="10" t="s">
        <v>65</v>
      </c>
      <c r="F670" s="10" t="s">
        <v>119</v>
      </c>
      <c r="G670" s="10" t="s">
        <v>92</v>
      </c>
      <c r="H670" s="10" t="s">
        <v>209</v>
      </c>
      <c r="I670" s="10" t="s">
        <v>210</v>
      </c>
      <c r="J670" s="10" t="s">
        <v>57</v>
      </c>
      <c r="K670" s="10" t="s">
        <v>58</v>
      </c>
      <c r="L670" s="10" t="s">
        <v>2122</v>
      </c>
      <c r="M670" s="10" t="s">
        <v>60</v>
      </c>
      <c r="N670" s="12">
        <v>5</v>
      </c>
      <c r="O670" s="12">
        <v>600.46</v>
      </c>
      <c r="P670" s="12">
        <v>0.2</v>
      </c>
      <c r="Q670" s="12">
        <v>2401.84</v>
      </c>
      <c r="R670" s="12">
        <v>1873.11</v>
      </c>
      <c r="S670" s="12">
        <v>528.73</v>
      </c>
      <c r="T670" s="10" t="s">
        <v>61</v>
      </c>
      <c r="U670" s="13" t="s">
        <v>62</v>
      </c>
      <c r="V670" s="14" t="e">
        <f t="shared" ca="1" si="0"/>
        <v>#NAME?</v>
      </c>
      <c r="W670" s="10" t="str">
        <f ca="1">IFERROR(__xludf.DUMMYFUNCTION("IF(COUNTIF($A:$A,A664)=1,
""Unique"",
IF(COUNTUNIQUE(FILTER($V$2:$V$934,$A$2:$A$934=A664))&gt;1,
""Conflicting Duplicate"",
""Exact Duplicate""))"),"Unique")</f>
        <v>Unique</v>
      </c>
      <c r="X670" s="10" t="b">
        <f t="shared" ca="1" si="1"/>
        <v>1</v>
      </c>
      <c r="Y670" s="10" t="str">
        <f t="shared" si="2"/>
        <v>Unique</v>
      </c>
      <c r="Z670" s="10"/>
      <c r="AA670" s="10" t="str">
        <f t="shared" si="3"/>
        <v>Clean</v>
      </c>
      <c r="AB670" s="15" t="str">
        <f t="shared" si="4"/>
        <v>Valid</v>
      </c>
      <c r="AC670" s="15">
        <v>2</v>
      </c>
      <c r="AD670" s="16" t="str">
        <f t="shared" si="5"/>
        <v>Valid</v>
      </c>
      <c r="AE670" s="16" t="str">
        <f t="shared" si="6"/>
        <v>Valid</v>
      </c>
      <c r="AF670" s="16" t="str">
        <f t="shared" ref="AF670:AG670" si="1351">IF(ISNUMBER(B670),"Valid","Invalid")</f>
        <v>Valid</v>
      </c>
      <c r="AG670" s="16" t="str">
        <f t="shared" si="1351"/>
        <v>Valid</v>
      </c>
      <c r="AH670" s="16" t="str">
        <f t="shared" ref="AH670:AI670" si="1352">IF(OR(B670="",ISBLANK(B670)),"Missing","Valid")</f>
        <v>Valid</v>
      </c>
      <c r="AI670" s="16" t="str">
        <f t="shared" si="1352"/>
        <v>Valid</v>
      </c>
      <c r="AJ670" s="16" t="b">
        <v>0</v>
      </c>
      <c r="AK670" s="16" t="b">
        <v>0</v>
      </c>
      <c r="AL670" s="16" t="b">
        <v>0</v>
      </c>
      <c r="AM670" s="16" t="b">
        <v>0</v>
      </c>
      <c r="AN670" s="16" t="b">
        <v>0</v>
      </c>
      <c r="AO670" s="16" t="b">
        <v>0</v>
      </c>
      <c r="AP670" s="16" t="b">
        <v>0</v>
      </c>
      <c r="AQ670" s="17">
        <f t="shared" si="9"/>
        <v>0.2</v>
      </c>
      <c r="AR670" s="12">
        <f t="shared" si="10"/>
        <v>2401.84</v>
      </c>
      <c r="AS670" s="18">
        <f t="shared" si="11"/>
        <v>0</v>
      </c>
      <c r="AT670" s="12">
        <f t="shared" si="12"/>
        <v>528.73000000000025</v>
      </c>
      <c r="AU670" s="18">
        <f t="shared" si="13"/>
        <v>0</v>
      </c>
      <c r="AV670" s="19">
        <f t="shared" si="14"/>
        <v>0.22013539619624964</v>
      </c>
      <c r="AW670" s="20" t="str">
        <f t="shared" si="15"/>
        <v>November</v>
      </c>
      <c r="AX670" s="21">
        <f t="shared" si="16"/>
        <v>2024</v>
      </c>
    </row>
    <row r="671" spans="1:50" ht="15.75" customHeight="1">
      <c r="A671" s="10" t="s">
        <v>2123</v>
      </c>
      <c r="B671" s="11">
        <v>45375</v>
      </c>
      <c r="C671" s="11">
        <v>45383</v>
      </c>
      <c r="D671" s="10" t="s">
        <v>2124</v>
      </c>
      <c r="E671" s="10" t="s">
        <v>91</v>
      </c>
      <c r="F671" s="10" t="s">
        <v>124</v>
      </c>
      <c r="G671" s="10" t="s">
        <v>92</v>
      </c>
      <c r="H671" s="10" t="s">
        <v>93</v>
      </c>
      <c r="I671" s="10" t="s">
        <v>94</v>
      </c>
      <c r="J671" s="10" t="s">
        <v>70</v>
      </c>
      <c r="K671" s="10" t="s">
        <v>71</v>
      </c>
      <c r="L671" s="10" t="s">
        <v>2125</v>
      </c>
      <c r="M671" s="10" t="s">
        <v>60</v>
      </c>
      <c r="N671" s="12">
        <v>4</v>
      </c>
      <c r="O671" s="12">
        <v>1700.72</v>
      </c>
      <c r="P671" s="12">
        <v>0.25</v>
      </c>
      <c r="Q671" s="12">
        <v>5102.16</v>
      </c>
      <c r="R671" s="12">
        <v>3226.45</v>
      </c>
      <c r="S671" s="12">
        <v>1875.71</v>
      </c>
      <c r="T671" s="10" t="s">
        <v>61</v>
      </c>
      <c r="U671" s="13" t="s">
        <v>62</v>
      </c>
      <c r="V671" s="14" t="e">
        <f t="shared" ca="1" si="0"/>
        <v>#NAME?</v>
      </c>
      <c r="W671" s="10" t="str">
        <f ca="1">IFERROR(__xludf.DUMMYFUNCTION("IF(COUNTIF($A:$A,A665)=1,
""Unique"",
IF(COUNTUNIQUE(FILTER($V$2:$V$934,$A$2:$A$934=A665))&gt;1,
""Conflicting Duplicate"",
""Exact Duplicate""))"),"Unique")</f>
        <v>Unique</v>
      </c>
      <c r="X671" s="10" t="b">
        <f t="shared" ca="1" si="1"/>
        <v>1</v>
      </c>
      <c r="Y671" s="10" t="str">
        <f t="shared" si="2"/>
        <v>Unique</v>
      </c>
      <c r="Z671" s="10"/>
      <c r="AA671" s="10" t="str">
        <f t="shared" si="3"/>
        <v>Clean</v>
      </c>
      <c r="AB671" s="15" t="str">
        <f t="shared" si="4"/>
        <v>Valid</v>
      </c>
      <c r="AC671" s="15">
        <v>8</v>
      </c>
      <c r="AD671" s="16" t="str">
        <f t="shared" si="5"/>
        <v>Valid</v>
      </c>
      <c r="AE671" s="16" t="str">
        <f t="shared" si="6"/>
        <v>Valid</v>
      </c>
      <c r="AF671" s="16" t="str">
        <f t="shared" ref="AF671:AG671" si="1353">IF(ISNUMBER(B671),"Valid","Invalid")</f>
        <v>Valid</v>
      </c>
      <c r="AG671" s="16" t="str">
        <f t="shared" si="1353"/>
        <v>Valid</v>
      </c>
      <c r="AH671" s="16" t="str">
        <f t="shared" ref="AH671:AI671" si="1354">IF(OR(B671="",ISBLANK(B671)),"Missing","Valid")</f>
        <v>Valid</v>
      </c>
      <c r="AI671" s="16" t="str">
        <f t="shared" si="1354"/>
        <v>Valid</v>
      </c>
      <c r="AJ671" s="16" t="b">
        <v>0</v>
      </c>
      <c r="AK671" s="16" t="b">
        <v>0</v>
      </c>
      <c r="AL671" s="16" t="b">
        <v>0</v>
      </c>
      <c r="AM671" s="16" t="b">
        <v>0</v>
      </c>
      <c r="AN671" s="16" t="b">
        <v>0</v>
      </c>
      <c r="AO671" s="16" t="b">
        <v>0</v>
      </c>
      <c r="AP671" s="16" t="b">
        <v>0</v>
      </c>
      <c r="AQ671" s="17">
        <f t="shared" si="9"/>
        <v>0.25</v>
      </c>
      <c r="AR671" s="12">
        <f t="shared" si="10"/>
        <v>5102.16</v>
      </c>
      <c r="AS671" s="18">
        <f t="shared" si="11"/>
        <v>0</v>
      </c>
      <c r="AT671" s="12">
        <f t="shared" si="12"/>
        <v>1875.71</v>
      </c>
      <c r="AU671" s="18">
        <f t="shared" si="13"/>
        <v>0</v>
      </c>
      <c r="AV671" s="19">
        <f t="shared" si="14"/>
        <v>0.36763057214983458</v>
      </c>
      <c r="AW671" s="20" t="str">
        <f t="shared" si="15"/>
        <v>March</v>
      </c>
      <c r="AX671" s="21">
        <f t="shared" si="16"/>
        <v>2024</v>
      </c>
    </row>
    <row r="672" spans="1:50" ht="15.75" customHeight="1">
      <c r="A672" s="10" t="s">
        <v>2126</v>
      </c>
      <c r="B672" s="11">
        <v>45690</v>
      </c>
      <c r="C672" s="11">
        <v>45694</v>
      </c>
      <c r="D672" s="10" t="s">
        <v>1628</v>
      </c>
      <c r="E672" s="10" t="s">
        <v>161</v>
      </c>
      <c r="F672" s="10" t="s">
        <v>119</v>
      </c>
      <c r="G672" s="10" t="s">
        <v>54</v>
      </c>
      <c r="H672" s="10" t="s">
        <v>165</v>
      </c>
      <c r="I672" s="10" t="s">
        <v>166</v>
      </c>
      <c r="J672" s="10" t="s">
        <v>70</v>
      </c>
      <c r="K672" s="10" t="s">
        <v>71</v>
      </c>
      <c r="L672" s="10" t="s">
        <v>2127</v>
      </c>
      <c r="M672" s="10" t="s">
        <v>88</v>
      </c>
      <c r="N672" s="12">
        <v>8</v>
      </c>
      <c r="O672" s="12">
        <v>857.86</v>
      </c>
      <c r="P672" s="12">
        <v>0.1</v>
      </c>
      <c r="Q672" s="12">
        <v>6176.59</v>
      </c>
      <c r="R672" s="12">
        <v>3560.96</v>
      </c>
      <c r="S672" s="12">
        <v>2615.63</v>
      </c>
      <c r="T672" s="10" t="s">
        <v>61</v>
      </c>
      <c r="U672" s="13" t="s">
        <v>62</v>
      </c>
      <c r="V672" s="14" t="e">
        <f t="shared" ca="1" si="0"/>
        <v>#NAME?</v>
      </c>
      <c r="W672" s="10" t="str">
        <f ca="1">IFERROR(__xludf.DUMMYFUNCTION("IF(COUNTIF($A:$A,A666)=1,
""Unique"",
IF(COUNTUNIQUE(FILTER($V$2:$V$934,$A$2:$A$934=A666))&gt;1,
""Conflicting Duplicate"",
""Exact Duplicate""))"),"Unique")</f>
        <v>Unique</v>
      </c>
      <c r="X672" s="10" t="b">
        <f t="shared" ca="1" si="1"/>
        <v>1</v>
      </c>
      <c r="Y672" s="10" t="str">
        <f t="shared" si="2"/>
        <v>Unique</v>
      </c>
      <c r="Z672" s="10"/>
      <c r="AA672" s="10" t="str">
        <f t="shared" si="3"/>
        <v>Clean</v>
      </c>
      <c r="AB672" s="15" t="str">
        <f t="shared" si="4"/>
        <v>Valid</v>
      </c>
      <c r="AC672" s="15">
        <v>4</v>
      </c>
      <c r="AD672" s="16" t="str">
        <f t="shared" si="5"/>
        <v>Valid</v>
      </c>
      <c r="AE672" s="16" t="str">
        <f t="shared" si="6"/>
        <v>Valid</v>
      </c>
      <c r="AF672" s="16" t="str">
        <f t="shared" ref="AF672:AG672" si="1355">IF(ISNUMBER(B672),"Valid","Invalid")</f>
        <v>Valid</v>
      </c>
      <c r="AG672" s="16" t="str">
        <f t="shared" si="1355"/>
        <v>Valid</v>
      </c>
      <c r="AH672" s="16" t="str">
        <f t="shared" ref="AH672:AI672" si="1356">IF(OR(B672="",ISBLANK(B672)),"Missing","Valid")</f>
        <v>Valid</v>
      </c>
      <c r="AI672" s="16" t="str">
        <f t="shared" si="1356"/>
        <v>Valid</v>
      </c>
      <c r="AJ672" s="16" t="b">
        <v>0</v>
      </c>
      <c r="AK672" s="16" t="b">
        <v>0</v>
      </c>
      <c r="AL672" s="16" t="b">
        <v>0</v>
      </c>
      <c r="AM672" s="16" t="b">
        <v>0</v>
      </c>
      <c r="AN672" s="16" t="b">
        <v>0</v>
      </c>
      <c r="AO672" s="16" t="b">
        <v>0</v>
      </c>
      <c r="AP672" s="16" t="b">
        <v>0</v>
      </c>
      <c r="AQ672" s="17">
        <f t="shared" si="9"/>
        <v>0.1</v>
      </c>
      <c r="AR672" s="12">
        <f t="shared" si="10"/>
        <v>6176.5920000000006</v>
      </c>
      <c r="AS672" s="18">
        <f t="shared" si="11"/>
        <v>-2.0000000004074536E-3</v>
      </c>
      <c r="AT672" s="12">
        <f t="shared" si="12"/>
        <v>2615.6320000000005</v>
      </c>
      <c r="AU672" s="18">
        <f t="shared" si="13"/>
        <v>-2.0000000004074536E-3</v>
      </c>
      <c r="AV672" s="19">
        <f t="shared" si="14"/>
        <v>0.42347495188285067</v>
      </c>
      <c r="AW672" s="20" t="str">
        <f t="shared" si="15"/>
        <v>February</v>
      </c>
      <c r="AX672" s="21">
        <f t="shared" si="16"/>
        <v>2025</v>
      </c>
    </row>
    <row r="673" spans="1:50" ht="15.75" customHeight="1">
      <c r="A673" s="10" t="s">
        <v>2128</v>
      </c>
      <c r="B673" s="11">
        <v>45373</v>
      </c>
      <c r="C673" s="11">
        <v>45378</v>
      </c>
      <c r="D673" s="10" t="s">
        <v>2129</v>
      </c>
      <c r="E673" s="10" t="s">
        <v>118</v>
      </c>
      <c r="F673" s="10" t="s">
        <v>124</v>
      </c>
      <c r="G673" s="10" t="s">
        <v>92</v>
      </c>
      <c r="H673" s="10" t="s">
        <v>219</v>
      </c>
      <c r="I673" s="10" t="s">
        <v>220</v>
      </c>
      <c r="J673" s="10" t="s">
        <v>103</v>
      </c>
      <c r="K673" s="10" t="s">
        <v>109</v>
      </c>
      <c r="L673" s="10" t="s">
        <v>2130</v>
      </c>
      <c r="M673" s="10" t="s">
        <v>60</v>
      </c>
      <c r="N673" s="12">
        <v>9</v>
      </c>
      <c r="O673" s="12">
        <v>3649.51</v>
      </c>
      <c r="P673" s="12">
        <v>0.05</v>
      </c>
      <c r="Q673" s="12">
        <v>31203.31</v>
      </c>
      <c r="R673" s="12">
        <v>17738.13</v>
      </c>
      <c r="S673" s="12">
        <v>13465.18</v>
      </c>
      <c r="T673" s="10" t="s">
        <v>61</v>
      </c>
      <c r="U673" s="13" t="s">
        <v>62</v>
      </c>
      <c r="V673" s="14" t="e">
        <f t="shared" ca="1" si="0"/>
        <v>#NAME?</v>
      </c>
      <c r="W673" s="10" t="str">
        <f ca="1">IFERROR(__xludf.DUMMYFUNCTION("IF(COUNTIF($A:$A,A667)=1,
""Unique"",
IF(COUNTUNIQUE(FILTER($V$2:$V$934,$A$2:$A$934=A667))&gt;1,
""Conflicting Duplicate"",
""Exact Duplicate""))"),"Unique")</f>
        <v>Unique</v>
      </c>
      <c r="X673" s="10" t="b">
        <f t="shared" ca="1" si="1"/>
        <v>1</v>
      </c>
      <c r="Y673" s="10" t="str">
        <f t="shared" si="2"/>
        <v>Unique</v>
      </c>
      <c r="Z673" s="10"/>
      <c r="AA673" s="10" t="str">
        <f t="shared" si="3"/>
        <v>Clean</v>
      </c>
      <c r="AB673" s="15" t="str">
        <f t="shared" si="4"/>
        <v>Valid</v>
      </c>
      <c r="AC673" s="15">
        <v>5</v>
      </c>
      <c r="AD673" s="16" t="str">
        <f t="shared" si="5"/>
        <v>Valid</v>
      </c>
      <c r="AE673" s="16" t="str">
        <f t="shared" si="6"/>
        <v>Valid</v>
      </c>
      <c r="AF673" s="16" t="str">
        <f t="shared" ref="AF673:AG673" si="1357">IF(ISNUMBER(B673),"Valid","Invalid")</f>
        <v>Valid</v>
      </c>
      <c r="AG673" s="16" t="str">
        <f t="shared" si="1357"/>
        <v>Valid</v>
      </c>
      <c r="AH673" s="16" t="str">
        <f t="shared" ref="AH673:AI673" si="1358">IF(OR(B673="",ISBLANK(B673)),"Missing","Valid")</f>
        <v>Valid</v>
      </c>
      <c r="AI673" s="16" t="str">
        <f t="shared" si="1358"/>
        <v>Valid</v>
      </c>
      <c r="AJ673" s="16" t="b">
        <v>0</v>
      </c>
      <c r="AK673" s="16" t="b">
        <v>0</v>
      </c>
      <c r="AL673" s="16" t="b">
        <v>0</v>
      </c>
      <c r="AM673" s="16" t="b">
        <v>0</v>
      </c>
      <c r="AN673" s="16" t="b">
        <v>0</v>
      </c>
      <c r="AO673" s="16" t="b">
        <v>0</v>
      </c>
      <c r="AP673" s="16" t="b">
        <v>0</v>
      </c>
      <c r="AQ673" s="17">
        <f t="shared" si="9"/>
        <v>0.05</v>
      </c>
      <c r="AR673" s="12">
        <f t="shared" si="10"/>
        <v>31203.310500000003</v>
      </c>
      <c r="AS673" s="18">
        <f t="shared" si="11"/>
        <v>-5.0000000192085281E-4</v>
      </c>
      <c r="AT673" s="12">
        <f t="shared" si="12"/>
        <v>13465.180500000002</v>
      </c>
      <c r="AU673" s="18">
        <f t="shared" si="13"/>
        <v>-5.0000000192085281E-4</v>
      </c>
      <c r="AV673" s="19">
        <f t="shared" si="14"/>
        <v>0.43153051020019179</v>
      </c>
      <c r="AW673" s="20" t="str">
        <f t="shared" si="15"/>
        <v>March</v>
      </c>
      <c r="AX673" s="21">
        <f t="shared" si="16"/>
        <v>2024</v>
      </c>
    </row>
    <row r="674" spans="1:50" ht="15.75" customHeight="1">
      <c r="A674" s="10" t="s">
        <v>2131</v>
      </c>
      <c r="B674" s="11">
        <v>45539</v>
      </c>
      <c r="C674" s="11">
        <v>45540</v>
      </c>
      <c r="D674" s="10" t="s">
        <v>2132</v>
      </c>
      <c r="E674" s="10" t="s">
        <v>118</v>
      </c>
      <c r="F674" s="10" t="s">
        <v>119</v>
      </c>
      <c r="G674" s="10" t="s">
        <v>92</v>
      </c>
      <c r="H674" s="10" t="s">
        <v>101</v>
      </c>
      <c r="I674" s="10" t="s">
        <v>102</v>
      </c>
      <c r="J674" s="10" t="s">
        <v>70</v>
      </c>
      <c r="K674" s="10" t="s">
        <v>95</v>
      </c>
      <c r="L674" s="10" t="s">
        <v>2133</v>
      </c>
      <c r="M674" s="10" t="s">
        <v>88</v>
      </c>
      <c r="N674" s="12">
        <v>5</v>
      </c>
      <c r="O674" s="12">
        <v>2528.5300000000002</v>
      </c>
      <c r="P674" s="12">
        <v>0.05</v>
      </c>
      <c r="Q674" s="12">
        <v>12010.52</v>
      </c>
      <c r="R674" s="12">
        <v>7864.61</v>
      </c>
      <c r="S674" s="12">
        <v>4145.91</v>
      </c>
      <c r="T674" s="10" t="s">
        <v>61</v>
      </c>
      <c r="U674" s="13" t="s">
        <v>132</v>
      </c>
      <c r="V674" s="14" t="e">
        <f t="shared" ca="1" si="0"/>
        <v>#NAME?</v>
      </c>
      <c r="W674" s="10" t="str">
        <f ca="1">IFERROR(__xludf.DUMMYFUNCTION("IF(COUNTIF($A:$A,A668)=1,
""Unique"",
IF(COUNTUNIQUE(FILTER($V$2:$V$934,$A$2:$A$934=A668))&gt;1,
""Conflicting Duplicate"",
""Exact Duplicate""))"),"Unique")</f>
        <v>Unique</v>
      </c>
      <c r="X674" s="10" t="b">
        <f t="shared" ca="1" si="1"/>
        <v>1</v>
      </c>
      <c r="Y674" s="10" t="str">
        <f t="shared" si="2"/>
        <v>Unique</v>
      </c>
      <c r="Z674" s="10"/>
      <c r="AA674" s="10" t="str">
        <f t="shared" si="3"/>
        <v>Clean</v>
      </c>
      <c r="AB674" s="15" t="str">
        <f t="shared" si="4"/>
        <v>Valid</v>
      </c>
      <c r="AC674" s="15">
        <v>1</v>
      </c>
      <c r="AD674" s="16" t="str">
        <f t="shared" si="5"/>
        <v>Valid</v>
      </c>
      <c r="AE674" s="16" t="str">
        <f t="shared" si="6"/>
        <v>Valid</v>
      </c>
      <c r="AF674" s="16" t="str">
        <f t="shared" ref="AF674:AG674" si="1359">IF(ISNUMBER(B674),"Valid","Invalid")</f>
        <v>Valid</v>
      </c>
      <c r="AG674" s="16" t="str">
        <f t="shared" si="1359"/>
        <v>Valid</v>
      </c>
      <c r="AH674" s="16" t="str">
        <f t="shared" ref="AH674:AI674" si="1360">IF(OR(B674="",ISBLANK(B674)),"Missing","Valid")</f>
        <v>Valid</v>
      </c>
      <c r="AI674" s="16" t="str">
        <f t="shared" si="1360"/>
        <v>Valid</v>
      </c>
      <c r="AJ674" s="16" t="b">
        <v>0</v>
      </c>
      <c r="AK674" s="16" t="b">
        <v>0</v>
      </c>
      <c r="AL674" s="16" t="b">
        <v>0</v>
      </c>
      <c r="AM674" s="16" t="b">
        <v>0</v>
      </c>
      <c r="AN674" s="16" t="b">
        <v>0</v>
      </c>
      <c r="AO674" s="16" t="b">
        <v>0</v>
      </c>
      <c r="AP674" s="16" t="b">
        <v>0</v>
      </c>
      <c r="AQ674" s="17">
        <f t="shared" si="9"/>
        <v>0.05</v>
      </c>
      <c r="AR674" s="12">
        <f t="shared" si="10"/>
        <v>12010.5175</v>
      </c>
      <c r="AS674" s="18">
        <f t="shared" si="11"/>
        <v>2.500000000509317E-3</v>
      </c>
      <c r="AT674" s="12">
        <f t="shared" si="12"/>
        <v>4145.9075000000003</v>
      </c>
      <c r="AU674" s="18">
        <f t="shared" si="13"/>
        <v>2.4999999995998223E-3</v>
      </c>
      <c r="AV674" s="19">
        <f t="shared" si="14"/>
        <v>0.34518974723612039</v>
      </c>
      <c r="AW674" s="20" t="str">
        <f t="shared" si="15"/>
        <v>September</v>
      </c>
      <c r="AX674" s="21">
        <f t="shared" si="16"/>
        <v>2024</v>
      </c>
    </row>
    <row r="675" spans="1:50" ht="15.75" customHeight="1">
      <c r="A675" s="10" t="s">
        <v>2134</v>
      </c>
      <c r="B675" s="11">
        <v>45701</v>
      </c>
      <c r="C675" s="11">
        <v>45704</v>
      </c>
      <c r="D675" s="10" t="s">
        <v>2135</v>
      </c>
      <c r="E675" s="10" t="s">
        <v>82</v>
      </c>
      <c r="F675" s="10" t="s">
        <v>66</v>
      </c>
      <c r="G675" s="10" t="s">
        <v>92</v>
      </c>
      <c r="H675" s="10" t="s">
        <v>55</v>
      </c>
      <c r="I675" s="10" t="s">
        <v>138</v>
      </c>
      <c r="J675" s="10" t="s">
        <v>70</v>
      </c>
      <c r="K675" s="10" t="s">
        <v>187</v>
      </c>
      <c r="L675" s="10" t="s">
        <v>2136</v>
      </c>
      <c r="M675" s="10" t="s">
        <v>60</v>
      </c>
      <c r="N675" s="12">
        <v>4</v>
      </c>
      <c r="O675" s="12">
        <v>4072.9</v>
      </c>
      <c r="P675" s="12">
        <v>0.15</v>
      </c>
      <c r="Q675" s="12">
        <v>13847.86</v>
      </c>
      <c r="R675" s="12">
        <v>8471.7800000000007</v>
      </c>
      <c r="S675" s="12">
        <v>5376.08</v>
      </c>
      <c r="T675" s="10" t="s">
        <v>61</v>
      </c>
      <c r="U675" s="13" t="s">
        <v>62</v>
      </c>
      <c r="V675" s="14" t="e">
        <f t="shared" ca="1" si="0"/>
        <v>#NAME?</v>
      </c>
      <c r="W675" s="10" t="str">
        <f ca="1">IFERROR(__xludf.DUMMYFUNCTION("IF(COUNTIF($A:$A,A669)=1,
""Unique"",
IF(COUNTUNIQUE(FILTER($V$2:$V$934,$A$2:$A$934=A669))&gt;1,
""Conflicting Duplicate"",
""Exact Duplicate""))"),"Unique")</f>
        <v>Unique</v>
      </c>
      <c r="X675" s="10" t="b">
        <f t="shared" ca="1" si="1"/>
        <v>1</v>
      </c>
      <c r="Y675" s="10" t="str">
        <f t="shared" si="2"/>
        <v>Unique</v>
      </c>
      <c r="Z675" s="10"/>
      <c r="AA675" s="10" t="str">
        <f t="shared" si="3"/>
        <v>Clean</v>
      </c>
      <c r="AB675" s="15" t="str">
        <f t="shared" si="4"/>
        <v>Valid</v>
      </c>
      <c r="AC675" s="15">
        <v>3</v>
      </c>
      <c r="AD675" s="16" t="str">
        <f t="shared" si="5"/>
        <v>Valid</v>
      </c>
      <c r="AE675" s="16" t="str">
        <f t="shared" si="6"/>
        <v>Valid</v>
      </c>
      <c r="AF675" s="16" t="str">
        <f t="shared" ref="AF675:AG675" si="1361">IF(ISNUMBER(B675),"Valid","Invalid")</f>
        <v>Valid</v>
      </c>
      <c r="AG675" s="16" t="str">
        <f t="shared" si="1361"/>
        <v>Valid</v>
      </c>
      <c r="AH675" s="16" t="str">
        <f t="shared" ref="AH675:AI675" si="1362">IF(OR(B675="",ISBLANK(B675)),"Missing","Valid")</f>
        <v>Valid</v>
      </c>
      <c r="AI675" s="16" t="str">
        <f t="shared" si="1362"/>
        <v>Valid</v>
      </c>
      <c r="AJ675" s="16" t="b">
        <v>0</v>
      </c>
      <c r="AK675" s="16" t="b">
        <v>0</v>
      </c>
      <c r="AL675" s="16" t="b">
        <v>0</v>
      </c>
      <c r="AM675" s="16" t="b">
        <v>0</v>
      </c>
      <c r="AN675" s="16" t="b">
        <v>0</v>
      </c>
      <c r="AO675" s="16" t="b">
        <v>0</v>
      </c>
      <c r="AP675" s="16" t="b">
        <v>0</v>
      </c>
      <c r="AQ675" s="17">
        <f t="shared" si="9"/>
        <v>0.15</v>
      </c>
      <c r="AR675" s="12">
        <f t="shared" si="10"/>
        <v>13847.86</v>
      </c>
      <c r="AS675" s="18">
        <f t="shared" si="11"/>
        <v>0</v>
      </c>
      <c r="AT675" s="12">
        <f t="shared" si="12"/>
        <v>5376.08</v>
      </c>
      <c r="AU675" s="18">
        <f t="shared" si="13"/>
        <v>0</v>
      </c>
      <c r="AV675" s="19">
        <f t="shared" si="14"/>
        <v>0.38822460654570451</v>
      </c>
      <c r="AW675" s="20" t="str">
        <f t="shared" si="15"/>
        <v>February</v>
      </c>
      <c r="AX675" s="21">
        <f t="shared" si="16"/>
        <v>2025</v>
      </c>
    </row>
    <row r="676" spans="1:50" ht="15.75" customHeight="1">
      <c r="A676" s="10" t="s">
        <v>2137</v>
      </c>
      <c r="B676" s="11">
        <v>45430</v>
      </c>
      <c r="C676" s="11">
        <v>45433</v>
      </c>
      <c r="D676" s="10" t="s">
        <v>2138</v>
      </c>
      <c r="E676" s="10" t="s">
        <v>100</v>
      </c>
      <c r="F676" s="10" t="s">
        <v>119</v>
      </c>
      <c r="G676" s="10" t="s">
        <v>67</v>
      </c>
      <c r="H676" s="10" t="s">
        <v>258</v>
      </c>
      <c r="I676" s="10" t="s">
        <v>259</v>
      </c>
      <c r="J676" s="10" t="s">
        <v>103</v>
      </c>
      <c r="K676" s="10" t="s">
        <v>104</v>
      </c>
      <c r="L676" s="10" t="s">
        <v>2139</v>
      </c>
      <c r="M676" s="10" t="s">
        <v>60</v>
      </c>
      <c r="N676" s="12">
        <v>1</v>
      </c>
      <c r="O676" s="12">
        <v>1033.71</v>
      </c>
      <c r="P676" s="12">
        <v>0</v>
      </c>
      <c r="Q676" s="12">
        <v>1033.71</v>
      </c>
      <c r="R676" s="12">
        <v>630.82000000000005</v>
      </c>
      <c r="S676" s="12">
        <v>402.89</v>
      </c>
      <c r="T676" s="10" t="s">
        <v>140</v>
      </c>
      <c r="U676" s="13" t="s">
        <v>132</v>
      </c>
      <c r="V676" s="14" t="e">
        <f t="shared" ca="1" si="0"/>
        <v>#NAME?</v>
      </c>
      <c r="W676" s="10" t="str">
        <f ca="1">IFERROR(__xludf.DUMMYFUNCTION("IF(COUNTIF($A:$A,A670)=1,
""Unique"",
IF(COUNTUNIQUE(FILTER($V$2:$V$934,$A$2:$A$934=A670))&gt;1,
""Conflicting Duplicate"",
""Exact Duplicate""))"),"Unique")</f>
        <v>Unique</v>
      </c>
      <c r="X676" s="10" t="b">
        <f t="shared" ca="1" si="1"/>
        <v>1</v>
      </c>
      <c r="Y676" s="10" t="str">
        <f t="shared" si="2"/>
        <v>Unique</v>
      </c>
      <c r="Z676" s="10"/>
      <c r="AA676" s="10" t="str">
        <f t="shared" si="3"/>
        <v>Clean</v>
      </c>
      <c r="AB676" s="15" t="str">
        <f t="shared" si="4"/>
        <v>Valid</v>
      </c>
      <c r="AC676" s="15">
        <v>3</v>
      </c>
      <c r="AD676" s="16" t="str">
        <f t="shared" si="5"/>
        <v>Valid</v>
      </c>
      <c r="AE676" s="16" t="str">
        <f t="shared" si="6"/>
        <v>Valid</v>
      </c>
      <c r="AF676" s="16" t="str">
        <f t="shared" ref="AF676:AG676" si="1363">IF(ISNUMBER(B676),"Valid","Invalid")</f>
        <v>Valid</v>
      </c>
      <c r="AG676" s="16" t="str">
        <f t="shared" si="1363"/>
        <v>Valid</v>
      </c>
      <c r="AH676" s="16" t="str">
        <f t="shared" ref="AH676:AI676" si="1364">IF(OR(B676="",ISBLANK(B676)),"Missing","Valid")</f>
        <v>Valid</v>
      </c>
      <c r="AI676" s="16" t="str">
        <f t="shared" si="1364"/>
        <v>Valid</v>
      </c>
      <c r="AJ676" s="16" t="b">
        <v>0</v>
      </c>
      <c r="AK676" s="16" t="b">
        <v>0</v>
      </c>
      <c r="AL676" s="16" t="b">
        <v>0</v>
      </c>
      <c r="AM676" s="16" t="b">
        <v>0</v>
      </c>
      <c r="AN676" s="16" t="b">
        <v>0</v>
      </c>
      <c r="AO676" s="16" t="b">
        <v>0</v>
      </c>
      <c r="AP676" s="16" t="b">
        <v>0</v>
      </c>
      <c r="AQ676" s="17">
        <f t="shared" si="9"/>
        <v>0</v>
      </c>
      <c r="AR676" s="12">
        <f t="shared" si="10"/>
        <v>1033.71</v>
      </c>
      <c r="AS676" s="18">
        <f t="shared" si="11"/>
        <v>0</v>
      </c>
      <c r="AT676" s="12">
        <f t="shared" si="12"/>
        <v>402.89</v>
      </c>
      <c r="AU676" s="18">
        <f t="shared" si="13"/>
        <v>0</v>
      </c>
      <c r="AV676" s="19">
        <f t="shared" si="14"/>
        <v>0.38975147768716562</v>
      </c>
      <c r="AW676" s="20" t="str">
        <f t="shared" si="15"/>
        <v>May</v>
      </c>
      <c r="AX676" s="21">
        <f t="shared" si="16"/>
        <v>2024</v>
      </c>
    </row>
    <row r="677" spans="1:50" ht="15.75" customHeight="1">
      <c r="A677" s="10" t="s">
        <v>2140</v>
      </c>
      <c r="B677" s="11">
        <v>45815</v>
      </c>
      <c r="C677" s="11">
        <v>45818</v>
      </c>
      <c r="D677" s="10" t="s">
        <v>2041</v>
      </c>
      <c r="E677" s="10" t="s">
        <v>157</v>
      </c>
      <c r="F677" s="10" t="s">
        <v>53</v>
      </c>
      <c r="G677" s="10" t="s">
        <v>54</v>
      </c>
      <c r="H677" s="10" t="s">
        <v>55</v>
      </c>
      <c r="I677" s="10" t="s">
        <v>56</v>
      </c>
      <c r="J677" s="10" t="s">
        <v>70</v>
      </c>
      <c r="K677" s="10" t="s">
        <v>86</v>
      </c>
      <c r="L677" s="10" t="s">
        <v>2141</v>
      </c>
      <c r="M677" s="10" t="s">
        <v>73</v>
      </c>
      <c r="N677" s="12">
        <v>3</v>
      </c>
      <c r="O677" s="12">
        <v>963.26</v>
      </c>
      <c r="P677" s="12">
        <v>0</v>
      </c>
      <c r="Q677" s="12">
        <v>2889.78</v>
      </c>
      <c r="R677" s="12">
        <v>1811.23</v>
      </c>
      <c r="S677" s="12">
        <v>1078.55</v>
      </c>
      <c r="T677" s="10" t="s">
        <v>61</v>
      </c>
      <c r="U677" s="13" t="s">
        <v>62</v>
      </c>
      <c r="V677" s="14" t="e">
        <f t="shared" ca="1" si="0"/>
        <v>#NAME?</v>
      </c>
      <c r="W677" s="10" t="str">
        <f ca="1">IFERROR(__xludf.DUMMYFUNCTION("IF(COUNTIF($A:$A,A671)=1,
""Unique"",
IF(COUNTUNIQUE(FILTER($V$2:$V$934,$A$2:$A$934=A671))&gt;1,
""Conflicting Duplicate"",
""Exact Duplicate""))"),"Unique")</f>
        <v>Unique</v>
      </c>
      <c r="X677" s="10" t="b">
        <f t="shared" ca="1" si="1"/>
        <v>1</v>
      </c>
      <c r="Y677" s="10" t="str">
        <f t="shared" si="2"/>
        <v>Unique</v>
      </c>
      <c r="Z677" s="10"/>
      <c r="AA677" s="10" t="str">
        <f t="shared" si="3"/>
        <v>Clean</v>
      </c>
      <c r="AB677" s="15" t="str">
        <f t="shared" si="4"/>
        <v>Valid</v>
      </c>
      <c r="AC677" s="15">
        <v>3</v>
      </c>
      <c r="AD677" s="16" t="str">
        <f t="shared" si="5"/>
        <v>Valid</v>
      </c>
      <c r="AE677" s="16" t="str">
        <f t="shared" si="6"/>
        <v>Valid</v>
      </c>
      <c r="AF677" s="16" t="str">
        <f t="shared" ref="AF677:AG677" si="1365">IF(ISNUMBER(B677),"Valid","Invalid")</f>
        <v>Valid</v>
      </c>
      <c r="AG677" s="16" t="str">
        <f t="shared" si="1365"/>
        <v>Valid</v>
      </c>
      <c r="AH677" s="16" t="str">
        <f t="shared" ref="AH677:AI677" si="1366">IF(OR(B677="",ISBLANK(B677)),"Missing","Valid")</f>
        <v>Valid</v>
      </c>
      <c r="AI677" s="16" t="str">
        <f t="shared" si="1366"/>
        <v>Valid</v>
      </c>
      <c r="AJ677" s="16" t="b">
        <v>0</v>
      </c>
      <c r="AK677" s="16" t="b">
        <v>0</v>
      </c>
      <c r="AL677" s="16" t="b">
        <v>0</v>
      </c>
      <c r="AM677" s="16" t="b">
        <v>0</v>
      </c>
      <c r="AN677" s="16" t="b">
        <v>0</v>
      </c>
      <c r="AO677" s="16" t="b">
        <v>0</v>
      </c>
      <c r="AP677" s="16" t="b">
        <v>0</v>
      </c>
      <c r="AQ677" s="17">
        <f t="shared" si="9"/>
        <v>0</v>
      </c>
      <c r="AR677" s="12">
        <f t="shared" si="10"/>
        <v>2889.7799999999997</v>
      </c>
      <c r="AS677" s="18">
        <f t="shared" si="11"/>
        <v>0</v>
      </c>
      <c r="AT677" s="12">
        <f t="shared" si="12"/>
        <v>1078.5499999999997</v>
      </c>
      <c r="AU677" s="18">
        <f t="shared" si="13"/>
        <v>0</v>
      </c>
      <c r="AV677" s="19">
        <f t="shared" si="14"/>
        <v>0.37322910394562903</v>
      </c>
      <c r="AW677" s="20" t="str">
        <f t="shared" si="15"/>
        <v>June</v>
      </c>
      <c r="AX677" s="21">
        <f t="shared" si="16"/>
        <v>2025</v>
      </c>
    </row>
    <row r="678" spans="1:50" ht="15.75" customHeight="1">
      <c r="A678" s="10" t="s">
        <v>2142</v>
      </c>
      <c r="B678" s="11">
        <v>45911</v>
      </c>
      <c r="C678" s="11">
        <v>45918</v>
      </c>
      <c r="D678" s="10" t="s">
        <v>2143</v>
      </c>
      <c r="E678" s="10" t="s">
        <v>147</v>
      </c>
      <c r="F678" s="10" t="s">
        <v>66</v>
      </c>
      <c r="G678" s="10" t="s">
        <v>54</v>
      </c>
      <c r="H678" s="10" t="s">
        <v>380</v>
      </c>
      <c r="I678" s="10" t="s">
        <v>381</v>
      </c>
      <c r="J678" s="10" t="s">
        <v>103</v>
      </c>
      <c r="K678" s="10" t="s">
        <v>200</v>
      </c>
      <c r="L678" s="10" t="s">
        <v>2144</v>
      </c>
      <c r="M678" s="10" t="s">
        <v>73</v>
      </c>
      <c r="N678" s="12">
        <v>7</v>
      </c>
      <c r="O678" s="12">
        <v>3411.21</v>
      </c>
      <c r="P678" s="12">
        <v>0.15</v>
      </c>
      <c r="Q678" s="12">
        <v>20296.7</v>
      </c>
      <c r="R678" s="12">
        <v>14920.87</v>
      </c>
      <c r="S678" s="12">
        <v>5375.83</v>
      </c>
      <c r="T678" s="10" t="s">
        <v>61</v>
      </c>
      <c r="U678" s="13" t="s">
        <v>62</v>
      </c>
      <c r="V678" s="14" t="e">
        <f t="shared" ca="1" si="0"/>
        <v>#NAME?</v>
      </c>
      <c r="W678" s="10" t="str">
        <f ca="1">IFERROR(__xludf.DUMMYFUNCTION("IF(COUNTIF($A:$A,A672)=1,
""Unique"",
IF(COUNTUNIQUE(FILTER($V$2:$V$934,$A$2:$A$934=A672))&gt;1,
""Conflicting Duplicate"",
""Exact Duplicate""))"),"Unique")</f>
        <v>Unique</v>
      </c>
      <c r="X678" s="10" t="b">
        <f t="shared" ca="1" si="1"/>
        <v>1</v>
      </c>
      <c r="Y678" s="10" t="str">
        <f t="shared" si="2"/>
        <v>Duplicate Order ID</v>
      </c>
      <c r="Z678" s="10"/>
      <c r="AA678" s="10" t="str">
        <f t="shared" si="3"/>
        <v>Clean</v>
      </c>
      <c r="AB678" s="15" t="str">
        <f t="shared" si="4"/>
        <v>Valid</v>
      </c>
      <c r="AC678" s="15">
        <v>7</v>
      </c>
      <c r="AD678" s="16" t="str">
        <f t="shared" si="5"/>
        <v>Valid</v>
      </c>
      <c r="AE678" s="16" t="str">
        <f t="shared" si="6"/>
        <v>Valid</v>
      </c>
      <c r="AF678" s="16" t="str">
        <f t="shared" ref="AF678:AG678" si="1367">IF(ISNUMBER(B678),"Valid","Invalid")</f>
        <v>Valid</v>
      </c>
      <c r="AG678" s="16" t="str">
        <f t="shared" si="1367"/>
        <v>Valid</v>
      </c>
      <c r="AH678" s="16" t="str">
        <f t="shared" ref="AH678:AI678" si="1368">IF(OR(B678="",ISBLANK(B678)),"Missing","Valid")</f>
        <v>Valid</v>
      </c>
      <c r="AI678" s="16" t="str">
        <f t="shared" si="1368"/>
        <v>Valid</v>
      </c>
      <c r="AJ678" s="16" t="b">
        <v>0</v>
      </c>
      <c r="AK678" s="16" t="b">
        <v>0</v>
      </c>
      <c r="AL678" s="16" t="b">
        <v>0</v>
      </c>
      <c r="AM678" s="16" t="b">
        <v>0</v>
      </c>
      <c r="AN678" s="16" t="b">
        <v>0</v>
      </c>
      <c r="AO678" s="16" t="b">
        <v>0</v>
      </c>
      <c r="AP678" s="16" t="b">
        <v>0</v>
      </c>
      <c r="AQ678" s="17">
        <f t="shared" si="9"/>
        <v>0.15</v>
      </c>
      <c r="AR678" s="12">
        <f t="shared" si="10"/>
        <v>20296.699499999999</v>
      </c>
      <c r="AS678" s="18">
        <f t="shared" si="11"/>
        <v>5.0000000192085281E-4</v>
      </c>
      <c r="AT678" s="12">
        <f t="shared" si="12"/>
        <v>5375.829499999998</v>
      </c>
      <c r="AU678" s="18">
        <f t="shared" si="13"/>
        <v>5.0000000192085281E-4</v>
      </c>
      <c r="AV678" s="19">
        <f t="shared" si="14"/>
        <v>0.26486225014071862</v>
      </c>
      <c r="AW678" s="20" t="str">
        <f t="shared" si="15"/>
        <v>September</v>
      </c>
      <c r="AX678" s="21">
        <f t="shared" si="16"/>
        <v>2025</v>
      </c>
    </row>
    <row r="679" spans="1:50" ht="15.75" customHeight="1">
      <c r="A679" s="10" t="s">
        <v>2145</v>
      </c>
      <c r="B679" s="11">
        <v>45465</v>
      </c>
      <c r="C679" s="11">
        <v>45470</v>
      </c>
      <c r="D679" s="10" t="s">
        <v>51</v>
      </c>
      <c r="E679" s="10" t="s">
        <v>76</v>
      </c>
      <c r="F679" s="10" t="s">
        <v>124</v>
      </c>
      <c r="G679" s="10" t="s">
        <v>83</v>
      </c>
      <c r="H679" s="10" t="s">
        <v>204</v>
      </c>
      <c r="I679" s="10" t="s">
        <v>205</v>
      </c>
      <c r="J679" s="10" t="s">
        <v>70</v>
      </c>
      <c r="K679" s="10" t="s">
        <v>95</v>
      </c>
      <c r="L679" s="10" t="s">
        <v>2146</v>
      </c>
      <c r="M679" s="10" t="s">
        <v>73</v>
      </c>
      <c r="N679" s="12">
        <v>7</v>
      </c>
      <c r="O679" s="12">
        <v>2623.48</v>
      </c>
      <c r="P679" s="12">
        <v>0</v>
      </c>
      <c r="Q679" s="12">
        <v>18364.36</v>
      </c>
      <c r="R679" s="12">
        <v>15445.81</v>
      </c>
      <c r="S679" s="12">
        <v>2918.55</v>
      </c>
      <c r="T679" s="10" t="s">
        <v>61</v>
      </c>
      <c r="U679" s="13" t="s">
        <v>62</v>
      </c>
      <c r="V679" s="14" t="e">
        <f t="shared" ca="1" si="0"/>
        <v>#NAME?</v>
      </c>
      <c r="W679" s="10" t="str">
        <f ca="1">IFERROR(__xludf.DUMMYFUNCTION("IF(COUNTIF($A:$A,A673)=1,
""Unique"",
IF(COUNTUNIQUE(FILTER($V$2:$V$934,$A$2:$A$934=A673))&gt;1,
""Conflicting Duplicate"",
""Exact Duplicate""))"),"Unique")</f>
        <v>Unique</v>
      </c>
      <c r="X679" s="10" t="b">
        <f t="shared" ca="1" si="1"/>
        <v>1</v>
      </c>
      <c r="Y679" s="10" t="str">
        <f t="shared" si="2"/>
        <v>Unique</v>
      </c>
      <c r="Z679" s="10"/>
      <c r="AA679" s="10" t="str">
        <f t="shared" si="3"/>
        <v>Clean</v>
      </c>
      <c r="AB679" s="15" t="str">
        <f t="shared" si="4"/>
        <v>Valid</v>
      </c>
      <c r="AC679" s="15">
        <v>5</v>
      </c>
      <c r="AD679" s="16" t="str">
        <f t="shared" si="5"/>
        <v>Valid</v>
      </c>
      <c r="AE679" s="16" t="str">
        <f t="shared" si="6"/>
        <v>Valid</v>
      </c>
      <c r="AF679" s="16" t="str">
        <f t="shared" ref="AF679:AG679" si="1369">IF(ISNUMBER(B679),"Valid","Invalid")</f>
        <v>Valid</v>
      </c>
      <c r="AG679" s="16" t="str">
        <f t="shared" si="1369"/>
        <v>Valid</v>
      </c>
      <c r="AH679" s="16" t="str">
        <f t="shared" ref="AH679:AI679" si="1370">IF(OR(B679="",ISBLANK(B679)),"Missing","Valid")</f>
        <v>Valid</v>
      </c>
      <c r="AI679" s="16" t="str">
        <f t="shared" si="1370"/>
        <v>Valid</v>
      </c>
      <c r="AJ679" s="16" t="b">
        <v>0</v>
      </c>
      <c r="AK679" s="16" t="b">
        <v>0</v>
      </c>
      <c r="AL679" s="16" t="b">
        <v>0</v>
      </c>
      <c r="AM679" s="16" t="b">
        <v>0</v>
      </c>
      <c r="AN679" s="16" t="b">
        <v>0</v>
      </c>
      <c r="AO679" s="16" t="b">
        <v>0</v>
      </c>
      <c r="AP679" s="16" t="b">
        <v>0</v>
      </c>
      <c r="AQ679" s="17">
        <f t="shared" si="9"/>
        <v>0</v>
      </c>
      <c r="AR679" s="12">
        <f t="shared" si="10"/>
        <v>18364.36</v>
      </c>
      <c r="AS679" s="18">
        <f t="shared" si="11"/>
        <v>0</v>
      </c>
      <c r="AT679" s="12">
        <f t="shared" si="12"/>
        <v>2918.5500000000011</v>
      </c>
      <c r="AU679" s="18">
        <f t="shared" si="13"/>
        <v>0</v>
      </c>
      <c r="AV679" s="19">
        <f t="shared" si="14"/>
        <v>0.15892467801763857</v>
      </c>
      <c r="AW679" s="20" t="str">
        <f t="shared" si="15"/>
        <v>June</v>
      </c>
      <c r="AX679" s="21">
        <f t="shared" si="16"/>
        <v>2024</v>
      </c>
    </row>
    <row r="680" spans="1:50" ht="15.75" customHeight="1">
      <c r="A680" s="10" t="s">
        <v>2147</v>
      </c>
      <c r="B680" s="11">
        <v>45620</v>
      </c>
      <c r="C680" s="11">
        <v>45627</v>
      </c>
      <c r="D680" s="10" t="s">
        <v>2148</v>
      </c>
      <c r="E680" s="10" t="s">
        <v>294</v>
      </c>
      <c r="F680" s="10" t="s">
        <v>119</v>
      </c>
      <c r="G680" s="10" t="s">
        <v>83</v>
      </c>
      <c r="H680" s="10" t="s">
        <v>204</v>
      </c>
      <c r="I680" s="10" t="s">
        <v>205</v>
      </c>
      <c r="J680" s="10" t="s">
        <v>70</v>
      </c>
      <c r="K680" s="10" t="s">
        <v>71</v>
      </c>
      <c r="L680" s="10" t="s">
        <v>2149</v>
      </c>
      <c r="M680" s="10" t="s">
        <v>60</v>
      </c>
      <c r="N680" s="12">
        <v>9</v>
      </c>
      <c r="O680" s="12">
        <v>2763.61</v>
      </c>
      <c r="P680" s="12">
        <v>0.15</v>
      </c>
      <c r="Q680" s="12">
        <v>21141.62</v>
      </c>
      <c r="R680" s="12">
        <v>11676.33</v>
      </c>
      <c r="S680" s="12">
        <v>9465.2900000000009</v>
      </c>
      <c r="T680" s="10" t="s">
        <v>61</v>
      </c>
      <c r="U680" s="13" t="s">
        <v>62</v>
      </c>
      <c r="V680" s="14" t="e">
        <f t="shared" ca="1" si="0"/>
        <v>#NAME?</v>
      </c>
      <c r="W680" s="10" t="str">
        <f ca="1">IFERROR(__xludf.DUMMYFUNCTION("IF(COUNTIF($A:$A,A674)=1,
""Unique"",
IF(COUNTUNIQUE(FILTER($V$2:$V$934,$A$2:$A$934=A674))&gt;1,
""Conflicting Duplicate"",
""Exact Duplicate""))"),"Unique")</f>
        <v>Unique</v>
      </c>
      <c r="X680" s="10" t="b">
        <f t="shared" ca="1" si="1"/>
        <v>1</v>
      </c>
      <c r="Y680" s="10" t="str">
        <f t="shared" si="2"/>
        <v>Unique</v>
      </c>
      <c r="Z680" s="10"/>
      <c r="AA680" s="10" t="str">
        <f t="shared" si="3"/>
        <v>Clean</v>
      </c>
      <c r="AB680" s="15" t="str">
        <f t="shared" si="4"/>
        <v>Valid</v>
      </c>
      <c r="AC680" s="15">
        <v>7</v>
      </c>
      <c r="AD680" s="16" t="str">
        <f t="shared" si="5"/>
        <v>Valid</v>
      </c>
      <c r="AE680" s="16" t="str">
        <f t="shared" si="6"/>
        <v>Valid</v>
      </c>
      <c r="AF680" s="16" t="str">
        <f t="shared" ref="AF680:AG680" si="1371">IF(ISNUMBER(B680),"Valid","Invalid")</f>
        <v>Valid</v>
      </c>
      <c r="AG680" s="16" t="str">
        <f t="shared" si="1371"/>
        <v>Valid</v>
      </c>
      <c r="AH680" s="16" t="str">
        <f t="shared" ref="AH680:AI680" si="1372">IF(OR(B680="",ISBLANK(B680)),"Missing","Valid")</f>
        <v>Valid</v>
      </c>
      <c r="AI680" s="16" t="str">
        <f t="shared" si="1372"/>
        <v>Valid</v>
      </c>
      <c r="AJ680" s="16" t="b">
        <v>0</v>
      </c>
      <c r="AK680" s="16" t="b">
        <v>0</v>
      </c>
      <c r="AL680" s="16" t="b">
        <v>0</v>
      </c>
      <c r="AM680" s="16" t="b">
        <v>0</v>
      </c>
      <c r="AN680" s="16" t="b">
        <v>0</v>
      </c>
      <c r="AO680" s="16" t="b">
        <v>0</v>
      </c>
      <c r="AP680" s="16" t="b">
        <v>0</v>
      </c>
      <c r="AQ680" s="17">
        <f t="shared" si="9"/>
        <v>0.15</v>
      </c>
      <c r="AR680" s="12">
        <f t="shared" si="10"/>
        <v>21141.6165</v>
      </c>
      <c r="AS680" s="18">
        <f t="shared" si="11"/>
        <v>3.4999999988940544E-3</v>
      </c>
      <c r="AT680" s="12">
        <f t="shared" si="12"/>
        <v>9465.2865000000002</v>
      </c>
      <c r="AU680" s="18">
        <f t="shared" si="13"/>
        <v>3.5000000007130438E-3</v>
      </c>
      <c r="AV680" s="19">
        <f t="shared" si="14"/>
        <v>0.44770874071999178</v>
      </c>
      <c r="AW680" s="20" t="str">
        <f t="shared" si="15"/>
        <v>November</v>
      </c>
      <c r="AX680" s="21">
        <f t="shared" si="16"/>
        <v>2024</v>
      </c>
    </row>
    <row r="681" spans="1:50" ht="15.75" customHeight="1">
      <c r="A681" s="10" t="s">
        <v>2150</v>
      </c>
      <c r="B681" s="11">
        <v>45885</v>
      </c>
      <c r="C681" s="11">
        <v>45892</v>
      </c>
      <c r="D681" s="10" t="s">
        <v>2151</v>
      </c>
      <c r="E681" s="10" t="s">
        <v>170</v>
      </c>
      <c r="F681" s="10" t="s">
        <v>119</v>
      </c>
      <c r="G681" s="10" t="s">
        <v>54</v>
      </c>
      <c r="H681" s="10" t="s">
        <v>151</v>
      </c>
      <c r="I681" s="10" t="s">
        <v>152</v>
      </c>
      <c r="J681" s="10" t="s">
        <v>103</v>
      </c>
      <c r="K681" s="10" t="s">
        <v>109</v>
      </c>
      <c r="L681" s="10" t="s">
        <v>2152</v>
      </c>
      <c r="M681" s="10" t="s">
        <v>73</v>
      </c>
      <c r="N681" s="12">
        <v>4</v>
      </c>
      <c r="O681" s="12">
        <v>1410.57</v>
      </c>
      <c r="P681" s="10" t="s">
        <v>493</v>
      </c>
      <c r="Q681" s="12">
        <v>5360.17</v>
      </c>
      <c r="R681" s="12">
        <v>3881.51</v>
      </c>
      <c r="S681" s="12">
        <v>1478.66</v>
      </c>
      <c r="T681" s="10" t="s">
        <v>131</v>
      </c>
      <c r="U681" s="13" t="s">
        <v>97</v>
      </c>
      <c r="V681" s="14" t="e">
        <f t="shared" ca="1" si="0"/>
        <v>#NAME?</v>
      </c>
      <c r="W681" s="10" t="str">
        <f ca="1">IFERROR(__xludf.DUMMYFUNCTION("IF(COUNTIF($A:$A,A675)=1,
""Unique"",
IF(COUNTUNIQUE(FILTER($V$2:$V$934,$A$2:$A$934=A675))&gt;1,
""Conflicting Duplicate"",
""Exact Duplicate""))"),"Unique")</f>
        <v>Unique</v>
      </c>
      <c r="X681" s="10" t="b">
        <f t="shared" ca="1" si="1"/>
        <v>1</v>
      </c>
      <c r="Y681" s="10" t="str">
        <f t="shared" si="2"/>
        <v>Unique</v>
      </c>
      <c r="Z681" s="10"/>
      <c r="AA681" s="10" t="str">
        <f t="shared" si="3"/>
        <v>Invalid</v>
      </c>
      <c r="AB681" s="15" t="str">
        <f t="shared" si="4"/>
        <v>Valid</v>
      </c>
      <c r="AC681" s="15">
        <v>7</v>
      </c>
      <c r="AD681" s="16" t="str">
        <f t="shared" si="5"/>
        <v>Valid</v>
      </c>
      <c r="AE681" s="16" t="str">
        <f t="shared" si="6"/>
        <v>Valid</v>
      </c>
      <c r="AF681" s="16" t="str">
        <f t="shared" ref="AF681:AG681" si="1373">IF(ISNUMBER(B681),"Valid","Invalid")</f>
        <v>Valid</v>
      </c>
      <c r="AG681" s="16" t="str">
        <f t="shared" si="1373"/>
        <v>Valid</v>
      </c>
      <c r="AH681" s="16" t="str">
        <f t="shared" ref="AH681:AI681" si="1374">IF(OR(B681="",ISBLANK(B681)),"Missing","Valid")</f>
        <v>Valid</v>
      </c>
      <c r="AI681" s="16" t="str">
        <f t="shared" si="1374"/>
        <v>Valid</v>
      </c>
      <c r="AJ681" s="16" t="b">
        <v>0</v>
      </c>
      <c r="AK681" s="16" t="b">
        <v>0</v>
      </c>
      <c r="AL681" s="16" t="b">
        <v>0</v>
      </c>
      <c r="AM681" s="16" t="b">
        <v>0</v>
      </c>
      <c r="AN681" s="16" t="b">
        <v>0</v>
      </c>
      <c r="AO681" s="16" t="b">
        <v>0</v>
      </c>
      <c r="AP681" s="16" t="b">
        <v>0</v>
      </c>
      <c r="AQ681" s="17" t="str">
        <f t="shared" si="9"/>
        <v>70%</v>
      </c>
      <c r="AR681" s="12">
        <f t="shared" si="10"/>
        <v>1692.6840000000002</v>
      </c>
      <c r="AS681" s="18">
        <f t="shared" si="11"/>
        <v>3667.4859999999999</v>
      </c>
      <c r="AT681" s="12">
        <f t="shared" si="12"/>
        <v>-2188.826</v>
      </c>
      <c r="AU681" s="18">
        <f t="shared" si="13"/>
        <v>3667.4859999999999</v>
      </c>
      <c r="AV681" s="19">
        <f t="shared" si="14"/>
        <v>-1.2931096412561351</v>
      </c>
      <c r="AW681" s="20" t="str">
        <f t="shared" si="15"/>
        <v>August</v>
      </c>
      <c r="AX681" s="21">
        <f t="shared" si="16"/>
        <v>2025</v>
      </c>
    </row>
    <row r="682" spans="1:50" ht="15.75" customHeight="1">
      <c r="A682" s="10" t="s">
        <v>2153</v>
      </c>
      <c r="B682" s="11">
        <v>45441</v>
      </c>
      <c r="C682" s="11">
        <v>45448</v>
      </c>
      <c r="D682" s="10" t="s">
        <v>2154</v>
      </c>
      <c r="E682" s="10" t="s">
        <v>294</v>
      </c>
      <c r="F682" s="10" t="s">
        <v>119</v>
      </c>
      <c r="G682" s="10" t="s">
        <v>83</v>
      </c>
      <c r="H682" s="10" t="s">
        <v>277</v>
      </c>
      <c r="I682" s="10" t="s">
        <v>278</v>
      </c>
      <c r="J682" s="10" t="s">
        <v>103</v>
      </c>
      <c r="K682" s="10" t="s">
        <v>104</v>
      </c>
      <c r="L682" s="10" t="s">
        <v>2155</v>
      </c>
      <c r="M682" s="10" t="s">
        <v>79</v>
      </c>
      <c r="N682" s="12">
        <v>4</v>
      </c>
      <c r="O682" s="12">
        <v>3700.24</v>
      </c>
      <c r="P682" s="12">
        <v>0</v>
      </c>
      <c r="Q682" s="12">
        <v>14800.96</v>
      </c>
      <c r="R682" s="12">
        <v>12048.39</v>
      </c>
      <c r="S682" s="12">
        <v>2752.57</v>
      </c>
      <c r="T682" s="10" t="s">
        <v>61</v>
      </c>
      <c r="U682" s="13" t="s">
        <v>62</v>
      </c>
      <c r="V682" s="14" t="e">
        <f t="shared" ca="1" si="0"/>
        <v>#NAME?</v>
      </c>
      <c r="W682" s="10" t="str">
        <f ca="1">IFERROR(__xludf.DUMMYFUNCTION("IF(COUNTIF($A:$A,A676)=1,
""Unique"",
IF(COUNTUNIQUE(FILTER($V$2:$V$934,$A$2:$A$934=A676))&gt;1,
""Conflicting Duplicate"",
""Exact Duplicate""))"),"Unique")</f>
        <v>Unique</v>
      </c>
      <c r="X682" s="10" t="b">
        <f t="shared" ca="1" si="1"/>
        <v>1</v>
      </c>
      <c r="Y682" s="10" t="str">
        <f t="shared" si="2"/>
        <v>Unique</v>
      </c>
      <c r="Z682" s="10"/>
      <c r="AA682" s="10" t="str">
        <f t="shared" si="3"/>
        <v>Clean</v>
      </c>
      <c r="AB682" s="15" t="str">
        <f t="shared" si="4"/>
        <v>Valid</v>
      </c>
      <c r="AC682" s="15">
        <v>7</v>
      </c>
      <c r="AD682" s="16" t="str">
        <f t="shared" si="5"/>
        <v>Valid</v>
      </c>
      <c r="AE682" s="16" t="str">
        <f t="shared" si="6"/>
        <v>Valid</v>
      </c>
      <c r="AF682" s="16" t="str">
        <f t="shared" ref="AF682:AG682" si="1375">IF(ISNUMBER(B682),"Valid","Invalid")</f>
        <v>Valid</v>
      </c>
      <c r="AG682" s="16" t="str">
        <f t="shared" si="1375"/>
        <v>Valid</v>
      </c>
      <c r="AH682" s="16" t="str">
        <f t="shared" ref="AH682:AI682" si="1376">IF(OR(B682="",ISBLANK(B682)),"Missing","Valid")</f>
        <v>Valid</v>
      </c>
      <c r="AI682" s="16" t="str">
        <f t="shared" si="1376"/>
        <v>Valid</v>
      </c>
      <c r="AJ682" s="16" t="b">
        <v>0</v>
      </c>
      <c r="AK682" s="16" t="b">
        <v>0</v>
      </c>
      <c r="AL682" s="16" t="b">
        <v>0</v>
      </c>
      <c r="AM682" s="16" t="b">
        <v>0</v>
      </c>
      <c r="AN682" s="16" t="b">
        <v>0</v>
      </c>
      <c r="AO682" s="16" t="b">
        <v>0</v>
      </c>
      <c r="AP682" s="16" t="b">
        <v>0</v>
      </c>
      <c r="AQ682" s="17">
        <f t="shared" si="9"/>
        <v>0</v>
      </c>
      <c r="AR682" s="12">
        <f t="shared" si="10"/>
        <v>14800.96</v>
      </c>
      <c r="AS682" s="18">
        <f t="shared" si="11"/>
        <v>0</v>
      </c>
      <c r="AT682" s="12">
        <f t="shared" si="12"/>
        <v>2752.5699999999997</v>
      </c>
      <c r="AU682" s="18">
        <f t="shared" si="13"/>
        <v>0</v>
      </c>
      <c r="AV682" s="19">
        <f t="shared" si="14"/>
        <v>0.18597239638509933</v>
      </c>
      <c r="AW682" s="20" t="str">
        <f t="shared" si="15"/>
        <v>May</v>
      </c>
      <c r="AX682" s="21">
        <f t="shared" si="16"/>
        <v>2024</v>
      </c>
    </row>
    <row r="683" spans="1:50" ht="15.75" customHeight="1">
      <c r="A683" s="10" t="s">
        <v>2156</v>
      </c>
      <c r="B683" s="11">
        <v>45477</v>
      </c>
      <c r="C683" s="11">
        <v>45483</v>
      </c>
      <c r="D683" s="10" t="s">
        <v>2157</v>
      </c>
      <c r="E683" s="10" t="s">
        <v>100</v>
      </c>
      <c r="F683" s="10" t="s">
        <v>119</v>
      </c>
      <c r="G683" s="10" t="s">
        <v>54</v>
      </c>
      <c r="H683" s="10" t="s">
        <v>380</v>
      </c>
      <c r="I683" s="10" t="s">
        <v>381</v>
      </c>
      <c r="J683" s="10" t="s">
        <v>70</v>
      </c>
      <c r="K683" s="10" t="s">
        <v>71</v>
      </c>
      <c r="L683" s="10" t="s">
        <v>2158</v>
      </c>
      <c r="M683" s="10" t="s">
        <v>60</v>
      </c>
      <c r="N683" s="12">
        <v>5</v>
      </c>
      <c r="O683" s="12">
        <v>1200.27</v>
      </c>
      <c r="P683" s="12">
        <v>0</v>
      </c>
      <c r="Q683" s="12">
        <v>6001.35</v>
      </c>
      <c r="R683" s="12">
        <v>4182.99</v>
      </c>
      <c r="S683" s="12">
        <v>1818.36</v>
      </c>
      <c r="T683" s="10" t="s">
        <v>61</v>
      </c>
      <c r="U683" s="13" t="s">
        <v>97</v>
      </c>
      <c r="V683" s="14" t="e">
        <f t="shared" ca="1" si="0"/>
        <v>#NAME?</v>
      </c>
      <c r="W683" s="10" t="str">
        <f ca="1">IFERROR(__xludf.DUMMYFUNCTION("IF(COUNTIF($A:$A,A677)=1,
""Unique"",
IF(COUNTUNIQUE(FILTER($V$2:$V$934,$A$2:$A$934=A677))&gt;1,
""Conflicting Duplicate"",
""Exact Duplicate""))"),"Unique")</f>
        <v>Unique</v>
      </c>
      <c r="X683" s="10" t="b">
        <f t="shared" ca="1" si="1"/>
        <v>1</v>
      </c>
      <c r="Y683" s="10" t="str">
        <f t="shared" si="2"/>
        <v>Unique</v>
      </c>
      <c r="Z683" s="10"/>
      <c r="AA683" s="10" t="str">
        <f t="shared" si="3"/>
        <v>Clean</v>
      </c>
      <c r="AB683" s="15" t="str">
        <f t="shared" si="4"/>
        <v>Valid</v>
      </c>
      <c r="AC683" s="15">
        <v>6</v>
      </c>
      <c r="AD683" s="16" t="str">
        <f t="shared" si="5"/>
        <v>Valid</v>
      </c>
      <c r="AE683" s="16" t="str">
        <f t="shared" si="6"/>
        <v>Valid</v>
      </c>
      <c r="AF683" s="16" t="str">
        <f t="shared" ref="AF683:AG683" si="1377">IF(ISNUMBER(B683),"Valid","Invalid")</f>
        <v>Valid</v>
      </c>
      <c r="AG683" s="16" t="str">
        <f t="shared" si="1377"/>
        <v>Valid</v>
      </c>
      <c r="AH683" s="16" t="str">
        <f t="shared" ref="AH683:AI683" si="1378">IF(OR(B683="",ISBLANK(B683)),"Missing","Valid")</f>
        <v>Valid</v>
      </c>
      <c r="AI683" s="16" t="str">
        <f t="shared" si="1378"/>
        <v>Valid</v>
      </c>
      <c r="AJ683" s="16" t="b">
        <v>0</v>
      </c>
      <c r="AK683" s="16" t="b">
        <v>0</v>
      </c>
      <c r="AL683" s="16" t="b">
        <v>0</v>
      </c>
      <c r="AM683" s="16" t="b">
        <v>0</v>
      </c>
      <c r="AN683" s="16" t="b">
        <v>0</v>
      </c>
      <c r="AO683" s="16" t="b">
        <v>0</v>
      </c>
      <c r="AP683" s="16" t="b">
        <v>0</v>
      </c>
      <c r="AQ683" s="17">
        <f t="shared" si="9"/>
        <v>0</v>
      </c>
      <c r="AR683" s="12">
        <f t="shared" si="10"/>
        <v>6001.35</v>
      </c>
      <c r="AS683" s="18">
        <f t="shared" si="11"/>
        <v>0</v>
      </c>
      <c r="AT683" s="12">
        <f t="shared" si="12"/>
        <v>1818.3600000000006</v>
      </c>
      <c r="AU683" s="18">
        <f t="shared" si="13"/>
        <v>0</v>
      </c>
      <c r="AV683" s="19">
        <f t="shared" si="14"/>
        <v>0.30299182683896131</v>
      </c>
      <c r="AW683" s="20" t="str">
        <f t="shared" si="15"/>
        <v>July</v>
      </c>
      <c r="AX683" s="21">
        <f t="shared" si="16"/>
        <v>2024</v>
      </c>
    </row>
    <row r="684" spans="1:50" ht="15.75" customHeight="1">
      <c r="A684" s="10" t="s">
        <v>2159</v>
      </c>
      <c r="B684" s="11">
        <v>45693</v>
      </c>
      <c r="C684" s="11">
        <v>45693</v>
      </c>
      <c r="D684" s="10" t="s">
        <v>2160</v>
      </c>
      <c r="E684" s="10" t="s">
        <v>91</v>
      </c>
      <c r="F684" s="10" t="s">
        <v>119</v>
      </c>
      <c r="G684" s="10" t="s">
        <v>54</v>
      </c>
      <c r="H684" s="10" t="s">
        <v>266</v>
      </c>
      <c r="I684" s="10" t="s">
        <v>267</v>
      </c>
      <c r="J684" s="10" t="s">
        <v>57</v>
      </c>
      <c r="K684" s="10" t="s">
        <v>153</v>
      </c>
      <c r="L684" s="10" t="s">
        <v>2161</v>
      </c>
      <c r="M684" s="10" t="s">
        <v>73</v>
      </c>
      <c r="N684" s="12">
        <v>3</v>
      </c>
      <c r="O684" s="12">
        <v>2590.7800000000002</v>
      </c>
      <c r="P684" s="12">
        <v>0</v>
      </c>
      <c r="Q684" s="12">
        <v>7383.72</v>
      </c>
      <c r="R684" s="12">
        <v>4113.66</v>
      </c>
      <c r="S684" s="12">
        <v>3270.06</v>
      </c>
      <c r="T684" s="10" t="s">
        <v>61</v>
      </c>
      <c r="U684" s="13" t="s">
        <v>62</v>
      </c>
      <c r="V684" s="14" t="e">
        <f t="shared" ca="1" si="0"/>
        <v>#NAME?</v>
      </c>
      <c r="W684" s="10" t="str">
        <f ca="1">IFERROR(__xludf.DUMMYFUNCTION("IF(COUNTIF($A:$A,A678)=1,
""Unique"",
IF(COUNTUNIQUE(FILTER($V$2:$V$934,$A$2:$A$934=A678))&gt;1,
""Conflicting Duplicate"",
""Exact Duplicate""))"),"Exact Duplicate")</f>
        <v>Exact Duplicate</v>
      </c>
      <c r="X684" s="10" t="b">
        <f t="shared" ca="1" si="1"/>
        <v>1</v>
      </c>
      <c r="Y684" s="10" t="str">
        <f t="shared" si="2"/>
        <v>Unique</v>
      </c>
      <c r="Z684" s="10"/>
      <c r="AA684" s="10" t="str">
        <f t="shared" si="3"/>
        <v>Clean</v>
      </c>
      <c r="AB684" s="15" t="str">
        <f t="shared" si="4"/>
        <v>Valid</v>
      </c>
      <c r="AC684" s="15">
        <v>0</v>
      </c>
      <c r="AD684" s="16" t="str">
        <f t="shared" si="5"/>
        <v>Valid</v>
      </c>
      <c r="AE684" s="16" t="str">
        <f t="shared" si="6"/>
        <v>Valid</v>
      </c>
      <c r="AF684" s="16" t="str">
        <f t="shared" ref="AF684:AG684" si="1379">IF(ISNUMBER(B684),"Valid","Invalid")</f>
        <v>Valid</v>
      </c>
      <c r="AG684" s="16" t="str">
        <f t="shared" si="1379"/>
        <v>Valid</v>
      </c>
      <c r="AH684" s="16" t="str">
        <f t="shared" ref="AH684:AI684" si="1380">IF(OR(B684="",ISBLANK(B684)),"Missing","Valid")</f>
        <v>Valid</v>
      </c>
      <c r="AI684" s="16" t="str">
        <f t="shared" si="1380"/>
        <v>Valid</v>
      </c>
      <c r="AJ684" s="16" t="b">
        <v>0</v>
      </c>
      <c r="AK684" s="16" t="b">
        <v>0</v>
      </c>
      <c r="AL684" s="16" t="b">
        <v>1</v>
      </c>
      <c r="AM684" s="16" t="b">
        <v>0</v>
      </c>
      <c r="AN684" s="16" t="b">
        <v>0</v>
      </c>
      <c r="AO684" s="16" t="b">
        <v>0</v>
      </c>
      <c r="AP684" s="16" t="b">
        <v>1</v>
      </c>
      <c r="AQ684" s="17">
        <f t="shared" si="9"/>
        <v>0</v>
      </c>
      <c r="AR684" s="12">
        <f t="shared" si="10"/>
        <v>7772.34</v>
      </c>
      <c r="AS684" s="18">
        <f t="shared" si="11"/>
        <v>-388.61999999999989</v>
      </c>
      <c r="AT684" s="12">
        <f t="shared" si="12"/>
        <v>3658.6800000000003</v>
      </c>
      <c r="AU684" s="18">
        <f t="shared" si="13"/>
        <v>-388.62000000000035</v>
      </c>
      <c r="AV684" s="19">
        <f t="shared" si="14"/>
        <v>0.47073082237781677</v>
      </c>
      <c r="AW684" s="20" t="str">
        <f t="shared" si="15"/>
        <v>February</v>
      </c>
      <c r="AX684" s="21">
        <f t="shared" si="16"/>
        <v>2025</v>
      </c>
    </row>
    <row r="685" spans="1:50" ht="15.75" customHeight="1">
      <c r="A685" s="10" t="s">
        <v>2162</v>
      </c>
      <c r="B685" s="11">
        <v>45858</v>
      </c>
      <c r="C685" s="11">
        <v>45862</v>
      </c>
      <c r="D685" s="10" t="s">
        <v>2163</v>
      </c>
      <c r="E685" s="10" t="s">
        <v>82</v>
      </c>
      <c r="F685" s="10" t="s">
        <v>66</v>
      </c>
      <c r="G685" s="10" t="s">
        <v>83</v>
      </c>
      <c r="H685" s="10" t="s">
        <v>84</v>
      </c>
      <c r="I685" s="10" t="s">
        <v>85</v>
      </c>
      <c r="J685" s="10" t="s">
        <v>70</v>
      </c>
      <c r="K685" s="10" t="s">
        <v>86</v>
      </c>
      <c r="L685" s="10" t="s">
        <v>2164</v>
      </c>
      <c r="M685" s="10" t="s">
        <v>60</v>
      </c>
      <c r="N685" s="12">
        <v>6</v>
      </c>
      <c r="O685" s="12">
        <v>1646.45</v>
      </c>
      <c r="P685" s="12">
        <v>0.2</v>
      </c>
      <c r="Q685" s="12">
        <v>7902.96</v>
      </c>
      <c r="R685" s="12">
        <v>5512.03</v>
      </c>
      <c r="S685" s="12">
        <v>2390.9299999999998</v>
      </c>
      <c r="T685" s="10" t="s">
        <v>131</v>
      </c>
      <c r="U685" s="13" t="s">
        <v>97</v>
      </c>
      <c r="V685" s="14" t="e">
        <f t="shared" ca="1" si="0"/>
        <v>#NAME?</v>
      </c>
      <c r="W685" s="10" t="str">
        <f ca="1">IFERROR(__xludf.DUMMYFUNCTION("IF(COUNTIF($A:$A,A679)=1,
""Unique"",
IF(COUNTUNIQUE(FILTER($V$2:$V$934,$A$2:$A$934=A679))&gt;1,
""Conflicting Duplicate"",
""Exact Duplicate""))"),"Unique")</f>
        <v>Unique</v>
      </c>
      <c r="X685" s="10" t="b">
        <f t="shared" ca="1" si="1"/>
        <v>1</v>
      </c>
      <c r="Y685" s="10" t="str">
        <f t="shared" si="2"/>
        <v>Unique</v>
      </c>
      <c r="Z685" s="10"/>
      <c r="AA685" s="10" t="str">
        <f t="shared" si="3"/>
        <v>Clean</v>
      </c>
      <c r="AB685" s="15" t="str">
        <f t="shared" si="4"/>
        <v>Valid</v>
      </c>
      <c r="AC685" s="15">
        <v>4</v>
      </c>
      <c r="AD685" s="16" t="str">
        <f t="shared" si="5"/>
        <v>Valid</v>
      </c>
      <c r="AE685" s="16" t="str">
        <f t="shared" si="6"/>
        <v>Valid</v>
      </c>
      <c r="AF685" s="16" t="str">
        <f t="shared" ref="AF685:AG685" si="1381">IF(ISNUMBER(B685),"Valid","Invalid")</f>
        <v>Valid</v>
      </c>
      <c r="AG685" s="16" t="str">
        <f t="shared" si="1381"/>
        <v>Valid</v>
      </c>
      <c r="AH685" s="16" t="str">
        <f t="shared" ref="AH685:AI685" si="1382">IF(OR(B685="",ISBLANK(B685)),"Missing","Valid")</f>
        <v>Valid</v>
      </c>
      <c r="AI685" s="16" t="str">
        <f t="shared" si="1382"/>
        <v>Valid</v>
      </c>
      <c r="AJ685" s="16" t="b">
        <v>0</v>
      </c>
      <c r="AK685" s="16" t="b">
        <v>0</v>
      </c>
      <c r="AL685" s="16" t="b">
        <v>0</v>
      </c>
      <c r="AM685" s="16" t="b">
        <v>0</v>
      </c>
      <c r="AN685" s="16" t="b">
        <v>0</v>
      </c>
      <c r="AO685" s="16" t="b">
        <v>0</v>
      </c>
      <c r="AP685" s="16" t="b">
        <v>0</v>
      </c>
      <c r="AQ685" s="17">
        <f t="shared" si="9"/>
        <v>0.2</v>
      </c>
      <c r="AR685" s="12">
        <f t="shared" si="10"/>
        <v>7902.9600000000009</v>
      </c>
      <c r="AS685" s="18">
        <f t="shared" si="11"/>
        <v>0</v>
      </c>
      <c r="AT685" s="12">
        <f t="shared" si="12"/>
        <v>2390.9300000000012</v>
      </c>
      <c r="AU685" s="18">
        <f t="shared" si="13"/>
        <v>0</v>
      </c>
      <c r="AV685" s="19">
        <f t="shared" si="14"/>
        <v>0.30253601182341816</v>
      </c>
      <c r="AW685" s="20" t="str">
        <f t="shared" si="15"/>
        <v>July</v>
      </c>
      <c r="AX685" s="21">
        <f t="shared" si="16"/>
        <v>2025</v>
      </c>
    </row>
    <row r="686" spans="1:50" ht="15.75" customHeight="1">
      <c r="A686" s="10" t="s">
        <v>2165</v>
      </c>
      <c r="B686" s="11">
        <v>45859</v>
      </c>
      <c r="C686" s="11">
        <v>45859</v>
      </c>
      <c r="D686" s="10" t="s">
        <v>2166</v>
      </c>
      <c r="E686" s="10" t="s">
        <v>76</v>
      </c>
      <c r="F686" s="10" t="s">
        <v>124</v>
      </c>
      <c r="G686" s="10" t="s">
        <v>83</v>
      </c>
      <c r="H686" s="10" t="s">
        <v>277</v>
      </c>
      <c r="I686" s="10" t="s">
        <v>278</v>
      </c>
      <c r="J686" s="10" t="s">
        <v>70</v>
      </c>
      <c r="K686" s="10" t="s">
        <v>187</v>
      </c>
      <c r="L686" s="10" t="s">
        <v>2167</v>
      </c>
      <c r="M686" s="10" t="s">
        <v>79</v>
      </c>
      <c r="N686" s="12">
        <v>7</v>
      </c>
      <c r="O686" s="12">
        <v>4396.6499999999996</v>
      </c>
      <c r="P686" s="12">
        <v>0.2</v>
      </c>
      <c r="Q686" s="12">
        <v>24621.24</v>
      </c>
      <c r="R686" s="12">
        <v>17155.48</v>
      </c>
      <c r="S686" s="12">
        <v>7465.76</v>
      </c>
      <c r="T686" s="10" t="s">
        <v>131</v>
      </c>
      <c r="U686" s="13" t="s">
        <v>97</v>
      </c>
      <c r="V686" s="14" t="e">
        <f t="shared" ca="1" si="0"/>
        <v>#NAME?</v>
      </c>
      <c r="W686" s="10" t="str">
        <f ca="1">IFERROR(__xludf.DUMMYFUNCTION("IF(COUNTIF($A:$A,A680)=1,
""Unique"",
IF(COUNTUNIQUE(FILTER($V$2:$V$934,$A$2:$A$934=A680))&gt;1,
""Conflicting Duplicate"",
""Exact Duplicate""))"),"Unique")</f>
        <v>Unique</v>
      </c>
      <c r="X686" s="10" t="b">
        <f t="shared" ca="1" si="1"/>
        <v>1</v>
      </c>
      <c r="Y686" s="10" t="str">
        <f t="shared" si="2"/>
        <v>Unique</v>
      </c>
      <c r="Z686" s="10"/>
      <c r="AA686" s="10" t="str">
        <f t="shared" si="3"/>
        <v>Clean</v>
      </c>
      <c r="AB686" s="15" t="str">
        <f t="shared" si="4"/>
        <v>Valid</v>
      </c>
      <c r="AC686" s="15">
        <v>0</v>
      </c>
      <c r="AD686" s="16" t="str">
        <f t="shared" si="5"/>
        <v>Valid</v>
      </c>
      <c r="AE686" s="16" t="str">
        <f t="shared" si="6"/>
        <v>Valid</v>
      </c>
      <c r="AF686" s="16" t="str">
        <f t="shared" ref="AF686:AG686" si="1383">IF(ISNUMBER(B686),"Valid","Invalid")</f>
        <v>Valid</v>
      </c>
      <c r="AG686" s="16" t="str">
        <f t="shared" si="1383"/>
        <v>Valid</v>
      </c>
      <c r="AH686" s="16" t="str">
        <f t="shared" ref="AH686:AI686" si="1384">IF(OR(B686="",ISBLANK(B686)),"Missing","Valid")</f>
        <v>Valid</v>
      </c>
      <c r="AI686" s="16" t="str">
        <f t="shared" si="1384"/>
        <v>Valid</v>
      </c>
      <c r="AJ686" s="16" t="b">
        <v>0</v>
      </c>
      <c r="AK686" s="16" t="b">
        <v>0</v>
      </c>
      <c r="AL686" s="16" t="b">
        <v>0</v>
      </c>
      <c r="AM686" s="16" t="b">
        <v>0</v>
      </c>
      <c r="AN686" s="16" t="b">
        <v>0</v>
      </c>
      <c r="AO686" s="16" t="b">
        <v>0</v>
      </c>
      <c r="AP686" s="16" t="b">
        <v>0</v>
      </c>
      <c r="AQ686" s="17">
        <f t="shared" si="9"/>
        <v>0.2</v>
      </c>
      <c r="AR686" s="12">
        <f t="shared" si="10"/>
        <v>24621.239999999998</v>
      </c>
      <c r="AS686" s="18">
        <f t="shared" si="11"/>
        <v>0</v>
      </c>
      <c r="AT686" s="12">
        <f t="shared" si="12"/>
        <v>7465.7599999999984</v>
      </c>
      <c r="AU686" s="18">
        <f t="shared" si="13"/>
        <v>0</v>
      </c>
      <c r="AV686" s="19">
        <f t="shared" si="14"/>
        <v>0.3032243705028666</v>
      </c>
      <c r="AW686" s="20" t="str">
        <f t="shared" si="15"/>
        <v>July</v>
      </c>
      <c r="AX686" s="21">
        <f t="shared" si="16"/>
        <v>2025</v>
      </c>
    </row>
    <row r="687" spans="1:50" ht="15.75" customHeight="1">
      <c r="A687" s="10" t="s">
        <v>2168</v>
      </c>
      <c r="B687" s="11">
        <v>45931</v>
      </c>
      <c r="C687" s="11">
        <v>45933</v>
      </c>
      <c r="D687" s="10" t="s">
        <v>1834</v>
      </c>
      <c r="E687" s="10" t="s">
        <v>108</v>
      </c>
      <c r="F687" s="10" t="s">
        <v>119</v>
      </c>
      <c r="G687" s="10" t="s">
        <v>92</v>
      </c>
      <c r="H687" s="10" t="s">
        <v>219</v>
      </c>
      <c r="I687" s="10" t="s">
        <v>220</v>
      </c>
      <c r="J687" s="10" t="s">
        <v>57</v>
      </c>
      <c r="K687" s="10" t="s">
        <v>77</v>
      </c>
      <c r="L687" s="10" t="s">
        <v>2169</v>
      </c>
      <c r="M687" s="10" t="s">
        <v>88</v>
      </c>
      <c r="N687" s="12">
        <v>9</v>
      </c>
      <c r="O687" s="12">
        <v>818.15</v>
      </c>
      <c r="P687" s="12">
        <v>0.55000000000000004</v>
      </c>
      <c r="Q687" s="12">
        <v>6627.01</v>
      </c>
      <c r="R687" s="12">
        <v>5606.79</v>
      </c>
      <c r="S687" s="12">
        <v>1020.22</v>
      </c>
      <c r="T687" s="10" t="s">
        <v>184</v>
      </c>
      <c r="U687" s="13" t="s">
        <v>97</v>
      </c>
      <c r="V687" s="14" t="e">
        <f t="shared" ca="1" si="0"/>
        <v>#NAME?</v>
      </c>
      <c r="W687" s="10" t="str">
        <f ca="1">IFERROR(__xludf.DUMMYFUNCTION("IF(COUNTIF($A:$A,A681)=1,
""Unique"",
IF(COUNTUNIQUE(FILTER($V$2:$V$934,$A$2:$A$934=A681))&gt;1,
""Conflicting Duplicate"",
""Exact Duplicate""))"),"Unique")</f>
        <v>Unique</v>
      </c>
      <c r="X687" s="10" t="b">
        <f t="shared" ca="1" si="1"/>
        <v>1</v>
      </c>
      <c r="Y687" s="10" t="str">
        <f t="shared" si="2"/>
        <v>Unique</v>
      </c>
      <c r="Z687" s="10"/>
      <c r="AA687" s="10" t="str">
        <f t="shared" si="3"/>
        <v>Clean</v>
      </c>
      <c r="AB687" s="15" t="str">
        <f t="shared" si="4"/>
        <v>Valid</v>
      </c>
      <c r="AC687" s="15">
        <v>2</v>
      </c>
      <c r="AD687" s="16" t="str">
        <f t="shared" si="5"/>
        <v>Valid</v>
      </c>
      <c r="AE687" s="16" t="str">
        <f t="shared" si="6"/>
        <v>Valid</v>
      </c>
      <c r="AF687" s="16" t="str">
        <f t="shared" ref="AF687:AG687" si="1385">IF(ISNUMBER(B687),"Valid","Invalid")</f>
        <v>Valid</v>
      </c>
      <c r="AG687" s="16" t="str">
        <f t="shared" si="1385"/>
        <v>Valid</v>
      </c>
      <c r="AH687" s="16" t="str">
        <f t="shared" ref="AH687:AI687" si="1386">IF(OR(B687="",ISBLANK(B687)),"Missing","Valid")</f>
        <v>Valid</v>
      </c>
      <c r="AI687" s="16" t="str">
        <f t="shared" si="1386"/>
        <v>Valid</v>
      </c>
      <c r="AJ687" s="16" t="b">
        <v>0</v>
      </c>
      <c r="AK687" s="16" t="b">
        <v>0</v>
      </c>
      <c r="AL687" s="16" t="b">
        <v>0</v>
      </c>
      <c r="AM687" s="16" t="b">
        <v>0</v>
      </c>
      <c r="AN687" s="16" t="b">
        <v>0</v>
      </c>
      <c r="AO687" s="16" t="b">
        <v>0</v>
      </c>
      <c r="AP687" s="16" t="b">
        <v>0</v>
      </c>
      <c r="AQ687" s="17">
        <f t="shared" si="9"/>
        <v>0.55000000000000004</v>
      </c>
      <c r="AR687" s="12">
        <f t="shared" si="10"/>
        <v>3313.5074999999993</v>
      </c>
      <c r="AS687" s="18">
        <f t="shared" si="11"/>
        <v>3313.502500000001</v>
      </c>
      <c r="AT687" s="12">
        <f t="shared" si="12"/>
        <v>-2293.2825000000007</v>
      </c>
      <c r="AU687" s="18">
        <f t="shared" si="13"/>
        <v>3313.5025000000005</v>
      </c>
      <c r="AV687" s="19">
        <f t="shared" si="14"/>
        <v>-0.69210119488185895</v>
      </c>
      <c r="AW687" s="20" t="str">
        <f t="shared" si="15"/>
        <v>October</v>
      </c>
      <c r="AX687" s="21">
        <f t="shared" si="16"/>
        <v>2025</v>
      </c>
    </row>
    <row r="688" spans="1:50" ht="15.75" customHeight="1">
      <c r="A688" s="10" t="s">
        <v>2170</v>
      </c>
      <c r="B688" s="11">
        <v>45376</v>
      </c>
      <c r="C688" s="11">
        <v>45384</v>
      </c>
      <c r="D688" s="10" t="s">
        <v>2171</v>
      </c>
      <c r="E688" s="10" t="s">
        <v>161</v>
      </c>
      <c r="F688" s="10" t="s">
        <v>124</v>
      </c>
      <c r="G688" s="10" t="s">
        <v>83</v>
      </c>
      <c r="H688" s="10" t="s">
        <v>277</v>
      </c>
      <c r="I688" s="10" t="s">
        <v>278</v>
      </c>
      <c r="J688" s="10" t="s">
        <v>103</v>
      </c>
      <c r="K688" s="10" t="s">
        <v>109</v>
      </c>
      <c r="L688" s="10" t="s">
        <v>2172</v>
      </c>
      <c r="M688" s="10" t="s">
        <v>88</v>
      </c>
      <c r="N688" s="12">
        <v>2</v>
      </c>
      <c r="O688" s="12">
        <v>2349.13</v>
      </c>
      <c r="P688" s="12">
        <v>0</v>
      </c>
      <c r="Q688" s="12">
        <v>4698.26</v>
      </c>
      <c r="R688" s="12">
        <v>2654.92</v>
      </c>
      <c r="S688" s="12">
        <v>2043.34</v>
      </c>
      <c r="T688" s="10" t="s">
        <v>61</v>
      </c>
      <c r="U688" s="13" t="s">
        <v>62</v>
      </c>
      <c r="V688" s="14" t="e">
        <f t="shared" ca="1" si="0"/>
        <v>#NAME?</v>
      </c>
      <c r="W688" s="10" t="str">
        <f ca="1">IFERROR(__xludf.DUMMYFUNCTION("IF(COUNTIF($A:$A,A682)=1,
""Unique"",
IF(COUNTUNIQUE(FILTER($V$2:$V$934,$A$2:$A$934=A682))&gt;1,
""Conflicting Duplicate"",
""Exact Duplicate""))"),"Unique")</f>
        <v>Unique</v>
      </c>
      <c r="X688" s="10" t="b">
        <f t="shared" ca="1" si="1"/>
        <v>1</v>
      </c>
      <c r="Y688" s="10" t="str">
        <f t="shared" si="2"/>
        <v>Unique</v>
      </c>
      <c r="Z688" s="10"/>
      <c r="AA688" s="10" t="str">
        <f t="shared" si="3"/>
        <v>Clean</v>
      </c>
      <c r="AB688" s="15" t="str">
        <f t="shared" si="4"/>
        <v>Valid</v>
      </c>
      <c r="AC688" s="15">
        <v>8</v>
      </c>
      <c r="AD688" s="16" t="str">
        <f t="shared" si="5"/>
        <v>Valid</v>
      </c>
      <c r="AE688" s="16" t="str">
        <f t="shared" si="6"/>
        <v>Valid</v>
      </c>
      <c r="AF688" s="16" t="str">
        <f t="shared" ref="AF688:AG688" si="1387">IF(ISNUMBER(B688),"Valid","Invalid")</f>
        <v>Valid</v>
      </c>
      <c r="AG688" s="16" t="str">
        <f t="shared" si="1387"/>
        <v>Valid</v>
      </c>
      <c r="AH688" s="16" t="str">
        <f t="shared" ref="AH688:AI688" si="1388">IF(OR(B688="",ISBLANK(B688)),"Missing","Valid")</f>
        <v>Valid</v>
      </c>
      <c r="AI688" s="16" t="str">
        <f t="shared" si="1388"/>
        <v>Valid</v>
      </c>
      <c r="AJ688" s="16" t="b">
        <v>0</v>
      </c>
      <c r="AK688" s="16" t="b">
        <v>0</v>
      </c>
      <c r="AL688" s="16" t="b">
        <v>0</v>
      </c>
      <c r="AM688" s="16" t="b">
        <v>0</v>
      </c>
      <c r="AN688" s="16" t="b">
        <v>0</v>
      </c>
      <c r="AO688" s="16" t="b">
        <v>0</v>
      </c>
      <c r="AP688" s="16" t="b">
        <v>0</v>
      </c>
      <c r="AQ688" s="17">
        <f t="shared" si="9"/>
        <v>0</v>
      </c>
      <c r="AR688" s="12">
        <f t="shared" si="10"/>
        <v>4698.26</v>
      </c>
      <c r="AS688" s="18">
        <f t="shared" si="11"/>
        <v>0</v>
      </c>
      <c r="AT688" s="12">
        <f t="shared" si="12"/>
        <v>2043.3400000000001</v>
      </c>
      <c r="AU688" s="18">
        <f t="shared" si="13"/>
        <v>0</v>
      </c>
      <c r="AV688" s="19">
        <f t="shared" si="14"/>
        <v>0.43491420227914163</v>
      </c>
      <c r="AW688" s="20" t="str">
        <f t="shared" si="15"/>
        <v>March</v>
      </c>
      <c r="AX688" s="21">
        <f t="shared" si="16"/>
        <v>2024</v>
      </c>
    </row>
    <row r="689" spans="1:50" ht="15.75" customHeight="1">
      <c r="A689" s="10" t="s">
        <v>2173</v>
      </c>
      <c r="B689" s="11">
        <v>45938</v>
      </c>
      <c r="C689" s="11">
        <v>45943</v>
      </c>
      <c r="D689" s="10" t="s">
        <v>2174</v>
      </c>
      <c r="E689" s="10" t="s">
        <v>65</v>
      </c>
      <c r="F689" s="10" t="s">
        <v>124</v>
      </c>
      <c r="G689" s="10" t="s">
        <v>54</v>
      </c>
      <c r="H689" s="10" t="s">
        <v>151</v>
      </c>
      <c r="I689" s="10" t="s">
        <v>152</v>
      </c>
      <c r="J689" s="10" t="s">
        <v>70</v>
      </c>
      <c r="K689" s="10" t="s">
        <v>71</v>
      </c>
      <c r="L689" s="10" t="s">
        <v>2175</v>
      </c>
      <c r="M689" s="10" t="s">
        <v>79</v>
      </c>
      <c r="N689" s="12">
        <v>4</v>
      </c>
      <c r="O689" s="12">
        <v>172.05</v>
      </c>
      <c r="P689" s="12">
        <v>0</v>
      </c>
      <c r="Q689" s="12">
        <v>688.2</v>
      </c>
      <c r="R689" s="12">
        <v>497.68</v>
      </c>
      <c r="S689" s="12">
        <v>190.52</v>
      </c>
      <c r="T689" s="10" t="s">
        <v>184</v>
      </c>
      <c r="U689" s="13" t="s">
        <v>97</v>
      </c>
      <c r="V689" s="14" t="e">
        <f t="shared" ca="1" si="0"/>
        <v>#NAME?</v>
      </c>
      <c r="W689" s="10" t="str">
        <f ca="1">IFERROR(__xludf.DUMMYFUNCTION("IF(COUNTIF($A:$A,A683)=1,
""Unique"",
IF(COUNTUNIQUE(FILTER($V$2:$V$934,$A$2:$A$934=A683))&gt;1,
""Conflicting Duplicate"",
""Exact Duplicate""))"),"Unique")</f>
        <v>Unique</v>
      </c>
      <c r="X689" s="10" t="b">
        <f t="shared" ca="1" si="1"/>
        <v>1</v>
      </c>
      <c r="Y689" s="10" t="str">
        <f t="shared" si="2"/>
        <v>Unique</v>
      </c>
      <c r="Z689" s="10"/>
      <c r="AA689" s="10" t="str">
        <f t="shared" si="3"/>
        <v>Clean</v>
      </c>
      <c r="AB689" s="15" t="str">
        <f t="shared" si="4"/>
        <v>Valid</v>
      </c>
      <c r="AC689" s="15">
        <v>5</v>
      </c>
      <c r="AD689" s="16" t="str">
        <f t="shared" si="5"/>
        <v>Valid</v>
      </c>
      <c r="AE689" s="16" t="str">
        <f t="shared" si="6"/>
        <v>Valid</v>
      </c>
      <c r="AF689" s="16" t="str">
        <f t="shared" ref="AF689:AG689" si="1389">IF(ISNUMBER(B689),"Valid","Invalid")</f>
        <v>Valid</v>
      </c>
      <c r="AG689" s="16" t="str">
        <f t="shared" si="1389"/>
        <v>Valid</v>
      </c>
      <c r="AH689" s="16" t="str">
        <f t="shared" ref="AH689:AI689" si="1390">IF(OR(B689="",ISBLANK(B689)),"Missing","Valid")</f>
        <v>Valid</v>
      </c>
      <c r="AI689" s="16" t="str">
        <f t="shared" si="1390"/>
        <v>Valid</v>
      </c>
      <c r="AJ689" s="16" t="b">
        <v>0</v>
      </c>
      <c r="AK689" s="16" t="b">
        <v>0</v>
      </c>
      <c r="AL689" s="16" t="b">
        <v>0</v>
      </c>
      <c r="AM689" s="16" t="b">
        <v>0</v>
      </c>
      <c r="AN689" s="16" t="b">
        <v>0</v>
      </c>
      <c r="AO689" s="16" t="b">
        <v>0</v>
      </c>
      <c r="AP689" s="16" t="b">
        <v>0</v>
      </c>
      <c r="AQ689" s="17">
        <f t="shared" si="9"/>
        <v>0</v>
      </c>
      <c r="AR689" s="12">
        <f t="shared" si="10"/>
        <v>688.2</v>
      </c>
      <c r="AS689" s="18">
        <f t="shared" si="11"/>
        <v>0</v>
      </c>
      <c r="AT689" s="12">
        <f t="shared" si="12"/>
        <v>190.52000000000004</v>
      </c>
      <c r="AU689" s="18">
        <f t="shared" si="13"/>
        <v>0</v>
      </c>
      <c r="AV689" s="19">
        <f t="shared" si="14"/>
        <v>0.27683812845103173</v>
      </c>
      <c r="AW689" s="20" t="str">
        <f t="shared" si="15"/>
        <v>October</v>
      </c>
      <c r="AX689" s="21">
        <f t="shared" si="16"/>
        <v>2025</v>
      </c>
    </row>
    <row r="690" spans="1:50" ht="15.75" customHeight="1">
      <c r="A690" s="10" t="s">
        <v>2176</v>
      </c>
      <c r="B690" s="11">
        <v>45714</v>
      </c>
      <c r="C690" s="11">
        <v>45715</v>
      </c>
      <c r="D690" s="10" t="s">
        <v>2177</v>
      </c>
      <c r="E690" s="10" t="s">
        <v>108</v>
      </c>
      <c r="F690" s="10" t="s">
        <v>124</v>
      </c>
      <c r="G690" s="10" t="s">
        <v>54</v>
      </c>
      <c r="H690" s="10" t="s">
        <v>266</v>
      </c>
      <c r="I690" s="10" t="s">
        <v>267</v>
      </c>
      <c r="J690" s="10" t="s">
        <v>57</v>
      </c>
      <c r="K690" s="10" t="s">
        <v>77</v>
      </c>
      <c r="L690" s="10" t="s">
        <v>2178</v>
      </c>
      <c r="M690" s="10" t="s">
        <v>60</v>
      </c>
      <c r="N690" s="12">
        <v>6</v>
      </c>
      <c r="O690" s="12">
        <v>3037.66</v>
      </c>
      <c r="P690" s="12">
        <v>0.15</v>
      </c>
      <c r="Q690" s="12">
        <v>15492.07</v>
      </c>
      <c r="R690" s="12">
        <v>12581.23</v>
      </c>
      <c r="S690" s="12">
        <v>2910.84</v>
      </c>
      <c r="T690" s="10" t="s">
        <v>61</v>
      </c>
      <c r="U690" s="13" t="s">
        <v>62</v>
      </c>
      <c r="V690" s="14" t="e">
        <f t="shared" ca="1" si="0"/>
        <v>#NAME?</v>
      </c>
      <c r="W690" s="10" t="str">
        <f ca="1">IFERROR(__xludf.DUMMYFUNCTION("IF(COUNTIF($A:$A,A684)=1,
""Unique"",
IF(COUNTUNIQUE(FILTER($V$2:$V$934,$A$2:$A$934=A684))&gt;1,
""Conflicting Duplicate"",
""Exact Duplicate""))"),"Unique")</f>
        <v>Unique</v>
      </c>
      <c r="X690" s="10" t="b">
        <f t="shared" ca="1" si="1"/>
        <v>1</v>
      </c>
      <c r="Y690" s="10" t="str">
        <f t="shared" si="2"/>
        <v>Unique</v>
      </c>
      <c r="Z690" s="10"/>
      <c r="AA690" s="10" t="str">
        <f t="shared" si="3"/>
        <v>Clean</v>
      </c>
      <c r="AB690" s="15" t="str">
        <f t="shared" si="4"/>
        <v>Valid</v>
      </c>
      <c r="AC690" s="15">
        <v>1</v>
      </c>
      <c r="AD690" s="16" t="str">
        <f t="shared" si="5"/>
        <v>Valid</v>
      </c>
      <c r="AE690" s="16" t="str">
        <f t="shared" si="6"/>
        <v>Valid</v>
      </c>
      <c r="AF690" s="16" t="str">
        <f t="shared" ref="AF690:AG690" si="1391">IF(ISNUMBER(B690),"Valid","Invalid")</f>
        <v>Valid</v>
      </c>
      <c r="AG690" s="16" t="str">
        <f t="shared" si="1391"/>
        <v>Valid</v>
      </c>
      <c r="AH690" s="16" t="str">
        <f t="shared" ref="AH690:AI690" si="1392">IF(OR(B690="",ISBLANK(B690)),"Missing","Valid")</f>
        <v>Valid</v>
      </c>
      <c r="AI690" s="16" t="str">
        <f t="shared" si="1392"/>
        <v>Valid</v>
      </c>
      <c r="AJ690" s="16" t="b">
        <v>0</v>
      </c>
      <c r="AK690" s="16" t="b">
        <v>0</v>
      </c>
      <c r="AL690" s="16" t="b">
        <v>0</v>
      </c>
      <c r="AM690" s="16" t="b">
        <v>0</v>
      </c>
      <c r="AN690" s="16" t="b">
        <v>0</v>
      </c>
      <c r="AO690" s="16" t="b">
        <v>0</v>
      </c>
      <c r="AP690" s="16" t="b">
        <v>0</v>
      </c>
      <c r="AQ690" s="17">
        <f t="shared" si="9"/>
        <v>0.15</v>
      </c>
      <c r="AR690" s="12">
        <f t="shared" si="10"/>
        <v>15492.065999999999</v>
      </c>
      <c r="AS690" s="18">
        <f t="shared" si="11"/>
        <v>4.0000000008149073E-3</v>
      </c>
      <c r="AT690" s="12">
        <f t="shared" si="12"/>
        <v>2910.8359999999993</v>
      </c>
      <c r="AU690" s="18">
        <f t="shared" si="13"/>
        <v>4.0000000008149073E-3</v>
      </c>
      <c r="AV690" s="19">
        <f t="shared" si="14"/>
        <v>0.18789204745190213</v>
      </c>
      <c r="AW690" s="20" t="str">
        <f t="shared" si="15"/>
        <v>February</v>
      </c>
      <c r="AX690" s="21">
        <f t="shared" si="16"/>
        <v>2025</v>
      </c>
    </row>
    <row r="691" spans="1:50" ht="15.75" customHeight="1">
      <c r="A691" s="10" t="s">
        <v>2179</v>
      </c>
      <c r="B691" s="11">
        <v>45570</v>
      </c>
      <c r="C691" s="11">
        <v>45571</v>
      </c>
      <c r="D691" s="10" t="s">
        <v>2180</v>
      </c>
      <c r="E691" s="10" t="s">
        <v>170</v>
      </c>
      <c r="F691" s="10" t="s">
        <v>66</v>
      </c>
      <c r="G691" s="10" t="s">
        <v>54</v>
      </c>
      <c r="H691" s="10" t="s">
        <v>151</v>
      </c>
      <c r="I691" s="10" t="s">
        <v>152</v>
      </c>
      <c r="J691" s="10" t="s">
        <v>70</v>
      </c>
      <c r="K691" s="10" t="s">
        <v>71</v>
      </c>
      <c r="L691" s="10" t="s">
        <v>2181</v>
      </c>
      <c r="M691" s="10" t="s">
        <v>88</v>
      </c>
      <c r="N691" s="12">
        <v>9</v>
      </c>
      <c r="O691" s="12">
        <v>489.58</v>
      </c>
      <c r="P691" s="12">
        <v>0.15</v>
      </c>
      <c r="Q691" s="12">
        <v>3745.29</v>
      </c>
      <c r="R691" s="12">
        <v>2302.65</v>
      </c>
      <c r="S691" s="12">
        <v>1442.64</v>
      </c>
      <c r="T691" s="10" t="s">
        <v>184</v>
      </c>
      <c r="U691" s="13" t="s">
        <v>97</v>
      </c>
      <c r="V691" s="14" t="e">
        <f t="shared" ca="1" si="0"/>
        <v>#NAME?</v>
      </c>
      <c r="W691" s="10" t="str">
        <f ca="1">IFERROR(__xludf.DUMMYFUNCTION("IF(COUNTIF($A:$A,A685)=1,
""Unique"",
IF(COUNTUNIQUE(FILTER($V$2:$V$934,$A$2:$A$934=A685))&gt;1,
""Conflicting Duplicate"",
""Exact Duplicate""))"),"Unique")</f>
        <v>Unique</v>
      </c>
      <c r="X691" s="10" t="b">
        <f t="shared" ca="1" si="1"/>
        <v>1</v>
      </c>
      <c r="Y691" s="10" t="str">
        <f t="shared" si="2"/>
        <v>Unique</v>
      </c>
      <c r="Z691" s="10"/>
      <c r="AA691" s="10" t="str">
        <f t="shared" si="3"/>
        <v>Clean</v>
      </c>
      <c r="AB691" s="15" t="str">
        <f t="shared" si="4"/>
        <v>Valid</v>
      </c>
      <c r="AC691" s="15">
        <v>1</v>
      </c>
      <c r="AD691" s="16" t="str">
        <f t="shared" si="5"/>
        <v>Valid</v>
      </c>
      <c r="AE691" s="16" t="str">
        <f t="shared" si="6"/>
        <v>Valid</v>
      </c>
      <c r="AF691" s="16" t="str">
        <f t="shared" ref="AF691:AG691" si="1393">IF(ISNUMBER(B691),"Valid","Invalid")</f>
        <v>Valid</v>
      </c>
      <c r="AG691" s="16" t="str">
        <f t="shared" si="1393"/>
        <v>Valid</v>
      </c>
      <c r="AH691" s="16" t="str">
        <f t="shared" ref="AH691:AI691" si="1394">IF(OR(B691="",ISBLANK(B691)),"Missing","Valid")</f>
        <v>Valid</v>
      </c>
      <c r="AI691" s="16" t="str">
        <f t="shared" si="1394"/>
        <v>Valid</v>
      </c>
      <c r="AJ691" s="16" t="b">
        <v>0</v>
      </c>
      <c r="AK691" s="16" t="b">
        <v>0</v>
      </c>
      <c r="AL691" s="16" t="b">
        <v>0</v>
      </c>
      <c r="AM691" s="16" t="b">
        <v>0</v>
      </c>
      <c r="AN691" s="16" t="b">
        <v>0</v>
      </c>
      <c r="AO691" s="16" t="b">
        <v>0</v>
      </c>
      <c r="AP691" s="16" t="b">
        <v>0</v>
      </c>
      <c r="AQ691" s="17">
        <f t="shared" si="9"/>
        <v>0.15</v>
      </c>
      <c r="AR691" s="12">
        <f t="shared" si="10"/>
        <v>3745.2870000000003</v>
      </c>
      <c r="AS691" s="18">
        <f t="shared" si="11"/>
        <v>2.9999999997016857E-3</v>
      </c>
      <c r="AT691" s="12">
        <f t="shared" si="12"/>
        <v>1442.6370000000002</v>
      </c>
      <c r="AU691" s="18">
        <f t="shared" si="13"/>
        <v>2.9999999999290594E-3</v>
      </c>
      <c r="AV691" s="19">
        <f t="shared" si="14"/>
        <v>0.38518730340291679</v>
      </c>
      <c r="AW691" s="20" t="str">
        <f t="shared" si="15"/>
        <v>October</v>
      </c>
      <c r="AX691" s="21">
        <f t="shared" si="16"/>
        <v>2024</v>
      </c>
    </row>
    <row r="692" spans="1:50" ht="15.75" customHeight="1">
      <c r="A692" s="10" t="s">
        <v>2182</v>
      </c>
      <c r="B692" s="11">
        <v>45546</v>
      </c>
      <c r="C692" s="11">
        <v>45550</v>
      </c>
      <c r="D692" s="10" t="s">
        <v>2183</v>
      </c>
      <c r="E692" s="10" t="s">
        <v>161</v>
      </c>
      <c r="F692" s="10" t="s">
        <v>119</v>
      </c>
      <c r="G692" s="10" t="s">
        <v>83</v>
      </c>
      <c r="H692" s="10" t="s">
        <v>277</v>
      </c>
      <c r="I692" s="10" t="s">
        <v>278</v>
      </c>
      <c r="J692" s="10" t="s">
        <v>57</v>
      </c>
      <c r="K692" s="10" t="s">
        <v>77</v>
      </c>
      <c r="L692" s="10" t="s">
        <v>2184</v>
      </c>
      <c r="M692" s="10" t="s">
        <v>88</v>
      </c>
      <c r="N692" s="12">
        <v>4</v>
      </c>
      <c r="O692" s="12">
        <v>865.63</v>
      </c>
      <c r="P692" s="12">
        <v>0</v>
      </c>
      <c r="Q692" s="12">
        <v>3462.52</v>
      </c>
      <c r="R692" s="12">
        <v>2797.29</v>
      </c>
      <c r="S692" s="12">
        <v>665.23</v>
      </c>
      <c r="T692" s="10" t="s">
        <v>184</v>
      </c>
      <c r="U692" s="13" t="s">
        <v>132</v>
      </c>
      <c r="V692" s="14" t="e">
        <f t="shared" ca="1" si="0"/>
        <v>#NAME?</v>
      </c>
      <c r="W692" s="10" t="str">
        <f ca="1">IFERROR(__xludf.DUMMYFUNCTION("IF(COUNTIF($A:$A,A686)=1,
""Unique"",
IF(COUNTUNIQUE(FILTER($V$2:$V$934,$A$2:$A$934=A686))&gt;1,
""Conflicting Duplicate"",
""Exact Duplicate""))"),"Unique")</f>
        <v>Unique</v>
      </c>
      <c r="X692" s="10" t="b">
        <f t="shared" ca="1" si="1"/>
        <v>1</v>
      </c>
      <c r="Y692" s="10" t="str">
        <f t="shared" si="2"/>
        <v>Unique</v>
      </c>
      <c r="Z692" s="10"/>
      <c r="AA692" s="10" t="str">
        <f t="shared" si="3"/>
        <v>Clean</v>
      </c>
      <c r="AB692" s="15" t="str">
        <f t="shared" si="4"/>
        <v>Valid</v>
      </c>
      <c r="AC692" s="15">
        <v>4</v>
      </c>
      <c r="AD692" s="16" t="str">
        <f t="shared" si="5"/>
        <v>Valid</v>
      </c>
      <c r="AE692" s="16" t="str">
        <f t="shared" si="6"/>
        <v>Valid</v>
      </c>
      <c r="AF692" s="16" t="str">
        <f t="shared" ref="AF692:AG692" si="1395">IF(ISNUMBER(B692),"Valid","Invalid")</f>
        <v>Valid</v>
      </c>
      <c r="AG692" s="16" t="str">
        <f t="shared" si="1395"/>
        <v>Valid</v>
      </c>
      <c r="AH692" s="16" t="str">
        <f t="shared" ref="AH692:AI692" si="1396">IF(OR(B692="",ISBLANK(B692)),"Missing","Valid")</f>
        <v>Valid</v>
      </c>
      <c r="AI692" s="16" t="str">
        <f t="shared" si="1396"/>
        <v>Valid</v>
      </c>
      <c r="AJ692" s="16" t="b">
        <v>0</v>
      </c>
      <c r="AK692" s="16" t="b">
        <v>0</v>
      </c>
      <c r="AL692" s="16" t="b">
        <v>0</v>
      </c>
      <c r="AM692" s="16" t="b">
        <v>0</v>
      </c>
      <c r="AN692" s="16" t="b">
        <v>0</v>
      </c>
      <c r="AO692" s="16" t="b">
        <v>0</v>
      </c>
      <c r="AP692" s="16" t="b">
        <v>0</v>
      </c>
      <c r="AQ692" s="17">
        <f t="shared" si="9"/>
        <v>0</v>
      </c>
      <c r="AR692" s="12">
        <f t="shared" si="10"/>
        <v>3462.52</v>
      </c>
      <c r="AS692" s="18">
        <f t="shared" si="11"/>
        <v>0</v>
      </c>
      <c r="AT692" s="12">
        <f t="shared" si="12"/>
        <v>665.23</v>
      </c>
      <c r="AU692" s="18">
        <f t="shared" si="13"/>
        <v>0</v>
      </c>
      <c r="AV692" s="19">
        <f t="shared" si="14"/>
        <v>0.19212307798944123</v>
      </c>
      <c r="AW692" s="20" t="str">
        <f t="shared" si="15"/>
        <v>September</v>
      </c>
      <c r="AX692" s="21">
        <f t="shared" si="16"/>
        <v>2024</v>
      </c>
    </row>
    <row r="693" spans="1:50" ht="15.75" customHeight="1">
      <c r="A693" s="10" t="s">
        <v>2185</v>
      </c>
      <c r="B693" s="11">
        <v>45641</v>
      </c>
      <c r="C693" s="11">
        <v>45642</v>
      </c>
      <c r="D693" s="10" t="s">
        <v>2186</v>
      </c>
      <c r="E693" s="10" t="s">
        <v>170</v>
      </c>
      <c r="F693" s="10" t="s">
        <v>53</v>
      </c>
      <c r="G693" s="10" t="s">
        <v>67</v>
      </c>
      <c r="H693" s="10" t="s">
        <v>68</v>
      </c>
      <c r="I693" s="10" t="s">
        <v>69</v>
      </c>
      <c r="J693" s="10" t="s">
        <v>103</v>
      </c>
      <c r="K693" s="10" t="s">
        <v>109</v>
      </c>
      <c r="L693" s="10" t="s">
        <v>2187</v>
      </c>
      <c r="M693" s="10" t="s">
        <v>60</v>
      </c>
      <c r="N693" s="12">
        <v>6</v>
      </c>
      <c r="O693" s="12">
        <v>1538.1</v>
      </c>
      <c r="P693" s="12">
        <v>0.05</v>
      </c>
      <c r="Q693" s="12">
        <v>8767.17</v>
      </c>
      <c r="R693" s="12">
        <v>5098.2</v>
      </c>
      <c r="S693" s="12">
        <v>3668.97</v>
      </c>
      <c r="T693" s="10" t="s">
        <v>61</v>
      </c>
      <c r="U693" s="13" t="s">
        <v>62</v>
      </c>
      <c r="V693" s="14" t="e">
        <f t="shared" ca="1" si="0"/>
        <v>#NAME?</v>
      </c>
      <c r="W693" s="10" t="str">
        <f ca="1">IFERROR(__xludf.DUMMYFUNCTION("IF(COUNTIF($A:$A,A687)=1,
""Unique"",
IF(COUNTUNIQUE(FILTER($V$2:$V$934,$A$2:$A$934=A687))&gt;1,
""Conflicting Duplicate"",
""Exact Duplicate""))"),"Unique")</f>
        <v>Unique</v>
      </c>
      <c r="X693" s="10" t="b">
        <f t="shared" ca="1" si="1"/>
        <v>1</v>
      </c>
      <c r="Y693" s="10" t="str">
        <f t="shared" si="2"/>
        <v>Unique</v>
      </c>
      <c r="Z693" s="10"/>
      <c r="AA693" s="10" t="str">
        <f t="shared" si="3"/>
        <v>Clean</v>
      </c>
      <c r="AB693" s="15" t="str">
        <f t="shared" si="4"/>
        <v>Valid</v>
      </c>
      <c r="AC693" s="15">
        <v>1</v>
      </c>
      <c r="AD693" s="16" t="str">
        <f t="shared" si="5"/>
        <v>Valid</v>
      </c>
      <c r="AE693" s="16" t="str">
        <f t="shared" si="6"/>
        <v>Valid</v>
      </c>
      <c r="AF693" s="16" t="str">
        <f t="shared" ref="AF693:AG693" si="1397">IF(ISNUMBER(B693),"Valid","Invalid")</f>
        <v>Valid</v>
      </c>
      <c r="AG693" s="16" t="str">
        <f t="shared" si="1397"/>
        <v>Valid</v>
      </c>
      <c r="AH693" s="16" t="str">
        <f t="shared" ref="AH693:AI693" si="1398">IF(OR(B693="",ISBLANK(B693)),"Missing","Valid")</f>
        <v>Valid</v>
      </c>
      <c r="AI693" s="16" t="str">
        <f t="shared" si="1398"/>
        <v>Valid</v>
      </c>
      <c r="AJ693" s="16" t="b">
        <v>0</v>
      </c>
      <c r="AK693" s="16" t="b">
        <v>0</v>
      </c>
      <c r="AL693" s="16" t="b">
        <v>0</v>
      </c>
      <c r="AM693" s="16" t="b">
        <v>0</v>
      </c>
      <c r="AN693" s="16" t="b">
        <v>0</v>
      </c>
      <c r="AO693" s="16" t="b">
        <v>0</v>
      </c>
      <c r="AP693" s="16" t="b">
        <v>0</v>
      </c>
      <c r="AQ693" s="17">
        <f t="shared" si="9"/>
        <v>0.05</v>
      </c>
      <c r="AR693" s="12">
        <f t="shared" si="10"/>
        <v>8767.1699999999983</v>
      </c>
      <c r="AS693" s="18">
        <f t="shared" si="11"/>
        <v>0</v>
      </c>
      <c r="AT693" s="12">
        <f t="shared" si="12"/>
        <v>3668.9699999999984</v>
      </c>
      <c r="AU693" s="18">
        <f t="shared" si="13"/>
        <v>0</v>
      </c>
      <c r="AV693" s="19">
        <f t="shared" si="14"/>
        <v>0.41848966085977563</v>
      </c>
      <c r="AW693" s="20" t="str">
        <f t="shared" si="15"/>
        <v>December</v>
      </c>
      <c r="AX693" s="21">
        <f t="shared" si="16"/>
        <v>2024</v>
      </c>
    </row>
    <row r="694" spans="1:50" ht="15.75" customHeight="1">
      <c r="A694" s="10" t="s">
        <v>2188</v>
      </c>
      <c r="B694" s="11">
        <v>45935</v>
      </c>
      <c r="C694" s="11">
        <v>45940</v>
      </c>
      <c r="D694" s="10" t="s">
        <v>2189</v>
      </c>
      <c r="E694" s="10" t="s">
        <v>76</v>
      </c>
      <c r="F694" s="10" t="s">
        <v>119</v>
      </c>
      <c r="G694" s="10" t="s">
        <v>83</v>
      </c>
      <c r="H694" s="10" t="s">
        <v>204</v>
      </c>
      <c r="I694" s="10" t="s">
        <v>205</v>
      </c>
      <c r="J694" s="10" t="s">
        <v>70</v>
      </c>
      <c r="K694" s="10" t="s">
        <v>86</v>
      </c>
      <c r="L694" s="10" t="s">
        <v>2190</v>
      </c>
      <c r="M694" s="10" t="s">
        <v>60</v>
      </c>
      <c r="N694" s="12">
        <v>4</v>
      </c>
      <c r="O694" s="12">
        <v>2365.6799999999998</v>
      </c>
      <c r="P694" s="12">
        <v>0.1</v>
      </c>
      <c r="Q694" s="12">
        <v>8516.4500000000007</v>
      </c>
      <c r="R694" s="12">
        <v>5903.81</v>
      </c>
      <c r="S694" s="12">
        <v>2612.64</v>
      </c>
      <c r="T694" s="10" t="s">
        <v>61</v>
      </c>
      <c r="U694" s="13" t="s">
        <v>62</v>
      </c>
      <c r="V694" s="14" t="e">
        <f t="shared" ca="1" si="0"/>
        <v>#NAME?</v>
      </c>
      <c r="W694" s="10" t="str">
        <f ca="1">IFERROR(__xludf.DUMMYFUNCTION("IF(COUNTIF($A:$A,A688)=1,
""Unique"",
IF(COUNTUNIQUE(FILTER($V$2:$V$934,$A$2:$A$934=A688))&gt;1,
""Conflicting Duplicate"",
""Exact Duplicate""))"),"Unique")</f>
        <v>Unique</v>
      </c>
      <c r="X694" s="10" t="b">
        <f t="shared" ca="1" si="1"/>
        <v>1</v>
      </c>
      <c r="Y694" s="10" t="str">
        <f t="shared" si="2"/>
        <v>Unique</v>
      </c>
      <c r="Z694" s="10"/>
      <c r="AA694" s="10" t="str">
        <f t="shared" si="3"/>
        <v>Clean</v>
      </c>
      <c r="AB694" s="15" t="str">
        <f t="shared" si="4"/>
        <v>Valid</v>
      </c>
      <c r="AC694" s="15">
        <v>5</v>
      </c>
      <c r="AD694" s="16" t="str">
        <f t="shared" si="5"/>
        <v>Valid</v>
      </c>
      <c r="AE694" s="16" t="str">
        <f t="shared" si="6"/>
        <v>Valid</v>
      </c>
      <c r="AF694" s="16" t="str">
        <f t="shared" ref="AF694:AG694" si="1399">IF(ISNUMBER(B694),"Valid","Invalid")</f>
        <v>Valid</v>
      </c>
      <c r="AG694" s="16" t="str">
        <f t="shared" si="1399"/>
        <v>Valid</v>
      </c>
      <c r="AH694" s="16" t="str">
        <f t="shared" ref="AH694:AI694" si="1400">IF(OR(B694="",ISBLANK(B694)),"Missing","Valid")</f>
        <v>Valid</v>
      </c>
      <c r="AI694" s="16" t="str">
        <f t="shared" si="1400"/>
        <v>Valid</v>
      </c>
      <c r="AJ694" s="16" t="b">
        <v>0</v>
      </c>
      <c r="AK694" s="16" t="b">
        <v>0</v>
      </c>
      <c r="AL694" s="16" t="b">
        <v>0</v>
      </c>
      <c r="AM694" s="16" t="b">
        <v>0</v>
      </c>
      <c r="AN694" s="16" t="b">
        <v>0</v>
      </c>
      <c r="AO694" s="16" t="b">
        <v>0</v>
      </c>
      <c r="AP694" s="16" t="b">
        <v>0</v>
      </c>
      <c r="AQ694" s="17">
        <f t="shared" si="9"/>
        <v>0.1</v>
      </c>
      <c r="AR694" s="12">
        <f t="shared" si="10"/>
        <v>8516.4480000000003</v>
      </c>
      <c r="AS694" s="18">
        <f t="shared" si="11"/>
        <v>2.0000000004074536E-3</v>
      </c>
      <c r="AT694" s="12">
        <f t="shared" si="12"/>
        <v>2612.6379999999999</v>
      </c>
      <c r="AU694" s="18">
        <f t="shared" si="13"/>
        <v>1.9999999999527063E-3</v>
      </c>
      <c r="AV694" s="19">
        <f t="shared" si="14"/>
        <v>0.30677554774009069</v>
      </c>
      <c r="AW694" s="20" t="str">
        <f t="shared" si="15"/>
        <v>October</v>
      </c>
      <c r="AX694" s="21">
        <f t="shared" si="16"/>
        <v>2025</v>
      </c>
    </row>
    <row r="695" spans="1:50" ht="15.75" customHeight="1">
      <c r="A695" s="10" t="s">
        <v>2191</v>
      </c>
      <c r="B695" s="11">
        <v>45750</v>
      </c>
      <c r="C695" s="11">
        <v>45758</v>
      </c>
      <c r="D695" s="10" t="s">
        <v>2192</v>
      </c>
      <c r="E695" s="10" t="s">
        <v>82</v>
      </c>
      <c r="F695" s="10" t="s">
        <v>53</v>
      </c>
      <c r="G695" s="10" t="s">
        <v>83</v>
      </c>
      <c r="H695" s="10" t="s">
        <v>277</v>
      </c>
      <c r="I695" s="10" t="s">
        <v>278</v>
      </c>
      <c r="J695" s="10" t="s">
        <v>70</v>
      </c>
      <c r="K695" s="10" t="s">
        <v>187</v>
      </c>
      <c r="L695" s="10" t="s">
        <v>2193</v>
      </c>
      <c r="M695" s="10" t="s">
        <v>60</v>
      </c>
      <c r="N695" s="12">
        <v>3</v>
      </c>
      <c r="O695" s="12">
        <v>4149.7700000000004</v>
      </c>
      <c r="P695" s="12">
        <v>0.05</v>
      </c>
      <c r="Q695" s="12">
        <v>11826.84</v>
      </c>
      <c r="R695" s="12">
        <v>8035.96</v>
      </c>
      <c r="S695" s="12">
        <v>3790.88</v>
      </c>
      <c r="T695" s="10" t="s">
        <v>61</v>
      </c>
      <c r="U695" s="13" t="s">
        <v>62</v>
      </c>
      <c r="V695" s="14" t="e">
        <f t="shared" ca="1" si="0"/>
        <v>#NAME?</v>
      </c>
      <c r="W695" s="10" t="str">
        <f ca="1">IFERROR(__xludf.DUMMYFUNCTION("IF(COUNTIF($A:$A,A689)=1,
""Unique"",
IF(COUNTUNIQUE(FILTER($V$2:$V$934,$A$2:$A$934=A689))&gt;1,
""Conflicting Duplicate"",
""Exact Duplicate""))"),"Unique")</f>
        <v>Unique</v>
      </c>
      <c r="X695" s="10" t="b">
        <f t="shared" ca="1" si="1"/>
        <v>1</v>
      </c>
      <c r="Y695" s="10" t="str">
        <f t="shared" si="2"/>
        <v>Unique</v>
      </c>
      <c r="Z695" s="10"/>
      <c r="AA695" s="10" t="str">
        <f t="shared" si="3"/>
        <v>Clean</v>
      </c>
      <c r="AB695" s="15" t="str">
        <f t="shared" si="4"/>
        <v>Valid</v>
      </c>
      <c r="AC695" s="15">
        <v>8</v>
      </c>
      <c r="AD695" s="16" t="str">
        <f t="shared" si="5"/>
        <v>Valid</v>
      </c>
      <c r="AE695" s="16" t="str">
        <f t="shared" si="6"/>
        <v>Valid</v>
      </c>
      <c r="AF695" s="16" t="str">
        <f t="shared" ref="AF695:AG695" si="1401">IF(ISNUMBER(B695),"Valid","Invalid")</f>
        <v>Valid</v>
      </c>
      <c r="AG695" s="16" t="str">
        <f t="shared" si="1401"/>
        <v>Valid</v>
      </c>
      <c r="AH695" s="16" t="str">
        <f t="shared" ref="AH695:AI695" si="1402">IF(OR(B695="",ISBLANK(B695)),"Missing","Valid")</f>
        <v>Valid</v>
      </c>
      <c r="AI695" s="16" t="str">
        <f t="shared" si="1402"/>
        <v>Valid</v>
      </c>
      <c r="AJ695" s="16" t="b">
        <v>0</v>
      </c>
      <c r="AK695" s="16" t="b">
        <v>0</v>
      </c>
      <c r="AL695" s="16" t="b">
        <v>0</v>
      </c>
      <c r="AM695" s="16" t="b">
        <v>0</v>
      </c>
      <c r="AN695" s="16" t="b">
        <v>0</v>
      </c>
      <c r="AO695" s="16" t="b">
        <v>0</v>
      </c>
      <c r="AP695" s="16" t="b">
        <v>0</v>
      </c>
      <c r="AQ695" s="17">
        <f t="shared" si="9"/>
        <v>0.05</v>
      </c>
      <c r="AR695" s="12">
        <f t="shared" si="10"/>
        <v>11826.844500000001</v>
      </c>
      <c r="AS695" s="18">
        <f t="shared" si="11"/>
        <v>-4.5000000009167707E-3</v>
      </c>
      <c r="AT695" s="12">
        <f t="shared" si="12"/>
        <v>3790.884500000001</v>
      </c>
      <c r="AU695" s="18">
        <f t="shared" si="13"/>
        <v>-4.5000000009167707E-3</v>
      </c>
      <c r="AV695" s="19">
        <f t="shared" si="14"/>
        <v>0.32053220112938835</v>
      </c>
      <c r="AW695" s="20" t="str">
        <f t="shared" si="15"/>
        <v>April</v>
      </c>
      <c r="AX695" s="21">
        <f t="shared" si="16"/>
        <v>2025</v>
      </c>
    </row>
    <row r="696" spans="1:50" ht="15.75" customHeight="1">
      <c r="A696" s="10" t="s">
        <v>2194</v>
      </c>
      <c r="B696" s="11">
        <v>45870</v>
      </c>
      <c r="C696" s="11">
        <v>45878</v>
      </c>
      <c r="D696" s="10" t="s">
        <v>1167</v>
      </c>
      <c r="E696" s="10" t="s">
        <v>76</v>
      </c>
      <c r="F696" s="10" t="s">
        <v>53</v>
      </c>
      <c r="G696" s="10" t="s">
        <v>83</v>
      </c>
      <c r="H696" s="10" t="s">
        <v>113</v>
      </c>
      <c r="I696" s="10" t="s">
        <v>114</v>
      </c>
      <c r="J696" s="10" t="s">
        <v>57</v>
      </c>
      <c r="K696" s="10" t="s">
        <v>153</v>
      </c>
      <c r="L696" s="10" t="s">
        <v>2195</v>
      </c>
      <c r="M696" s="10" t="s">
        <v>79</v>
      </c>
      <c r="N696" s="12">
        <v>5</v>
      </c>
      <c r="O696" s="12">
        <v>2736.24</v>
      </c>
      <c r="P696" s="12">
        <v>0.15</v>
      </c>
      <c r="Q696" s="12">
        <v>11629.02</v>
      </c>
      <c r="R696" s="12">
        <v>9627.2099999999991</v>
      </c>
      <c r="S696" s="12">
        <v>2001.81</v>
      </c>
      <c r="T696" s="10" t="s">
        <v>61</v>
      </c>
      <c r="U696" s="13" t="s">
        <v>62</v>
      </c>
      <c r="V696" s="14" t="e">
        <f t="shared" ca="1" si="0"/>
        <v>#NAME?</v>
      </c>
      <c r="W696" s="10" t="str">
        <f ca="1">IFERROR(__xludf.DUMMYFUNCTION("IF(COUNTIF($A:$A,A690)=1,
""Unique"",
IF(COUNTUNIQUE(FILTER($V$2:$V$934,$A$2:$A$934=A690))&gt;1,
""Conflicting Duplicate"",
""Exact Duplicate""))"),"Unique")</f>
        <v>Unique</v>
      </c>
      <c r="X696" s="10" t="b">
        <f t="shared" ca="1" si="1"/>
        <v>1</v>
      </c>
      <c r="Y696" s="10" t="str">
        <f t="shared" si="2"/>
        <v>Duplicate Order ID</v>
      </c>
      <c r="Z696" s="10"/>
      <c r="AA696" s="10" t="str">
        <f t="shared" si="3"/>
        <v>Clean</v>
      </c>
      <c r="AB696" s="15" t="str">
        <f t="shared" si="4"/>
        <v>Valid</v>
      </c>
      <c r="AC696" s="15">
        <v>8</v>
      </c>
      <c r="AD696" s="16" t="str">
        <f t="shared" si="5"/>
        <v>Valid</v>
      </c>
      <c r="AE696" s="16" t="str">
        <f t="shared" si="6"/>
        <v>Valid</v>
      </c>
      <c r="AF696" s="16" t="str">
        <f t="shared" ref="AF696:AG696" si="1403">IF(ISNUMBER(B696),"Valid","Invalid")</f>
        <v>Valid</v>
      </c>
      <c r="AG696" s="16" t="str">
        <f t="shared" si="1403"/>
        <v>Valid</v>
      </c>
      <c r="AH696" s="16" t="str">
        <f t="shared" ref="AH696:AI696" si="1404">IF(OR(B696="",ISBLANK(B696)),"Missing","Valid")</f>
        <v>Valid</v>
      </c>
      <c r="AI696" s="16" t="str">
        <f t="shared" si="1404"/>
        <v>Valid</v>
      </c>
      <c r="AJ696" s="16" t="b">
        <v>0</v>
      </c>
      <c r="AK696" s="16" t="b">
        <v>0</v>
      </c>
      <c r="AL696" s="16" t="b">
        <v>0</v>
      </c>
      <c r="AM696" s="16" t="b">
        <v>0</v>
      </c>
      <c r="AN696" s="16" t="b">
        <v>0</v>
      </c>
      <c r="AO696" s="16" t="b">
        <v>0</v>
      </c>
      <c r="AP696" s="16" t="b">
        <v>0</v>
      </c>
      <c r="AQ696" s="17">
        <f t="shared" si="9"/>
        <v>0.15</v>
      </c>
      <c r="AR696" s="12">
        <f t="shared" si="10"/>
        <v>11629.019999999999</v>
      </c>
      <c r="AS696" s="18">
        <f t="shared" si="11"/>
        <v>0</v>
      </c>
      <c r="AT696" s="12">
        <f t="shared" si="12"/>
        <v>2001.8099999999995</v>
      </c>
      <c r="AU696" s="18">
        <f t="shared" si="13"/>
        <v>0</v>
      </c>
      <c r="AV696" s="19">
        <f t="shared" si="14"/>
        <v>0.17213918283741877</v>
      </c>
      <c r="AW696" s="20" t="str">
        <f t="shared" si="15"/>
        <v>August</v>
      </c>
      <c r="AX696" s="21">
        <f t="shared" si="16"/>
        <v>2025</v>
      </c>
    </row>
    <row r="697" spans="1:50" ht="15.75" customHeight="1">
      <c r="A697" s="10" t="s">
        <v>2196</v>
      </c>
      <c r="B697" s="11">
        <v>45474</v>
      </c>
      <c r="C697" s="11">
        <v>45474</v>
      </c>
      <c r="D697" s="10" t="s">
        <v>2197</v>
      </c>
      <c r="E697" s="10" t="s">
        <v>157</v>
      </c>
      <c r="F697" s="10" t="s">
        <v>53</v>
      </c>
      <c r="G697" s="10" t="s">
        <v>92</v>
      </c>
      <c r="H697" s="10" t="s">
        <v>101</v>
      </c>
      <c r="I697" s="10" t="s">
        <v>102</v>
      </c>
      <c r="J697" s="10" t="s">
        <v>103</v>
      </c>
      <c r="K697" s="10" t="s">
        <v>304</v>
      </c>
      <c r="L697" s="10" t="s">
        <v>2198</v>
      </c>
      <c r="M697" s="10" t="s">
        <v>88</v>
      </c>
      <c r="N697" s="12">
        <v>4</v>
      </c>
      <c r="O697" s="12">
        <v>257.39</v>
      </c>
      <c r="P697" s="12">
        <v>0</v>
      </c>
      <c r="Q697" s="12">
        <v>1029.56</v>
      </c>
      <c r="R697" s="12">
        <v>626.33000000000004</v>
      </c>
      <c r="S697" s="12">
        <v>403.23</v>
      </c>
      <c r="T697" s="10" t="s">
        <v>61</v>
      </c>
      <c r="U697" s="13" t="s">
        <v>62</v>
      </c>
      <c r="V697" s="14" t="e">
        <f t="shared" ca="1" si="0"/>
        <v>#NAME?</v>
      </c>
      <c r="W697" s="10" t="str">
        <f ca="1">IFERROR(__xludf.DUMMYFUNCTION("IF(COUNTIF($A:$A,A691)=1,
""Unique"",
IF(COUNTUNIQUE(FILTER($V$2:$V$934,$A$2:$A$934=A691))&gt;1,
""Conflicting Duplicate"",
""Exact Duplicate""))"),"Unique")</f>
        <v>Unique</v>
      </c>
      <c r="X697" s="10" t="b">
        <f t="shared" ca="1" si="1"/>
        <v>1</v>
      </c>
      <c r="Y697" s="10" t="str">
        <f t="shared" si="2"/>
        <v>Unique</v>
      </c>
      <c r="Z697" s="10"/>
      <c r="AA697" s="10" t="str">
        <f t="shared" si="3"/>
        <v>Clean</v>
      </c>
      <c r="AB697" s="15" t="str">
        <f t="shared" si="4"/>
        <v>Valid</v>
      </c>
      <c r="AC697" s="15">
        <v>0</v>
      </c>
      <c r="AD697" s="16" t="str">
        <f t="shared" si="5"/>
        <v>Valid</v>
      </c>
      <c r="AE697" s="16" t="str">
        <f t="shared" si="6"/>
        <v>Valid</v>
      </c>
      <c r="AF697" s="16" t="str">
        <f t="shared" ref="AF697:AG697" si="1405">IF(ISNUMBER(B697),"Valid","Invalid")</f>
        <v>Valid</v>
      </c>
      <c r="AG697" s="16" t="str">
        <f t="shared" si="1405"/>
        <v>Valid</v>
      </c>
      <c r="AH697" s="16" t="str">
        <f t="shared" ref="AH697:AI697" si="1406">IF(OR(B697="",ISBLANK(B697)),"Missing","Valid")</f>
        <v>Valid</v>
      </c>
      <c r="AI697" s="16" t="str">
        <f t="shared" si="1406"/>
        <v>Valid</v>
      </c>
      <c r="AJ697" s="16" t="b">
        <v>0</v>
      </c>
      <c r="AK697" s="16" t="b">
        <v>0</v>
      </c>
      <c r="AL697" s="16" t="b">
        <v>0</v>
      </c>
      <c r="AM697" s="16" t="b">
        <v>0</v>
      </c>
      <c r="AN697" s="16" t="b">
        <v>0</v>
      </c>
      <c r="AO697" s="16" t="b">
        <v>0</v>
      </c>
      <c r="AP697" s="16" t="b">
        <v>0</v>
      </c>
      <c r="AQ697" s="17">
        <f t="shared" si="9"/>
        <v>0</v>
      </c>
      <c r="AR697" s="12">
        <f t="shared" si="10"/>
        <v>1029.56</v>
      </c>
      <c r="AS697" s="18">
        <f t="shared" si="11"/>
        <v>0</v>
      </c>
      <c r="AT697" s="12">
        <f t="shared" si="12"/>
        <v>403.2299999999999</v>
      </c>
      <c r="AU697" s="18">
        <f t="shared" si="13"/>
        <v>0</v>
      </c>
      <c r="AV697" s="19">
        <f t="shared" si="14"/>
        <v>0.39165274486188267</v>
      </c>
      <c r="AW697" s="20" t="str">
        <f t="shared" si="15"/>
        <v>July</v>
      </c>
      <c r="AX697" s="21">
        <f t="shared" si="16"/>
        <v>2024</v>
      </c>
    </row>
    <row r="698" spans="1:50" ht="15.75" customHeight="1">
      <c r="A698" s="10" t="s">
        <v>2199</v>
      </c>
      <c r="B698" s="11">
        <v>45922</v>
      </c>
      <c r="C698" s="11">
        <v>45925</v>
      </c>
      <c r="D698" s="10" t="s">
        <v>2200</v>
      </c>
      <c r="E698" s="10" t="s">
        <v>76</v>
      </c>
      <c r="F698" s="10" t="s">
        <v>66</v>
      </c>
      <c r="G698" s="10" t="s">
        <v>83</v>
      </c>
      <c r="H698" s="10" t="s">
        <v>214</v>
      </c>
      <c r="I698" s="10" t="s">
        <v>215</v>
      </c>
      <c r="J698" s="10" t="s">
        <v>103</v>
      </c>
      <c r="K698" s="10" t="s">
        <v>200</v>
      </c>
      <c r="L698" s="10" t="s">
        <v>2201</v>
      </c>
      <c r="M698" s="10" t="s">
        <v>234</v>
      </c>
      <c r="N698" s="12">
        <v>4</v>
      </c>
      <c r="O698" s="12">
        <v>1178.8399999999999</v>
      </c>
      <c r="P698" s="12">
        <v>0.25</v>
      </c>
      <c r="Q698" s="12">
        <v>3536.52</v>
      </c>
      <c r="R698" s="12">
        <v>2102.41</v>
      </c>
      <c r="S698" s="12">
        <v>1363.28</v>
      </c>
      <c r="T698" s="10" t="s">
        <v>61</v>
      </c>
      <c r="U698" s="13" t="s">
        <v>62</v>
      </c>
      <c r="V698" s="14" t="e">
        <f t="shared" ca="1" si="0"/>
        <v>#NAME?</v>
      </c>
      <c r="W698" s="10" t="str">
        <f ca="1">IFERROR(__xludf.DUMMYFUNCTION("IF(COUNTIF($A:$A,A692)=1,
""Unique"",
IF(COUNTUNIQUE(FILTER($V$2:$V$934,$A$2:$A$934=A692))&gt;1,
""Conflicting Duplicate"",
""Exact Duplicate""))"),"Unique")</f>
        <v>Unique</v>
      </c>
      <c r="X698" s="10" t="b">
        <f t="shared" ca="1" si="1"/>
        <v>1</v>
      </c>
      <c r="Y698" s="10" t="str">
        <f t="shared" si="2"/>
        <v>Unique</v>
      </c>
      <c r="Z698" s="10"/>
      <c r="AA698" s="10" t="str">
        <f t="shared" si="3"/>
        <v>Warning</v>
      </c>
      <c r="AB698" s="15" t="str">
        <f t="shared" si="4"/>
        <v>Valid</v>
      </c>
      <c r="AC698" s="15">
        <v>3</v>
      </c>
      <c r="AD698" s="16" t="str">
        <f t="shared" si="5"/>
        <v>Valid</v>
      </c>
      <c r="AE698" s="16" t="str">
        <f t="shared" si="6"/>
        <v>Valid</v>
      </c>
      <c r="AF698" s="16" t="str">
        <f t="shared" ref="AF698:AG698" si="1407">IF(ISNUMBER(B698),"Valid","Invalid")</f>
        <v>Valid</v>
      </c>
      <c r="AG698" s="16" t="str">
        <f t="shared" si="1407"/>
        <v>Valid</v>
      </c>
      <c r="AH698" s="16" t="str">
        <f t="shared" ref="AH698:AI698" si="1408">IF(OR(B698="",ISBLANK(B698)),"Missing","Valid")</f>
        <v>Valid</v>
      </c>
      <c r="AI698" s="16" t="str">
        <f t="shared" si="1408"/>
        <v>Valid</v>
      </c>
      <c r="AJ698" s="16" t="b">
        <v>0</v>
      </c>
      <c r="AK698" s="16" t="b">
        <v>1</v>
      </c>
      <c r="AL698" s="16" t="b">
        <v>0</v>
      </c>
      <c r="AM698" s="16" t="b">
        <v>0</v>
      </c>
      <c r="AN698" s="16" t="b">
        <v>0</v>
      </c>
      <c r="AO698" s="16" t="b">
        <v>0</v>
      </c>
      <c r="AP698" s="16" t="b">
        <v>1</v>
      </c>
      <c r="AQ698" s="17">
        <f t="shared" si="9"/>
        <v>0.25</v>
      </c>
      <c r="AR698" s="12">
        <f t="shared" si="10"/>
        <v>3536.5199999999995</v>
      </c>
      <c r="AS698" s="18">
        <f t="shared" si="11"/>
        <v>0</v>
      </c>
      <c r="AT698" s="12">
        <f t="shared" si="12"/>
        <v>1434.1099999999997</v>
      </c>
      <c r="AU698" s="18">
        <f t="shared" si="13"/>
        <v>-70.8299999999997</v>
      </c>
      <c r="AV698" s="19">
        <f t="shared" si="14"/>
        <v>0.40551446054313278</v>
      </c>
      <c r="AW698" s="20" t="str">
        <f t="shared" si="15"/>
        <v>September</v>
      </c>
      <c r="AX698" s="21">
        <f t="shared" si="16"/>
        <v>2025</v>
      </c>
    </row>
    <row r="699" spans="1:50" ht="15.75" customHeight="1">
      <c r="A699" s="10" t="s">
        <v>2202</v>
      </c>
      <c r="B699" s="11">
        <v>45717</v>
      </c>
      <c r="C699" s="11">
        <v>45723</v>
      </c>
      <c r="D699" s="10" t="s">
        <v>2203</v>
      </c>
      <c r="E699" s="10" t="s">
        <v>82</v>
      </c>
      <c r="F699" s="10" t="s">
        <v>119</v>
      </c>
      <c r="G699" s="10" t="s">
        <v>83</v>
      </c>
      <c r="H699" s="10" t="s">
        <v>113</v>
      </c>
      <c r="I699" s="10" t="s">
        <v>114</v>
      </c>
      <c r="J699" s="10" t="s">
        <v>57</v>
      </c>
      <c r="K699" s="10" t="s">
        <v>120</v>
      </c>
      <c r="L699" s="10" t="s">
        <v>2204</v>
      </c>
      <c r="M699" s="10" t="s">
        <v>79</v>
      </c>
      <c r="N699" s="12">
        <v>7</v>
      </c>
      <c r="O699" s="12">
        <v>567.15</v>
      </c>
      <c r="P699" s="12">
        <v>0</v>
      </c>
      <c r="Q699" s="12">
        <v>2977.54</v>
      </c>
      <c r="R699" s="12">
        <v>1849.3</v>
      </c>
      <c r="S699" s="12">
        <v>1128.24</v>
      </c>
      <c r="T699" s="10" t="s">
        <v>131</v>
      </c>
      <c r="U699" s="13" t="s">
        <v>132</v>
      </c>
      <c r="V699" s="14" t="e">
        <f t="shared" ca="1" si="0"/>
        <v>#NAME?</v>
      </c>
      <c r="W699" s="10" t="str">
        <f ca="1">IFERROR(__xludf.DUMMYFUNCTION("IF(COUNTIF($A:$A,A693)=1,
""Unique"",
IF(COUNTUNIQUE(FILTER($V$2:$V$934,$A$2:$A$934=A693))&gt;1,
""Conflicting Duplicate"",
""Exact Duplicate""))"),"Unique")</f>
        <v>Unique</v>
      </c>
      <c r="X699" s="10" t="b">
        <f t="shared" ca="1" si="1"/>
        <v>1</v>
      </c>
      <c r="Y699" s="10" t="str">
        <f t="shared" si="2"/>
        <v>Unique</v>
      </c>
      <c r="Z699" s="10"/>
      <c r="AA699" s="10" t="str">
        <f t="shared" si="3"/>
        <v>Clean</v>
      </c>
      <c r="AB699" s="15" t="str">
        <f t="shared" si="4"/>
        <v>Valid</v>
      </c>
      <c r="AC699" s="15">
        <v>6</v>
      </c>
      <c r="AD699" s="16" t="str">
        <f t="shared" si="5"/>
        <v>Valid</v>
      </c>
      <c r="AE699" s="16" t="str">
        <f t="shared" si="6"/>
        <v>Valid</v>
      </c>
      <c r="AF699" s="16" t="str">
        <f t="shared" ref="AF699:AG699" si="1409">IF(ISNUMBER(B699),"Valid","Invalid")</f>
        <v>Valid</v>
      </c>
      <c r="AG699" s="16" t="str">
        <f t="shared" si="1409"/>
        <v>Valid</v>
      </c>
      <c r="AH699" s="16" t="str">
        <f t="shared" ref="AH699:AI699" si="1410">IF(OR(B699="",ISBLANK(B699)),"Missing","Valid")</f>
        <v>Valid</v>
      </c>
      <c r="AI699" s="16" t="str">
        <f t="shared" si="1410"/>
        <v>Valid</v>
      </c>
      <c r="AJ699" s="16" t="b">
        <v>0</v>
      </c>
      <c r="AK699" s="16" t="b">
        <v>0</v>
      </c>
      <c r="AL699" s="16" t="b">
        <v>1</v>
      </c>
      <c r="AM699" s="16" t="b">
        <v>0</v>
      </c>
      <c r="AN699" s="16" t="b">
        <v>0</v>
      </c>
      <c r="AO699" s="16" t="b">
        <v>0</v>
      </c>
      <c r="AP699" s="16" t="b">
        <v>1</v>
      </c>
      <c r="AQ699" s="17">
        <f t="shared" si="9"/>
        <v>0</v>
      </c>
      <c r="AR699" s="12">
        <f t="shared" si="10"/>
        <v>3970.0499999999997</v>
      </c>
      <c r="AS699" s="18">
        <f t="shared" si="11"/>
        <v>-992.50999999999976</v>
      </c>
      <c r="AT699" s="12">
        <f t="shared" si="12"/>
        <v>2120.75</v>
      </c>
      <c r="AU699" s="18">
        <f t="shared" si="13"/>
        <v>-992.51</v>
      </c>
      <c r="AV699" s="19">
        <f t="shared" si="14"/>
        <v>0.53418722686112274</v>
      </c>
      <c r="AW699" s="20" t="str">
        <f t="shared" si="15"/>
        <v>March</v>
      </c>
      <c r="AX699" s="21">
        <f t="shared" si="16"/>
        <v>2025</v>
      </c>
    </row>
    <row r="700" spans="1:50" ht="15.75" customHeight="1">
      <c r="A700" s="10" t="s">
        <v>2205</v>
      </c>
      <c r="B700" s="11">
        <v>45549</v>
      </c>
      <c r="C700" s="11">
        <v>45549</v>
      </c>
      <c r="D700" s="10" t="s">
        <v>2206</v>
      </c>
      <c r="E700" s="10" t="s">
        <v>65</v>
      </c>
      <c r="F700" s="10" t="s">
        <v>119</v>
      </c>
      <c r="G700" s="10" t="s">
        <v>54</v>
      </c>
      <c r="H700" s="10" t="s">
        <v>55</v>
      </c>
      <c r="I700" s="10" t="s">
        <v>56</v>
      </c>
      <c r="J700" s="10" t="s">
        <v>103</v>
      </c>
      <c r="K700" s="10" t="s">
        <v>304</v>
      </c>
      <c r="L700" s="10" t="s">
        <v>2207</v>
      </c>
      <c r="M700" s="10" t="s">
        <v>88</v>
      </c>
      <c r="N700" s="12">
        <v>8</v>
      </c>
      <c r="O700" s="12">
        <v>4081.66</v>
      </c>
      <c r="P700" s="12">
        <v>0.15</v>
      </c>
      <c r="Q700" s="12">
        <v>28208.1</v>
      </c>
      <c r="R700" s="12">
        <v>23751.91</v>
      </c>
      <c r="S700" s="12">
        <v>4003.38</v>
      </c>
      <c r="T700" s="10" t="s">
        <v>61</v>
      </c>
      <c r="U700" s="13" t="s">
        <v>132</v>
      </c>
      <c r="V700" s="14" t="e">
        <f t="shared" ca="1" si="0"/>
        <v>#NAME?</v>
      </c>
      <c r="W700" s="10" t="str">
        <f ca="1">IFERROR(__xludf.DUMMYFUNCTION("IF(COUNTIF($A:$A,A694)=1,
""Unique"",
IF(COUNTUNIQUE(FILTER($V$2:$V$934,$A$2:$A$934=A694))&gt;1,
""Conflicting Duplicate"",
""Exact Duplicate""))"),"Unique")</f>
        <v>Unique</v>
      </c>
      <c r="X700" s="10" t="b">
        <f t="shared" ca="1" si="1"/>
        <v>1</v>
      </c>
      <c r="Y700" s="10" t="str">
        <f t="shared" si="2"/>
        <v>Unique</v>
      </c>
      <c r="Z700" s="10"/>
      <c r="AA700" s="10" t="str">
        <f t="shared" si="3"/>
        <v>Clean</v>
      </c>
      <c r="AB700" s="15" t="str">
        <f t="shared" si="4"/>
        <v>Valid</v>
      </c>
      <c r="AC700" s="15">
        <v>0</v>
      </c>
      <c r="AD700" s="16" t="str">
        <f t="shared" si="5"/>
        <v>Valid</v>
      </c>
      <c r="AE700" s="16" t="str">
        <f t="shared" si="6"/>
        <v>Valid</v>
      </c>
      <c r="AF700" s="16" t="str">
        <f t="shared" ref="AF700:AG700" si="1411">IF(ISNUMBER(B700),"Valid","Invalid")</f>
        <v>Valid</v>
      </c>
      <c r="AG700" s="16" t="str">
        <f t="shared" si="1411"/>
        <v>Valid</v>
      </c>
      <c r="AH700" s="16" t="str">
        <f t="shared" ref="AH700:AI700" si="1412">IF(OR(B700="",ISBLANK(B700)),"Missing","Valid")</f>
        <v>Valid</v>
      </c>
      <c r="AI700" s="16" t="str">
        <f t="shared" si="1412"/>
        <v>Valid</v>
      </c>
      <c r="AJ700" s="16" t="b">
        <v>0</v>
      </c>
      <c r="AK700" s="16" t="b">
        <v>0</v>
      </c>
      <c r="AL700" s="16" t="b">
        <v>0</v>
      </c>
      <c r="AM700" s="16" t="b">
        <v>0</v>
      </c>
      <c r="AN700" s="16" t="b">
        <v>0</v>
      </c>
      <c r="AO700" s="16" t="b">
        <v>0</v>
      </c>
      <c r="AP700" s="16" t="b">
        <v>0</v>
      </c>
      <c r="AQ700" s="17">
        <f t="shared" si="9"/>
        <v>0.15</v>
      </c>
      <c r="AR700" s="12">
        <f t="shared" si="10"/>
        <v>27755.287999999997</v>
      </c>
      <c r="AS700" s="18">
        <f t="shared" si="11"/>
        <v>452.81200000000172</v>
      </c>
      <c r="AT700" s="12">
        <f t="shared" si="12"/>
        <v>4003.377999999997</v>
      </c>
      <c r="AU700" s="18">
        <f t="shared" si="13"/>
        <v>2.0000000031359377E-3</v>
      </c>
      <c r="AV700" s="19">
        <f t="shared" si="14"/>
        <v>0.14423838801456493</v>
      </c>
      <c r="AW700" s="20" t="str">
        <f t="shared" si="15"/>
        <v>September</v>
      </c>
      <c r="AX700" s="21">
        <f t="shared" si="16"/>
        <v>2024</v>
      </c>
    </row>
    <row r="701" spans="1:50" ht="15.75" customHeight="1">
      <c r="A701" s="10" t="s">
        <v>2208</v>
      </c>
      <c r="B701" s="11">
        <v>45454</v>
      </c>
      <c r="C701" s="11">
        <v>45454</v>
      </c>
      <c r="D701" s="10" t="s">
        <v>2209</v>
      </c>
      <c r="E701" s="10" t="s">
        <v>82</v>
      </c>
      <c r="F701" s="10" t="s">
        <v>66</v>
      </c>
      <c r="G701" s="10" t="s">
        <v>83</v>
      </c>
      <c r="H701" s="10" t="s">
        <v>204</v>
      </c>
      <c r="I701" s="10" t="s">
        <v>205</v>
      </c>
      <c r="J701" s="10" t="s">
        <v>70</v>
      </c>
      <c r="K701" s="10" t="s">
        <v>187</v>
      </c>
      <c r="L701" s="10" t="s">
        <v>2210</v>
      </c>
      <c r="M701" s="10" t="s">
        <v>88</v>
      </c>
      <c r="N701" s="12">
        <v>9</v>
      </c>
      <c r="O701" s="12">
        <v>1400.11</v>
      </c>
      <c r="P701" s="12">
        <v>0.25</v>
      </c>
      <c r="Q701" s="12">
        <v>9450.74</v>
      </c>
      <c r="R701" s="12">
        <v>7798.56</v>
      </c>
      <c r="S701" s="12">
        <v>1652.18</v>
      </c>
      <c r="T701" s="10" t="s">
        <v>61</v>
      </c>
      <c r="U701" s="13" t="s">
        <v>62</v>
      </c>
      <c r="V701" s="14" t="e">
        <f t="shared" ca="1" si="0"/>
        <v>#NAME?</v>
      </c>
      <c r="W701" s="10" t="str">
        <f ca="1">IFERROR(__xludf.DUMMYFUNCTION("IF(COUNTIF($A:$A,A695)=1,
""Unique"",
IF(COUNTUNIQUE(FILTER($V$2:$V$934,$A$2:$A$934=A695))&gt;1,
""Conflicting Duplicate"",
""Exact Duplicate""))"),"Unique")</f>
        <v>Unique</v>
      </c>
      <c r="X701" s="10" t="b">
        <f t="shared" ca="1" si="1"/>
        <v>1</v>
      </c>
      <c r="Y701" s="10" t="str">
        <f t="shared" si="2"/>
        <v>Unique</v>
      </c>
      <c r="Z701" s="10"/>
      <c r="AA701" s="10" t="str">
        <f t="shared" si="3"/>
        <v>Clean</v>
      </c>
      <c r="AB701" s="15" t="str">
        <f t="shared" si="4"/>
        <v>Valid</v>
      </c>
      <c r="AC701" s="15">
        <v>0</v>
      </c>
      <c r="AD701" s="16" t="str">
        <f t="shared" si="5"/>
        <v>Valid</v>
      </c>
      <c r="AE701" s="16" t="str">
        <f t="shared" si="6"/>
        <v>Valid</v>
      </c>
      <c r="AF701" s="16" t="str">
        <f t="shared" ref="AF701:AG701" si="1413">IF(ISNUMBER(B701),"Valid","Invalid")</f>
        <v>Valid</v>
      </c>
      <c r="AG701" s="16" t="str">
        <f t="shared" si="1413"/>
        <v>Valid</v>
      </c>
      <c r="AH701" s="16" t="str">
        <f t="shared" ref="AH701:AI701" si="1414">IF(OR(B701="",ISBLANK(B701)),"Missing","Valid")</f>
        <v>Valid</v>
      </c>
      <c r="AI701" s="16" t="str">
        <f t="shared" si="1414"/>
        <v>Valid</v>
      </c>
      <c r="AJ701" s="16" t="b">
        <v>0</v>
      </c>
      <c r="AK701" s="16" t="b">
        <v>0</v>
      </c>
      <c r="AL701" s="16" t="b">
        <v>0</v>
      </c>
      <c r="AM701" s="16" t="b">
        <v>0</v>
      </c>
      <c r="AN701" s="16" t="b">
        <v>0</v>
      </c>
      <c r="AO701" s="16" t="b">
        <v>0</v>
      </c>
      <c r="AP701" s="16" t="b">
        <v>0</v>
      </c>
      <c r="AQ701" s="17">
        <f t="shared" si="9"/>
        <v>0.25</v>
      </c>
      <c r="AR701" s="12">
        <f t="shared" si="10"/>
        <v>9450.7425000000003</v>
      </c>
      <c r="AS701" s="18">
        <f t="shared" si="11"/>
        <v>-2.500000000509317E-3</v>
      </c>
      <c r="AT701" s="12">
        <f t="shared" si="12"/>
        <v>1652.1824999999999</v>
      </c>
      <c r="AU701" s="18">
        <f t="shared" si="13"/>
        <v>-2.499999999827196E-3</v>
      </c>
      <c r="AV701" s="19">
        <f t="shared" si="14"/>
        <v>0.17482039109625511</v>
      </c>
      <c r="AW701" s="20" t="str">
        <f t="shared" si="15"/>
        <v>June</v>
      </c>
      <c r="AX701" s="21">
        <f t="shared" si="16"/>
        <v>2024</v>
      </c>
    </row>
    <row r="702" spans="1:50" ht="15.75" customHeight="1">
      <c r="A702" s="10" t="s">
        <v>2211</v>
      </c>
      <c r="B702" s="11">
        <v>45553</v>
      </c>
      <c r="C702" s="11">
        <v>45556</v>
      </c>
      <c r="D702" s="10" t="s">
        <v>2212</v>
      </c>
      <c r="E702" s="10" t="s">
        <v>108</v>
      </c>
      <c r="F702" s="10" t="s">
        <v>119</v>
      </c>
      <c r="G702" s="10" t="s">
        <v>67</v>
      </c>
      <c r="H702" s="10" t="s">
        <v>128</v>
      </c>
      <c r="I702" s="10" t="s">
        <v>129</v>
      </c>
      <c r="J702" s="10" t="s">
        <v>103</v>
      </c>
      <c r="K702" s="10" t="s">
        <v>304</v>
      </c>
      <c r="L702" s="10" t="s">
        <v>2213</v>
      </c>
      <c r="M702" s="10" t="s">
        <v>88</v>
      </c>
      <c r="N702" s="12">
        <v>3</v>
      </c>
      <c r="O702" s="12">
        <v>3055.9</v>
      </c>
      <c r="P702" s="12">
        <v>0.15</v>
      </c>
      <c r="Q702" s="12">
        <v>7792.55</v>
      </c>
      <c r="R702" s="12">
        <v>4691.7299999999996</v>
      </c>
      <c r="S702" s="12">
        <v>3100.82</v>
      </c>
      <c r="T702" s="10" t="s">
        <v>61</v>
      </c>
      <c r="U702" s="13" t="s">
        <v>62</v>
      </c>
      <c r="V702" s="14" t="e">
        <f t="shared" ca="1" si="0"/>
        <v>#NAME?</v>
      </c>
      <c r="W702" s="10" t="str">
        <f ca="1">IFERROR(__xludf.DUMMYFUNCTION("IF(COUNTIF($A:$A,A696)=1,
""Unique"",
IF(COUNTUNIQUE(FILTER($V$2:$V$934,$A$2:$A$934=A696))&gt;1,
""Conflicting Duplicate"",
""Exact Duplicate""))"),"Exact Duplicate")</f>
        <v>Exact Duplicate</v>
      </c>
      <c r="X702" s="10" t="b">
        <f t="shared" ca="1" si="1"/>
        <v>1</v>
      </c>
      <c r="Y702" s="10" t="str">
        <f t="shared" si="2"/>
        <v>Unique</v>
      </c>
      <c r="Z702" s="10"/>
      <c r="AA702" s="10" t="str">
        <f t="shared" si="3"/>
        <v>Clean</v>
      </c>
      <c r="AB702" s="15" t="str">
        <f t="shared" si="4"/>
        <v>Valid</v>
      </c>
      <c r="AC702" s="15">
        <v>3</v>
      </c>
      <c r="AD702" s="16" t="str">
        <f t="shared" si="5"/>
        <v>Valid</v>
      </c>
      <c r="AE702" s="16" t="str">
        <f t="shared" si="6"/>
        <v>Valid</v>
      </c>
      <c r="AF702" s="16" t="str">
        <f t="shared" ref="AF702:AG702" si="1415">IF(ISNUMBER(B702),"Valid","Invalid")</f>
        <v>Valid</v>
      </c>
      <c r="AG702" s="16" t="str">
        <f t="shared" si="1415"/>
        <v>Valid</v>
      </c>
      <c r="AH702" s="16" t="str">
        <f t="shared" ref="AH702:AI702" si="1416">IF(OR(B702="",ISBLANK(B702)),"Missing","Valid")</f>
        <v>Valid</v>
      </c>
      <c r="AI702" s="16" t="str">
        <f t="shared" si="1416"/>
        <v>Valid</v>
      </c>
      <c r="AJ702" s="16" t="b">
        <v>0</v>
      </c>
      <c r="AK702" s="16" t="b">
        <v>0</v>
      </c>
      <c r="AL702" s="16" t="b">
        <v>0</v>
      </c>
      <c r="AM702" s="16" t="b">
        <v>0</v>
      </c>
      <c r="AN702" s="16" t="b">
        <v>0</v>
      </c>
      <c r="AO702" s="16" t="b">
        <v>0</v>
      </c>
      <c r="AP702" s="16" t="b">
        <v>0</v>
      </c>
      <c r="AQ702" s="17">
        <f t="shared" si="9"/>
        <v>0.15</v>
      </c>
      <c r="AR702" s="12">
        <f t="shared" si="10"/>
        <v>7792.5450000000001</v>
      </c>
      <c r="AS702" s="18">
        <f t="shared" si="11"/>
        <v>5.0000000001091394E-3</v>
      </c>
      <c r="AT702" s="12">
        <f t="shared" si="12"/>
        <v>3100.8150000000005</v>
      </c>
      <c r="AU702" s="18">
        <f t="shared" si="13"/>
        <v>4.999999999654392E-3</v>
      </c>
      <c r="AV702" s="19">
        <f t="shared" si="14"/>
        <v>0.39792070498149201</v>
      </c>
      <c r="AW702" s="20" t="str">
        <f t="shared" si="15"/>
        <v>September</v>
      </c>
      <c r="AX702" s="21">
        <f t="shared" si="16"/>
        <v>2024</v>
      </c>
    </row>
    <row r="703" spans="1:50" ht="15.75" customHeight="1">
      <c r="A703" s="10" t="s">
        <v>2214</v>
      </c>
      <c r="B703" s="11">
        <v>45412</v>
      </c>
      <c r="C703" s="11">
        <v>45416</v>
      </c>
      <c r="D703" s="10" t="s">
        <v>2215</v>
      </c>
      <c r="E703" s="10" t="s">
        <v>170</v>
      </c>
      <c r="F703" s="10" t="s">
        <v>66</v>
      </c>
      <c r="G703" s="10" t="s">
        <v>92</v>
      </c>
      <c r="H703" s="10" t="s">
        <v>209</v>
      </c>
      <c r="I703" s="10" t="s">
        <v>210</v>
      </c>
      <c r="J703" s="10" t="s">
        <v>57</v>
      </c>
      <c r="K703" s="10" t="s">
        <v>77</v>
      </c>
      <c r="L703" s="10" t="s">
        <v>2216</v>
      </c>
      <c r="M703" s="10" t="s">
        <v>73</v>
      </c>
      <c r="N703" s="12">
        <v>7</v>
      </c>
      <c r="O703" s="12">
        <v>1224.94</v>
      </c>
      <c r="P703" s="12">
        <v>0</v>
      </c>
      <c r="Q703" s="12">
        <v>8574.58</v>
      </c>
      <c r="R703" s="12">
        <v>6685.81</v>
      </c>
      <c r="S703" s="12">
        <v>1888.77</v>
      </c>
      <c r="T703" s="10" t="s">
        <v>61</v>
      </c>
      <c r="U703" s="13" t="s">
        <v>132</v>
      </c>
      <c r="V703" s="14" t="e">
        <f t="shared" ca="1" si="0"/>
        <v>#NAME?</v>
      </c>
      <c r="W703" s="10" t="str">
        <f ca="1">IFERROR(__xludf.DUMMYFUNCTION("IF(COUNTIF($A:$A,A697)=1,
""Unique"",
IF(COUNTUNIQUE(FILTER($V$2:$V$934,$A$2:$A$934=A697))&gt;1,
""Conflicting Duplicate"",
""Exact Duplicate""))"),"Unique")</f>
        <v>Unique</v>
      </c>
      <c r="X703" s="10" t="b">
        <f t="shared" ca="1" si="1"/>
        <v>1</v>
      </c>
      <c r="Y703" s="10" t="str">
        <f t="shared" si="2"/>
        <v>Unique</v>
      </c>
      <c r="Z703" s="10"/>
      <c r="AA703" s="10" t="str">
        <f t="shared" si="3"/>
        <v>Clean</v>
      </c>
      <c r="AB703" s="15" t="str">
        <f t="shared" si="4"/>
        <v>Valid</v>
      </c>
      <c r="AC703" s="15">
        <v>4</v>
      </c>
      <c r="AD703" s="16" t="str">
        <f t="shared" si="5"/>
        <v>Valid</v>
      </c>
      <c r="AE703" s="16" t="str">
        <f t="shared" si="6"/>
        <v>Valid</v>
      </c>
      <c r="AF703" s="16" t="str">
        <f t="shared" ref="AF703:AG703" si="1417">IF(ISNUMBER(B703),"Valid","Invalid")</f>
        <v>Valid</v>
      </c>
      <c r="AG703" s="16" t="str">
        <f t="shared" si="1417"/>
        <v>Valid</v>
      </c>
      <c r="AH703" s="16" t="str">
        <f t="shared" ref="AH703:AI703" si="1418">IF(OR(B703="",ISBLANK(B703)),"Missing","Valid")</f>
        <v>Valid</v>
      </c>
      <c r="AI703" s="16" t="str">
        <f t="shared" si="1418"/>
        <v>Valid</v>
      </c>
      <c r="AJ703" s="16" t="b">
        <v>0</v>
      </c>
      <c r="AK703" s="16" t="b">
        <v>0</v>
      </c>
      <c r="AL703" s="16" t="b">
        <v>0</v>
      </c>
      <c r="AM703" s="16" t="b">
        <v>0</v>
      </c>
      <c r="AN703" s="16" t="b">
        <v>0</v>
      </c>
      <c r="AO703" s="16" t="b">
        <v>0</v>
      </c>
      <c r="AP703" s="16" t="b">
        <v>0</v>
      </c>
      <c r="AQ703" s="17">
        <f t="shared" si="9"/>
        <v>0</v>
      </c>
      <c r="AR703" s="12">
        <f t="shared" si="10"/>
        <v>8574.58</v>
      </c>
      <c r="AS703" s="18">
        <f t="shared" si="11"/>
        <v>0</v>
      </c>
      <c r="AT703" s="12">
        <f t="shared" si="12"/>
        <v>1888.7699999999995</v>
      </c>
      <c r="AU703" s="18">
        <f t="shared" si="13"/>
        <v>0</v>
      </c>
      <c r="AV703" s="19">
        <f t="shared" si="14"/>
        <v>0.22027551203674112</v>
      </c>
      <c r="AW703" s="20" t="str">
        <f t="shared" si="15"/>
        <v>April</v>
      </c>
      <c r="AX703" s="21">
        <f t="shared" si="16"/>
        <v>2024</v>
      </c>
    </row>
    <row r="704" spans="1:50" ht="15.75" customHeight="1">
      <c r="A704" s="10" t="s">
        <v>2217</v>
      </c>
      <c r="B704" s="11">
        <v>45690</v>
      </c>
      <c r="C704" s="11">
        <v>45694</v>
      </c>
      <c r="D704" s="10" t="s">
        <v>2218</v>
      </c>
      <c r="E704" s="10" t="s">
        <v>52</v>
      </c>
      <c r="F704" s="10" t="s">
        <v>66</v>
      </c>
      <c r="G704" s="10" t="s">
        <v>92</v>
      </c>
      <c r="H704" s="10" t="s">
        <v>55</v>
      </c>
      <c r="I704" s="10" t="s">
        <v>138</v>
      </c>
      <c r="J704" s="10" t="s">
        <v>70</v>
      </c>
      <c r="K704" s="10" t="s">
        <v>71</v>
      </c>
      <c r="L704" s="10" t="s">
        <v>2219</v>
      </c>
      <c r="M704" s="10" t="s">
        <v>60</v>
      </c>
      <c r="N704" s="12">
        <v>3</v>
      </c>
      <c r="O704" s="12">
        <v>997.34</v>
      </c>
      <c r="P704" s="12">
        <v>0.1</v>
      </c>
      <c r="Q704" s="12">
        <v>2692.82</v>
      </c>
      <c r="R704" s="12">
        <v>1820.08</v>
      </c>
      <c r="S704" s="12">
        <v>872.74</v>
      </c>
      <c r="T704" s="10" t="s">
        <v>61</v>
      </c>
      <c r="U704" s="13" t="s">
        <v>62</v>
      </c>
      <c r="V704" s="14" t="e">
        <f t="shared" ca="1" si="0"/>
        <v>#NAME?</v>
      </c>
      <c r="W704" s="10" t="str">
        <f ca="1">IFERROR(__xludf.DUMMYFUNCTION("IF(COUNTIF($A:$A,A698)=1,
""Unique"",
IF(COUNTUNIQUE(FILTER($V$2:$V$934,$A$2:$A$934=A698))&gt;1,
""Conflicting Duplicate"",
""Exact Duplicate""))"),"Unique")</f>
        <v>Unique</v>
      </c>
      <c r="X704" s="10" t="b">
        <f t="shared" ca="1" si="1"/>
        <v>1</v>
      </c>
      <c r="Y704" s="10" t="str">
        <f t="shared" si="2"/>
        <v>Unique</v>
      </c>
      <c r="Z704" s="10"/>
      <c r="AA704" s="10" t="str">
        <f t="shared" si="3"/>
        <v>Clean</v>
      </c>
      <c r="AB704" s="15" t="str">
        <f t="shared" si="4"/>
        <v>Valid</v>
      </c>
      <c r="AC704" s="15">
        <v>4</v>
      </c>
      <c r="AD704" s="16" t="str">
        <f t="shared" si="5"/>
        <v>Valid</v>
      </c>
      <c r="AE704" s="16" t="str">
        <f t="shared" si="6"/>
        <v>Valid</v>
      </c>
      <c r="AF704" s="16" t="str">
        <f t="shared" ref="AF704:AG704" si="1419">IF(ISNUMBER(B704),"Valid","Invalid")</f>
        <v>Valid</v>
      </c>
      <c r="AG704" s="16" t="str">
        <f t="shared" si="1419"/>
        <v>Valid</v>
      </c>
      <c r="AH704" s="16" t="str">
        <f t="shared" ref="AH704:AI704" si="1420">IF(OR(B704="",ISBLANK(B704)),"Missing","Valid")</f>
        <v>Valid</v>
      </c>
      <c r="AI704" s="16" t="str">
        <f t="shared" si="1420"/>
        <v>Valid</v>
      </c>
      <c r="AJ704" s="16" t="b">
        <v>0</v>
      </c>
      <c r="AK704" s="16" t="b">
        <v>0</v>
      </c>
      <c r="AL704" s="16" t="b">
        <v>0</v>
      </c>
      <c r="AM704" s="16" t="b">
        <v>0</v>
      </c>
      <c r="AN704" s="16" t="b">
        <v>0</v>
      </c>
      <c r="AO704" s="16" t="b">
        <v>0</v>
      </c>
      <c r="AP704" s="16" t="b">
        <v>0</v>
      </c>
      <c r="AQ704" s="17">
        <f t="shared" si="9"/>
        <v>0.1</v>
      </c>
      <c r="AR704" s="12">
        <f t="shared" si="10"/>
        <v>2692.8180000000002</v>
      </c>
      <c r="AS704" s="18">
        <f t="shared" si="11"/>
        <v>1.9999999999527063E-3</v>
      </c>
      <c r="AT704" s="12">
        <f t="shared" si="12"/>
        <v>872.73800000000028</v>
      </c>
      <c r="AU704" s="18">
        <f t="shared" si="13"/>
        <v>1.9999999997253326E-3</v>
      </c>
      <c r="AV704" s="19">
        <f t="shared" si="14"/>
        <v>0.32409839803506968</v>
      </c>
      <c r="AW704" s="20" t="str">
        <f t="shared" si="15"/>
        <v>February</v>
      </c>
      <c r="AX704" s="21">
        <f t="shared" si="16"/>
        <v>2025</v>
      </c>
    </row>
    <row r="705" spans="1:50" ht="15.75" customHeight="1">
      <c r="A705" s="10" t="s">
        <v>2220</v>
      </c>
      <c r="B705" s="11">
        <v>45584</v>
      </c>
      <c r="C705" s="11">
        <v>45585</v>
      </c>
      <c r="D705" s="10" t="s">
        <v>2221</v>
      </c>
      <c r="E705" s="10" t="s">
        <v>118</v>
      </c>
      <c r="F705" s="10" t="s">
        <v>119</v>
      </c>
      <c r="G705" s="10" t="s">
        <v>54</v>
      </c>
      <c r="H705" s="10" t="s">
        <v>55</v>
      </c>
      <c r="I705" s="10" t="s">
        <v>56</v>
      </c>
      <c r="J705" s="10" t="s">
        <v>70</v>
      </c>
      <c r="K705" s="10" t="s">
        <v>71</v>
      </c>
      <c r="L705" s="10" t="s">
        <v>2222</v>
      </c>
      <c r="M705" s="10" t="s">
        <v>79</v>
      </c>
      <c r="N705" s="12">
        <v>1</v>
      </c>
      <c r="O705" s="12">
        <v>1150.03</v>
      </c>
      <c r="P705" s="12">
        <v>0.1</v>
      </c>
      <c r="Q705" s="12">
        <v>1035.03</v>
      </c>
      <c r="R705" s="12">
        <v>854.35</v>
      </c>
      <c r="S705" s="12">
        <v>180.68</v>
      </c>
      <c r="T705" s="10" t="s">
        <v>61</v>
      </c>
      <c r="U705" s="13" t="s">
        <v>62</v>
      </c>
      <c r="V705" s="14" t="e">
        <f t="shared" ca="1" si="0"/>
        <v>#NAME?</v>
      </c>
      <c r="W705" s="10" t="str">
        <f ca="1">IFERROR(__xludf.DUMMYFUNCTION("IF(COUNTIF($A:$A,A699)=1,
""Unique"",
IF(COUNTUNIQUE(FILTER($V$2:$V$934,$A$2:$A$934=A699))&gt;1,
""Conflicting Duplicate"",
""Exact Duplicate""))"),"Unique")</f>
        <v>Unique</v>
      </c>
      <c r="X705" s="10" t="b">
        <f t="shared" ca="1" si="1"/>
        <v>1</v>
      </c>
      <c r="Y705" s="10" t="str">
        <f t="shared" si="2"/>
        <v>Unique</v>
      </c>
      <c r="Z705" s="10"/>
      <c r="AA705" s="10" t="str">
        <f t="shared" si="3"/>
        <v>Clean</v>
      </c>
      <c r="AB705" s="15" t="str">
        <f t="shared" si="4"/>
        <v>Valid</v>
      </c>
      <c r="AC705" s="15">
        <v>1</v>
      </c>
      <c r="AD705" s="16" t="str">
        <f t="shared" si="5"/>
        <v>Valid</v>
      </c>
      <c r="AE705" s="16" t="str">
        <f t="shared" si="6"/>
        <v>Valid</v>
      </c>
      <c r="AF705" s="16" t="str">
        <f t="shared" ref="AF705:AG705" si="1421">IF(ISNUMBER(B705),"Valid","Invalid")</f>
        <v>Valid</v>
      </c>
      <c r="AG705" s="16" t="str">
        <f t="shared" si="1421"/>
        <v>Valid</v>
      </c>
      <c r="AH705" s="16" t="str">
        <f t="shared" ref="AH705:AI705" si="1422">IF(OR(B705="",ISBLANK(B705)),"Missing","Valid")</f>
        <v>Valid</v>
      </c>
      <c r="AI705" s="16" t="str">
        <f t="shared" si="1422"/>
        <v>Valid</v>
      </c>
      <c r="AJ705" s="16" t="b">
        <v>0</v>
      </c>
      <c r="AK705" s="16" t="b">
        <v>0</v>
      </c>
      <c r="AL705" s="16" t="b">
        <v>0</v>
      </c>
      <c r="AM705" s="16" t="b">
        <v>0</v>
      </c>
      <c r="AN705" s="16" t="b">
        <v>0</v>
      </c>
      <c r="AO705" s="16" t="b">
        <v>0</v>
      </c>
      <c r="AP705" s="16" t="b">
        <v>0</v>
      </c>
      <c r="AQ705" s="17">
        <f t="shared" si="9"/>
        <v>0.1</v>
      </c>
      <c r="AR705" s="12">
        <f t="shared" si="10"/>
        <v>1035.027</v>
      </c>
      <c r="AS705" s="18">
        <f t="shared" si="11"/>
        <v>2.9999999999290594E-3</v>
      </c>
      <c r="AT705" s="12">
        <f t="shared" si="12"/>
        <v>180.67700000000002</v>
      </c>
      <c r="AU705" s="18">
        <f t="shared" si="13"/>
        <v>2.9999999999859028E-3</v>
      </c>
      <c r="AV705" s="19">
        <f t="shared" si="14"/>
        <v>0.1745625959516032</v>
      </c>
      <c r="AW705" s="20" t="str">
        <f t="shared" si="15"/>
        <v>October</v>
      </c>
      <c r="AX705" s="21">
        <f t="shared" si="16"/>
        <v>2024</v>
      </c>
    </row>
    <row r="706" spans="1:50" ht="15.75" customHeight="1">
      <c r="A706" s="10" t="s">
        <v>2223</v>
      </c>
      <c r="B706" s="11">
        <v>45364</v>
      </c>
      <c r="C706" s="11">
        <v>45371</v>
      </c>
      <c r="D706" s="10" t="s">
        <v>2224</v>
      </c>
      <c r="E706" s="10" t="s">
        <v>143</v>
      </c>
      <c r="F706" s="10" t="s">
        <v>124</v>
      </c>
      <c r="G706" s="10" t="s">
        <v>83</v>
      </c>
      <c r="H706" s="10" t="s">
        <v>277</v>
      </c>
      <c r="I706" s="10" t="s">
        <v>278</v>
      </c>
      <c r="J706" s="10" t="s">
        <v>70</v>
      </c>
      <c r="K706" s="10" t="s">
        <v>187</v>
      </c>
      <c r="L706" s="10" t="s">
        <v>2225</v>
      </c>
      <c r="M706" s="10" t="s">
        <v>234</v>
      </c>
      <c r="N706" s="12">
        <v>1</v>
      </c>
      <c r="O706" s="12">
        <v>2825.63</v>
      </c>
      <c r="P706" s="12">
        <v>0.15</v>
      </c>
      <c r="Q706" s="12">
        <v>2401.79</v>
      </c>
      <c r="R706" s="12">
        <v>1820.34</v>
      </c>
      <c r="S706" s="12">
        <v>581.45000000000005</v>
      </c>
      <c r="T706" s="10" t="s">
        <v>61</v>
      </c>
      <c r="U706" s="13" t="s">
        <v>62</v>
      </c>
      <c r="V706" s="14" t="e">
        <f t="shared" ca="1" si="0"/>
        <v>#NAME?</v>
      </c>
      <c r="W706" s="10" t="str">
        <f ca="1">IFERROR(__xludf.DUMMYFUNCTION("IF(COUNTIF($A:$A,A700)=1,
""Unique"",
IF(COUNTUNIQUE(FILTER($V$2:$V$934,$A$2:$A$934=A700))&gt;1,
""Conflicting Duplicate"",
""Exact Duplicate""))"),"Unique")</f>
        <v>Unique</v>
      </c>
      <c r="X706" s="10" t="b">
        <f t="shared" ca="1" si="1"/>
        <v>1</v>
      </c>
      <c r="Y706" s="10" t="str">
        <f t="shared" si="2"/>
        <v>Duplicate Order ID</v>
      </c>
      <c r="Z706" s="10"/>
      <c r="AA706" s="10" t="str">
        <f t="shared" si="3"/>
        <v>Warning</v>
      </c>
      <c r="AB706" s="15" t="str">
        <f t="shared" si="4"/>
        <v>Valid</v>
      </c>
      <c r="AC706" s="15">
        <v>7</v>
      </c>
      <c r="AD706" s="16" t="str">
        <f t="shared" si="5"/>
        <v>Valid</v>
      </c>
      <c r="AE706" s="16" t="str">
        <f t="shared" si="6"/>
        <v>Valid</v>
      </c>
      <c r="AF706" s="16" t="str">
        <f t="shared" ref="AF706:AG706" si="1423">IF(ISNUMBER(B706),"Valid","Invalid")</f>
        <v>Valid</v>
      </c>
      <c r="AG706" s="16" t="str">
        <f t="shared" si="1423"/>
        <v>Valid</v>
      </c>
      <c r="AH706" s="16" t="str">
        <f t="shared" ref="AH706:AI706" si="1424">IF(OR(B706="",ISBLANK(B706)),"Missing","Valid")</f>
        <v>Valid</v>
      </c>
      <c r="AI706" s="16" t="str">
        <f t="shared" si="1424"/>
        <v>Valid</v>
      </c>
      <c r="AJ706" s="16" t="b">
        <v>0</v>
      </c>
      <c r="AK706" s="16" t="b">
        <v>1</v>
      </c>
      <c r="AL706" s="16" t="b">
        <v>0</v>
      </c>
      <c r="AM706" s="16" t="b">
        <v>0</v>
      </c>
      <c r="AN706" s="16" t="b">
        <v>0</v>
      </c>
      <c r="AO706" s="16" t="b">
        <v>0</v>
      </c>
      <c r="AP706" s="16" t="b">
        <v>1</v>
      </c>
      <c r="AQ706" s="17">
        <f t="shared" si="9"/>
        <v>0.15</v>
      </c>
      <c r="AR706" s="12">
        <f t="shared" si="10"/>
        <v>2401.7855</v>
      </c>
      <c r="AS706" s="18">
        <f t="shared" si="11"/>
        <v>4.500000000007276E-3</v>
      </c>
      <c r="AT706" s="12">
        <f t="shared" si="12"/>
        <v>581.44550000000004</v>
      </c>
      <c r="AU706" s="18">
        <f t="shared" si="13"/>
        <v>4.500000000007276E-3</v>
      </c>
      <c r="AV706" s="19">
        <f t="shared" si="14"/>
        <v>0.24208885431276025</v>
      </c>
      <c r="AW706" s="20" t="str">
        <f t="shared" si="15"/>
        <v>March</v>
      </c>
      <c r="AX706" s="21">
        <f t="shared" si="16"/>
        <v>2024</v>
      </c>
    </row>
    <row r="707" spans="1:50" ht="15.75" customHeight="1">
      <c r="A707" s="10" t="s">
        <v>2226</v>
      </c>
      <c r="B707" s="11">
        <v>45543</v>
      </c>
      <c r="C707" s="11">
        <v>45549</v>
      </c>
      <c r="D707" s="10" t="s">
        <v>2227</v>
      </c>
      <c r="E707" s="10" t="s">
        <v>170</v>
      </c>
      <c r="F707" s="10" t="s">
        <v>53</v>
      </c>
      <c r="G707" s="10" t="s">
        <v>54</v>
      </c>
      <c r="H707" s="10" t="s">
        <v>55</v>
      </c>
      <c r="I707" s="10" t="s">
        <v>56</v>
      </c>
      <c r="J707" s="10" t="s">
        <v>57</v>
      </c>
      <c r="K707" s="10" t="s">
        <v>182</v>
      </c>
      <c r="L707" s="10" t="s">
        <v>2228</v>
      </c>
      <c r="M707" s="10" t="s">
        <v>88</v>
      </c>
      <c r="N707" s="12">
        <v>5</v>
      </c>
      <c r="O707" s="12">
        <v>3371.75</v>
      </c>
      <c r="P707" s="12">
        <v>0.05</v>
      </c>
      <c r="Q707" s="12">
        <v>16015.81</v>
      </c>
      <c r="R707" s="12">
        <v>11352.38</v>
      </c>
      <c r="S707" s="12">
        <v>4663.43</v>
      </c>
      <c r="T707" s="10" t="s">
        <v>61</v>
      </c>
      <c r="U707" s="13" t="s">
        <v>62</v>
      </c>
      <c r="V707" s="14" t="e">
        <f t="shared" ca="1" si="0"/>
        <v>#NAME?</v>
      </c>
      <c r="W707" s="10" t="str">
        <f ca="1">IFERROR(__xludf.DUMMYFUNCTION("IF(COUNTIF($A:$A,A701)=1,
""Unique"",
IF(COUNTUNIQUE(FILTER($V$2:$V$934,$A$2:$A$934=A701))&gt;1,
""Conflicting Duplicate"",
""Exact Duplicate""))"),"Unique")</f>
        <v>Unique</v>
      </c>
      <c r="X707" s="10" t="b">
        <f t="shared" ca="1" si="1"/>
        <v>1</v>
      </c>
      <c r="Y707" s="10" t="str">
        <f t="shared" si="2"/>
        <v>Unique</v>
      </c>
      <c r="Z707" s="10"/>
      <c r="AA707" s="10" t="str">
        <f t="shared" si="3"/>
        <v>Clean</v>
      </c>
      <c r="AB707" s="15" t="str">
        <f t="shared" si="4"/>
        <v>Valid</v>
      </c>
      <c r="AC707" s="15">
        <v>6</v>
      </c>
      <c r="AD707" s="16" t="str">
        <f t="shared" si="5"/>
        <v>Valid</v>
      </c>
      <c r="AE707" s="16" t="str">
        <f t="shared" si="6"/>
        <v>Valid</v>
      </c>
      <c r="AF707" s="16" t="str">
        <f t="shared" ref="AF707:AG707" si="1425">IF(ISNUMBER(B707),"Valid","Invalid")</f>
        <v>Valid</v>
      </c>
      <c r="AG707" s="16" t="str">
        <f t="shared" si="1425"/>
        <v>Valid</v>
      </c>
      <c r="AH707" s="16" t="str">
        <f t="shared" ref="AH707:AI707" si="1426">IF(OR(B707="",ISBLANK(B707)),"Missing","Valid")</f>
        <v>Valid</v>
      </c>
      <c r="AI707" s="16" t="str">
        <f t="shared" si="1426"/>
        <v>Valid</v>
      </c>
      <c r="AJ707" s="16" t="b">
        <v>0</v>
      </c>
      <c r="AK707" s="16" t="b">
        <v>0</v>
      </c>
      <c r="AL707" s="16" t="b">
        <v>0</v>
      </c>
      <c r="AM707" s="16" t="b">
        <v>0</v>
      </c>
      <c r="AN707" s="16" t="b">
        <v>0</v>
      </c>
      <c r="AO707" s="16" t="b">
        <v>0</v>
      </c>
      <c r="AP707" s="16" t="b">
        <v>0</v>
      </c>
      <c r="AQ707" s="17">
        <f t="shared" si="9"/>
        <v>0.05</v>
      </c>
      <c r="AR707" s="12">
        <f t="shared" si="10"/>
        <v>16015.8125</v>
      </c>
      <c r="AS707" s="18">
        <f t="shared" si="11"/>
        <v>-2.500000000509317E-3</v>
      </c>
      <c r="AT707" s="12">
        <f t="shared" si="12"/>
        <v>4663.4325000000008</v>
      </c>
      <c r="AU707" s="18">
        <f t="shared" si="13"/>
        <v>-2.500000000509317E-3</v>
      </c>
      <c r="AV707" s="19">
        <f t="shared" si="14"/>
        <v>0.29117676671102394</v>
      </c>
      <c r="AW707" s="20" t="str">
        <f t="shared" si="15"/>
        <v>September</v>
      </c>
      <c r="AX707" s="21">
        <f t="shared" si="16"/>
        <v>2024</v>
      </c>
    </row>
    <row r="708" spans="1:50" ht="15.75" customHeight="1">
      <c r="A708" s="10" t="s">
        <v>2229</v>
      </c>
      <c r="B708" s="11">
        <v>45467</v>
      </c>
      <c r="C708" s="11">
        <v>45471</v>
      </c>
      <c r="D708" s="10" t="s">
        <v>2230</v>
      </c>
      <c r="E708" s="10" t="s">
        <v>76</v>
      </c>
      <c r="F708" s="10" t="s">
        <v>66</v>
      </c>
      <c r="G708" s="10" t="s">
        <v>67</v>
      </c>
      <c r="H708" s="10" t="s">
        <v>68</v>
      </c>
      <c r="I708" s="10" t="s">
        <v>69</v>
      </c>
      <c r="J708" s="10" t="s">
        <v>57</v>
      </c>
      <c r="K708" s="10" t="s">
        <v>58</v>
      </c>
      <c r="L708" s="10" t="s">
        <v>2231</v>
      </c>
      <c r="M708" s="10" t="s">
        <v>73</v>
      </c>
      <c r="N708" s="12">
        <v>1</v>
      </c>
      <c r="O708" s="12">
        <v>2112.75</v>
      </c>
      <c r="P708" s="12">
        <v>0.1</v>
      </c>
      <c r="Q708" s="12">
        <v>1901.48</v>
      </c>
      <c r="R708" s="12">
        <v>1354.28</v>
      </c>
      <c r="S708" s="12">
        <v>547.20000000000005</v>
      </c>
      <c r="T708" s="10" t="s">
        <v>61</v>
      </c>
      <c r="U708" s="13" t="s">
        <v>62</v>
      </c>
      <c r="V708" s="14" t="e">
        <f t="shared" ca="1" si="0"/>
        <v>#NAME?</v>
      </c>
      <c r="W708" s="10" t="str">
        <f ca="1">IFERROR(__xludf.DUMMYFUNCTION("IF(COUNTIF($A:$A,A702)=1,
""Unique"",
IF(COUNTUNIQUE(FILTER($V$2:$V$934,$A$2:$A$934=A702))&gt;1,
""Conflicting Duplicate"",
""Exact Duplicate""))"),"Unique")</f>
        <v>Unique</v>
      </c>
      <c r="X708" s="10" t="b">
        <f t="shared" ca="1" si="1"/>
        <v>1</v>
      </c>
      <c r="Y708" s="10" t="str">
        <f t="shared" si="2"/>
        <v>Unique</v>
      </c>
      <c r="Z708" s="10"/>
      <c r="AA708" s="10" t="str">
        <f t="shared" si="3"/>
        <v>Clean</v>
      </c>
      <c r="AB708" s="15" t="str">
        <f t="shared" si="4"/>
        <v>Valid</v>
      </c>
      <c r="AC708" s="15">
        <v>4</v>
      </c>
      <c r="AD708" s="16" t="str">
        <f t="shared" si="5"/>
        <v>Valid</v>
      </c>
      <c r="AE708" s="16" t="str">
        <f t="shared" si="6"/>
        <v>Valid</v>
      </c>
      <c r="AF708" s="16" t="str">
        <f t="shared" ref="AF708:AG708" si="1427">IF(ISNUMBER(B708),"Valid","Invalid")</f>
        <v>Valid</v>
      </c>
      <c r="AG708" s="16" t="str">
        <f t="shared" si="1427"/>
        <v>Valid</v>
      </c>
      <c r="AH708" s="16" t="str">
        <f t="shared" ref="AH708:AI708" si="1428">IF(OR(B708="",ISBLANK(B708)),"Missing","Valid")</f>
        <v>Valid</v>
      </c>
      <c r="AI708" s="16" t="str">
        <f t="shared" si="1428"/>
        <v>Valid</v>
      </c>
      <c r="AJ708" s="16" t="b">
        <v>0</v>
      </c>
      <c r="AK708" s="16" t="b">
        <v>0</v>
      </c>
      <c r="AL708" s="16" t="b">
        <v>0</v>
      </c>
      <c r="AM708" s="16" t="b">
        <v>0</v>
      </c>
      <c r="AN708" s="16" t="b">
        <v>0</v>
      </c>
      <c r="AO708" s="16" t="b">
        <v>0</v>
      </c>
      <c r="AP708" s="16" t="b">
        <v>0</v>
      </c>
      <c r="AQ708" s="17">
        <f t="shared" si="9"/>
        <v>0.1</v>
      </c>
      <c r="AR708" s="12">
        <f t="shared" si="10"/>
        <v>1901.4750000000001</v>
      </c>
      <c r="AS708" s="18">
        <f t="shared" si="11"/>
        <v>4.9999999998817657E-3</v>
      </c>
      <c r="AT708" s="12">
        <f t="shared" si="12"/>
        <v>547.19500000000016</v>
      </c>
      <c r="AU708" s="18">
        <f t="shared" si="13"/>
        <v>4.9999999998817657E-3</v>
      </c>
      <c r="AV708" s="19">
        <f t="shared" si="14"/>
        <v>0.28777396494826391</v>
      </c>
      <c r="AW708" s="20" t="str">
        <f t="shared" si="15"/>
        <v>June</v>
      </c>
      <c r="AX708" s="21">
        <f t="shared" si="16"/>
        <v>2024</v>
      </c>
    </row>
    <row r="709" spans="1:50" ht="15.75" customHeight="1">
      <c r="A709" s="10" t="s">
        <v>2232</v>
      </c>
      <c r="B709" s="11">
        <v>45832</v>
      </c>
      <c r="C709" s="11">
        <v>45834</v>
      </c>
      <c r="D709" s="10" t="s">
        <v>2233</v>
      </c>
      <c r="E709" s="10" t="s">
        <v>100</v>
      </c>
      <c r="F709" s="10" t="s">
        <v>53</v>
      </c>
      <c r="G709" s="10" t="s">
        <v>54</v>
      </c>
      <c r="H709" s="10" t="s">
        <v>55</v>
      </c>
      <c r="I709" s="10" t="s">
        <v>56</v>
      </c>
      <c r="J709" s="10" t="s">
        <v>103</v>
      </c>
      <c r="K709" s="10" t="s">
        <v>104</v>
      </c>
      <c r="L709" s="10" t="s">
        <v>2234</v>
      </c>
      <c r="M709" s="10" t="s">
        <v>73</v>
      </c>
      <c r="N709" s="12">
        <v>5</v>
      </c>
      <c r="O709" s="12">
        <v>3722.66</v>
      </c>
      <c r="P709" s="12">
        <v>0.55000000000000004</v>
      </c>
      <c r="Q709" s="12">
        <v>16751.97</v>
      </c>
      <c r="R709" s="12">
        <v>11678.32</v>
      </c>
      <c r="S709" s="12">
        <v>5073.6499999999996</v>
      </c>
      <c r="T709" s="10" t="s">
        <v>61</v>
      </c>
      <c r="U709" s="13" t="s">
        <v>62</v>
      </c>
      <c r="V709" s="14" t="e">
        <f t="shared" ca="1" si="0"/>
        <v>#NAME?</v>
      </c>
      <c r="W709" s="10" t="str">
        <f ca="1">IFERROR(__xludf.DUMMYFUNCTION("IF(COUNTIF($A:$A,A703)=1,
""Unique"",
IF(COUNTUNIQUE(FILTER($V$2:$V$934,$A$2:$A$934=A703))&gt;1,
""Conflicting Duplicate"",
""Exact Duplicate""))"),"Unique")</f>
        <v>Unique</v>
      </c>
      <c r="X709" s="10" t="b">
        <f t="shared" ca="1" si="1"/>
        <v>1</v>
      </c>
      <c r="Y709" s="10" t="str">
        <f t="shared" si="2"/>
        <v>Unique</v>
      </c>
      <c r="Z709" s="10"/>
      <c r="AA709" s="10" t="str">
        <f t="shared" si="3"/>
        <v>Clean</v>
      </c>
      <c r="AB709" s="15" t="str">
        <f t="shared" si="4"/>
        <v>Valid</v>
      </c>
      <c r="AC709" s="15">
        <v>2</v>
      </c>
      <c r="AD709" s="16" t="str">
        <f t="shared" si="5"/>
        <v>Valid</v>
      </c>
      <c r="AE709" s="16" t="str">
        <f t="shared" si="6"/>
        <v>Valid</v>
      </c>
      <c r="AF709" s="16" t="str">
        <f t="shared" ref="AF709:AG709" si="1429">IF(ISNUMBER(B709),"Valid","Invalid")</f>
        <v>Valid</v>
      </c>
      <c r="AG709" s="16" t="str">
        <f t="shared" si="1429"/>
        <v>Valid</v>
      </c>
      <c r="AH709" s="16" t="str">
        <f t="shared" ref="AH709:AI709" si="1430">IF(OR(B709="",ISBLANK(B709)),"Missing","Valid")</f>
        <v>Valid</v>
      </c>
      <c r="AI709" s="16" t="str">
        <f t="shared" si="1430"/>
        <v>Valid</v>
      </c>
      <c r="AJ709" s="16" t="b">
        <v>0</v>
      </c>
      <c r="AK709" s="16" t="b">
        <v>0</v>
      </c>
      <c r="AL709" s="16" t="b">
        <v>0</v>
      </c>
      <c r="AM709" s="16" t="b">
        <v>0</v>
      </c>
      <c r="AN709" s="16" t="b">
        <v>0</v>
      </c>
      <c r="AO709" s="16" t="b">
        <v>0</v>
      </c>
      <c r="AP709" s="16" t="b">
        <v>0</v>
      </c>
      <c r="AQ709" s="17">
        <f t="shared" si="9"/>
        <v>0.55000000000000004</v>
      </c>
      <c r="AR709" s="12">
        <f t="shared" si="10"/>
        <v>8375.9849999999988</v>
      </c>
      <c r="AS709" s="18">
        <f t="shared" si="11"/>
        <v>8375.9850000000024</v>
      </c>
      <c r="AT709" s="12">
        <f t="shared" si="12"/>
        <v>-3302.3350000000009</v>
      </c>
      <c r="AU709" s="18">
        <f t="shared" si="13"/>
        <v>8375.9850000000006</v>
      </c>
      <c r="AV709" s="19">
        <f t="shared" si="14"/>
        <v>-0.39426228676388525</v>
      </c>
      <c r="AW709" s="20" t="str">
        <f t="shared" si="15"/>
        <v>June</v>
      </c>
      <c r="AX709" s="21">
        <f t="shared" si="16"/>
        <v>2025</v>
      </c>
    </row>
    <row r="710" spans="1:50" ht="15.75" customHeight="1">
      <c r="A710" s="10" t="s">
        <v>2235</v>
      </c>
      <c r="B710" s="11">
        <v>45736</v>
      </c>
      <c r="C710" s="11">
        <v>45742</v>
      </c>
      <c r="D710" s="10" t="s">
        <v>2236</v>
      </c>
      <c r="E710" s="10" t="s">
        <v>161</v>
      </c>
      <c r="F710" s="10" t="s">
        <v>53</v>
      </c>
      <c r="G710" s="10" t="s">
        <v>67</v>
      </c>
      <c r="H710" s="10" t="s">
        <v>195</v>
      </c>
      <c r="I710" s="10" t="s">
        <v>196</v>
      </c>
      <c r="J710" s="10" t="s">
        <v>70</v>
      </c>
      <c r="K710" s="10" t="s">
        <v>187</v>
      </c>
      <c r="L710" s="10" t="s">
        <v>2237</v>
      </c>
      <c r="M710" s="10" t="s">
        <v>79</v>
      </c>
      <c r="N710" s="12">
        <v>4</v>
      </c>
      <c r="O710" s="12">
        <v>4357.66</v>
      </c>
      <c r="P710" s="12">
        <v>0.05</v>
      </c>
      <c r="Q710" s="12">
        <v>16559.11</v>
      </c>
      <c r="R710" s="12">
        <v>13233.79</v>
      </c>
      <c r="S710" s="12">
        <v>3325.32</v>
      </c>
      <c r="T710" s="10" t="s">
        <v>61</v>
      </c>
      <c r="U710" s="13" t="s">
        <v>62</v>
      </c>
      <c r="V710" s="14" t="e">
        <f t="shared" ca="1" si="0"/>
        <v>#NAME?</v>
      </c>
      <c r="W710" s="10" t="str">
        <f ca="1">IFERROR(__xludf.DUMMYFUNCTION("IF(COUNTIF($A:$A,A704)=1,
""Unique"",
IF(COUNTUNIQUE(FILTER($V$2:$V$934,$A$2:$A$934=A704))&gt;1,
""Conflicting Duplicate"",
""Exact Duplicate""))"),"Unique")</f>
        <v>Unique</v>
      </c>
      <c r="X710" s="10" t="b">
        <f t="shared" ca="1" si="1"/>
        <v>1</v>
      </c>
      <c r="Y710" s="10" t="str">
        <f t="shared" si="2"/>
        <v>Unique</v>
      </c>
      <c r="Z710" s="10"/>
      <c r="AA710" s="10" t="str">
        <f t="shared" si="3"/>
        <v>Clean</v>
      </c>
      <c r="AB710" s="15" t="str">
        <f t="shared" si="4"/>
        <v>Valid</v>
      </c>
      <c r="AC710" s="15">
        <v>6</v>
      </c>
      <c r="AD710" s="16" t="str">
        <f t="shared" si="5"/>
        <v>Valid</v>
      </c>
      <c r="AE710" s="16" t="str">
        <f t="shared" si="6"/>
        <v>Valid</v>
      </c>
      <c r="AF710" s="16" t="str">
        <f t="shared" ref="AF710:AG710" si="1431">IF(ISNUMBER(B710),"Valid","Invalid")</f>
        <v>Valid</v>
      </c>
      <c r="AG710" s="16" t="str">
        <f t="shared" si="1431"/>
        <v>Valid</v>
      </c>
      <c r="AH710" s="16" t="str">
        <f t="shared" ref="AH710:AI710" si="1432">IF(OR(B710="",ISBLANK(B710)),"Missing","Valid")</f>
        <v>Valid</v>
      </c>
      <c r="AI710" s="16" t="str">
        <f t="shared" si="1432"/>
        <v>Valid</v>
      </c>
      <c r="AJ710" s="16" t="b">
        <v>0</v>
      </c>
      <c r="AK710" s="16" t="b">
        <v>0</v>
      </c>
      <c r="AL710" s="16" t="b">
        <v>0</v>
      </c>
      <c r="AM710" s="16" t="b">
        <v>0</v>
      </c>
      <c r="AN710" s="16" t="b">
        <v>0</v>
      </c>
      <c r="AO710" s="16" t="b">
        <v>0</v>
      </c>
      <c r="AP710" s="16" t="b">
        <v>0</v>
      </c>
      <c r="AQ710" s="17">
        <f t="shared" si="9"/>
        <v>0.05</v>
      </c>
      <c r="AR710" s="12">
        <f t="shared" si="10"/>
        <v>16559.108</v>
      </c>
      <c r="AS710" s="18">
        <f t="shared" si="11"/>
        <v>2.0000000004074536E-3</v>
      </c>
      <c r="AT710" s="12">
        <f t="shared" si="12"/>
        <v>3325.3179999999993</v>
      </c>
      <c r="AU710" s="18">
        <f t="shared" si="13"/>
        <v>2.000000000862201E-3</v>
      </c>
      <c r="AV710" s="19">
        <f t="shared" si="14"/>
        <v>0.20081504390212318</v>
      </c>
      <c r="AW710" s="20" t="str">
        <f t="shared" si="15"/>
        <v>March</v>
      </c>
      <c r="AX710" s="21">
        <f t="shared" si="16"/>
        <v>2025</v>
      </c>
    </row>
    <row r="711" spans="1:50" ht="15.75" customHeight="1">
      <c r="A711" s="10" t="s">
        <v>2238</v>
      </c>
      <c r="B711" s="11">
        <v>45676</v>
      </c>
      <c r="C711" s="11">
        <v>45680</v>
      </c>
      <c r="D711" s="10" t="s">
        <v>2239</v>
      </c>
      <c r="E711" s="10" t="s">
        <v>294</v>
      </c>
      <c r="F711" s="10" t="s">
        <v>124</v>
      </c>
      <c r="G711" s="10" t="s">
        <v>54</v>
      </c>
      <c r="H711" s="10" t="s">
        <v>151</v>
      </c>
      <c r="I711" s="10" t="s">
        <v>152</v>
      </c>
      <c r="J711" s="10" t="s">
        <v>103</v>
      </c>
      <c r="K711" s="10" t="s">
        <v>200</v>
      </c>
      <c r="L711" s="10" t="s">
        <v>2240</v>
      </c>
      <c r="M711" s="10" t="s">
        <v>73</v>
      </c>
      <c r="N711" s="12">
        <v>7</v>
      </c>
      <c r="O711" s="12">
        <v>1363.04</v>
      </c>
      <c r="P711" s="12">
        <v>0.15</v>
      </c>
      <c r="Q711" s="12">
        <v>8110.09</v>
      </c>
      <c r="R711" s="12">
        <v>6417.32</v>
      </c>
      <c r="S711" s="12">
        <v>1692.77</v>
      </c>
      <c r="T711" s="10" t="s">
        <v>61</v>
      </c>
      <c r="U711" s="13" t="s">
        <v>97</v>
      </c>
      <c r="V711" s="14" t="e">
        <f t="shared" ca="1" si="0"/>
        <v>#NAME?</v>
      </c>
      <c r="W711" s="10" t="str">
        <f ca="1">IFERROR(__xludf.DUMMYFUNCTION("IF(COUNTIF($A:$A,A705)=1,
""Unique"",
IF(COUNTUNIQUE(FILTER($V$2:$V$934,$A$2:$A$934=A705))&gt;1,
""Conflicting Duplicate"",
""Exact Duplicate""))"),"Unique")</f>
        <v>Unique</v>
      </c>
      <c r="X711" s="10" t="b">
        <f t="shared" ca="1" si="1"/>
        <v>1</v>
      </c>
      <c r="Y711" s="10" t="str">
        <f t="shared" si="2"/>
        <v>Unique</v>
      </c>
      <c r="Z711" s="10"/>
      <c r="AA711" s="10" t="str">
        <f t="shared" si="3"/>
        <v>Clean</v>
      </c>
      <c r="AB711" s="15" t="str">
        <f t="shared" si="4"/>
        <v>Valid</v>
      </c>
      <c r="AC711" s="15">
        <v>4</v>
      </c>
      <c r="AD711" s="16" t="str">
        <f t="shared" si="5"/>
        <v>Valid</v>
      </c>
      <c r="AE711" s="16" t="str">
        <f t="shared" si="6"/>
        <v>Valid</v>
      </c>
      <c r="AF711" s="16" t="str">
        <f t="shared" ref="AF711:AG711" si="1433">IF(ISNUMBER(B711),"Valid","Invalid")</f>
        <v>Valid</v>
      </c>
      <c r="AG711" s="16" t="str">
        <f t="shared" si="1433"/>
        <v>Valid</v>
      </c>
      <c r="AH711" s="16" t="str">
        <f t="shared" ref="AH711:AI711" si="1434">IF(OR(B711="",ISBLANK(B711)),"Missing","Valid")</f>
        <v>Valid</v>
      </c>
      <c r="AI711" s="16" t="str">
        <f t="shared" si="1434"/>
        <v>Valid</v>
      </c>
      <c r="AJ711" s="16" t="b">
        <v>0</v>
      </c>
      <c r="AK711" s="16" t="b">
        <v>0</v>
      </c>
      <c r="AL711" s="16" t="b">
        <v>0</v>
      </c>
      <c r="AM711" s="16" t="b">
        <v>0</v>
      </c>
      <c r="AN711" s="16" t="b">
        <v>0</v>
      </c>
      <c r="AO711" s="16" t="b">
        <v>0</v>
      </c>
      <c r="AP711" s="16" t="b">
        <v>0</v>
      </c>
      <c r="AQ711" s="17">
        <f t="shared" si="9"/>
        <v>0.15</v>
      </c>
      <c r="AR711" s="12">
        <f t="shared" si="10"/>
        <v>8110.0879999999988</v>
      </c>
      <c r="AS711" s="18">
        <f t="shared" si="11"/>
        <v>2.0000000013169483E-3</v>
      </c>
      <c r="AT711" s="12">
        <f t="shared" si="12"/>
        <v>1692.7679999999991</v>
      </c>
      <c r="AU711" s="18">
        <f t="shared" si="13"/>
        <v>2.000000000862201E-3</v>
      </c>
      <c r="AV711" s="19">
        <f t="shared" si="14"/>
        <v>0.2087237524426368</v>
      </c>
      <c r="AW711" s="20" t="str">
        <f t="shared" si="15"/>
        <v>January</v>
      </c>
      <c r="AX711" s="21">
        <f t="shared" si="16"/>
        <v>2025</v>
      </c>
    </row>
    <row r="712" spans="1:50" ht="15.75" customHeight="1">
      <c r="A712" s="10" t="s">
        <v>2241</v>
      </c>
      <c r="B712" s="11">
        <v>45485</v>
      </c>
      <c r="C712" s="11">
        <v>45492</v>
      </c>
      <c r="D712" s="10" t="s">
        <v>2242</v>
      </c>
      <c r="E712" s="10" t="s">
        <v>100</v>
      </c>
      <c r="F712" s="10" t="s">
        <v>119</v>
      </c>
      <c r="G712" s="10" t="s">
        <v>54</v>
      </c>
      <c r="H712" s="10" t="s">
        <v>151</v>
      </c>
      <c r="I712" s="10" t="s">
        <v>152</v>
      </c>
      <c r="J712" s="10" t="s">
        <v>57</v>
      </c>
      <c r="K712" s="10" t="s">
        <v>77</v>
      </c>
      <c r="L712" s="10" t="s">
        <v>2243</v>
      </c>
      <c r="M712" s="10" t="s">
        <v>60</v>
      </c>
      <c r="N712" s="12">
        <v>5</v>
      </c>
      <c r="O712" s="12">
        <v>1559.16</v>
      </c>
      <c r="P712" s="12">
        <v>0.05</v>
      </c>
      <c r="Q712" s="12">
        <v>7406.01</v>
      </c>
      <c r="R712" s="12">
        <v>5941.74</v>
      </c>
      <c r="S712" s="12">
        <v>1464.27</v>
      </c>
      <c r="T712" s="10" t="s">
        <v>61</v>
      </c>
      <c r="U712" s="13" t="s">
        <v>62</v>
      </c>
      <c r="V712" s="14" t="e">
        <f t="shared" ca="1" si="0"/>
        <v>#NAME?</v>
      </c>
      <c r="W712" s="10" t="str">
        <f ca="1">IFERROR(__xludf.DUMMYFUNCTION("IF(COUNTIF($A:$A,A706)=1,
""Unique"",
IF(COUNTUNIQUE(FILTER($V$2:$V$934,$A$2:$A$934=A706))&gt;1,
""Conflicting Duplicate"",
""Exact Duplicate""))"),"Exact Duplicate")</f>
        <v>Exact Duplicate</v>
      </c>
      <c r="X712" s="10" t="b">
        <f t="shared" ca="1" si="1"/>
        <v>1</v>
      </c>
      <c r="Y712" s="10" t="str">
        <f t="shared" si="2"/>
        <v>Unique</v>
      </c>
      <c r="Z712" s="10"/>
      <c r="AA712" s="10" t="str">
        <f t="shared" si="3"/>
        <v>Clean</v>
      </c>
      <c r="AB712" s="15" t="str">
        <f t="shared" si="4"/>
        <v>Valid</v>
      </c>
      <c r="AC712" s="15">
        <v>7</v>
      </c>
      <c r="AD712" s="16" t="str">
        <f t="shared" si="5"/>
        <v>Valid</v>
      </c>
      <c r="AE712" s="16" t="str">
        <f t="shared" si="6"/>
        <v>Valid</v>
      </c>
      <c r="AF712" s="16" t="str">
        <f t="shared" ref="AF712:AG712" si="1435">IF(ISNUMBER(B712),"Valid","Invalid")</f>
        <v>Valid</v>
      </c>
      <c r="AG712" s="16" t="str">
        <f t="shared" si="1435"/>
        <v>Valid</v>
      </c>
      <c r="AH712" s="16" t="str">
        <f t="shared" ref="AH712:AI712" si="1436">IF(OR(B712="",ISBLANK(B712)),"Missing","Valid")</f>
        <v>Valid</v>
      </c>
      <c r="AI712" s="16" t="str">
        <f t="shared" si="1436"/>
        <v>Valid</v>
      </c>
      <c r="AJ712" s="16" t="b">
        <v>0</v>
      </c>
      <c r="AK712" s="16" t="b">
        <v>0</v>
      </c>
      <c r="AL712" s="16" t="b">
        <v>0</v>
      </c>
      <c r="AM712" s="16" t="b">
        <v>0</v>
      </c>
      <c r="AN712" s="16" t="b">
        <v>0</v>
      </c>
      <c r="AO712" s="16" t="b">
        <v>0</v>
      </c>
      <c r="AP712" s="16" t="b">
        <v>0</v>
      </c>
      <c r="AQ712" s="17">
        <f t="shared" si="9"/>
        <v>0.05</v>
      </c>
      <c r="AR712" s="12">
        <f t="shared" si="10"/>
        <v>7406.01</v>
      </c>
      <c r="AS712" s="18">
        <f t="shared" si="11"/>
        <v>0</v>
      </c>
      <c r="AT712" s="12">
        <f t="shared" si="12"/>
        <v>1464.2700000000004</v>
      </c>
      <c r="AU712" s="18">
        <f t="shared" si="13"/>
        <v>0</v>
      </c>
      <c r="AV712" s="19">
        <f t="shared" si="14"/>
        <v>0.19771374869869207</v>
      </c>
      <c r="AW712" s="20" t="str">
        <f t="shared" si="15"/>
        <v>July</v>
      </c>
      <c r="AX712" s="21">
        <f t="shared" si="16"/>
        <v>2024</v>
      </c>
    </row>
    <row r="713" spans="1:50" ht="15.75" customHeight="1">
      <c r="A713" s="10" t="s">
        <v>2244</v>
      </c>
      <c r="B713" s="11">
        <v>45690</v>
      </c>
      <c r="C713" s="11">
        <v>45690</v>
      </c>
      <c r="D713" s="10" t="s">
        <v>2245</v>
      </c>
      <c r="E713" s="10" t="s">
        <v>294</v>
      </c>
      <c r="F713" s="10" t="s">
        <v>119</v>
      </c>
      <c r="G713" s="10" t="s">
        <v>67</v>
      </c>
      <c r="H713" s="10" t="s">
        <v>128</v>
      </c>
      <c r="I713" s="10" t="s">
        <v>129</v>
      </c>
      <c r="J713" s="10" t="s">
        <v>103</v>
      </c>
      <c r="K713" s="10" t="s">
        <v>304</v>
      </c>
      <c r="L713" s="10" t="s">
        <v>2246</v>
      </c>
      <c r="M713" s="10" t="s">
        <v>79</v>
      </c>
      <c r="N713" s="12">
        <v>1</v>
      </c>
      <c r="O713" s="12">
        <v>4326.75</v>
      </c>
      <c r="P713" s="12">
        <v>0.05</v>
      </c>
      <c r="Q713" s="12">
        <v>4110.41</v>
      </c>
      <c r="R713" s="12">
        <v>2394.14</v>
      </c>
      <c r="S713" s="12">
        <v>1716.27</v>
      </c>
      <c r="T713" s="10" t="s">
        <v>140</v>
      </c>
      <c r="U713" s="13" t="s">
        <v>132</v>
      </c>
      <c r="V713" s="14" t="e">
        <f t="shared" ca="1" si="0"/>
        <v>#NAME?</v>
      </c>
      <c r="W713" s="10" t="str">
        <f ca="1">IFERROR(__xludf.DUMMYFUNCTION("IF(COUNTIF($A:$A,A707)=1,
""Unique"",
IF(COUNTUNIQUE(FILTER($V$2:$V$934,$A$2:$A$934=A707))&gt;1,
""Conflicting Duplicate"",
""Exact Duplicate""))"),"Unique")</f>
        <v>Unique</v>
      </c>
      <c r="X713" s="10" t="b">
        <f t="shared" ca="1" si="1"/>
        <v>1</v>
      </c>
      <c r="Y713" s="10" t="str">
        <f t="shared" si="2"/>
        <v>Unique</v>
      </c>
      <c r="Z713" s="10"/>
      <c r="AA713" s="10" t="str">
        <f t="shared" si="3"/>
        <v>Clean</v>
      </c>
      <c r="AB713" s="15" t="str">
        <f t="shared" si="4"/>
        <v>Valid</v>
      </c>
      <c r="AC713" s="15">
        <v>0</v>
      </c>
      <c r="AD713" s="16" t="str">
        <f t="shared" si="5"/>
        <v>Valid</v>
      </c>
      <c r="AE713" s="16" t="str">
        <f t="shared" si="6"/>
        <v>Valid</v>
      </c>
      <c r="AF713" s="16" t="str">
        <f t="shared" ref="AF713:AG713" si="1437">IF(ISNUMBER(B713),"Valid","Invalid")</f>
        <v>Valid</v>
      </c>
      <c r="AG713" s="16" t="str">
        <f t="shared" si="1437"/>
        <v>Valid</v>
      </c>
      <c r="AH713" s="16" t="str">
        <f t="shared" ref="AH713:AI713" si="1438">IF(OR(B713="",ISBLANK(B713)),"Missing","Valid")</f>
        <v>Valid</v>
      </c>
      <c r="AI713" s="16" t="str">
        <f t="shared" si="1438"/>
        <v>Valid</v>
      </c>
      <c r="AJ713" s="16" t="b">
        <v>0</v>
      </c>
      <c r="AK713" s="16" t="b">
        <v>0</v>
      </c>
      <c r="AL713" s="16" t="b">
        <v>0</v>
      </c>
      <c r="AM713" s="16" t="b">
        <v>0</v>
      </c>
      <c r="AN713" s="16" t="b">
        <v>0</v>
      </c>
      <c r="AO713" s="16" t="b">
        <v>0</v>
      </c>
      <c r="AP713" s="16" t="b">
        <v>0</v>
      </c>
      <c r="AQ713" s="17">
        <f t="shared" si="9"/>
        <v>0.05</v>
      </c>
      <c r="AR713" s="12">
        <f t="shared" si="10"/>
        <v>4110.4124999999995</v>
      </c>
      <c r="AS713" s="18">
        <f t="shared" si="11"/>
        <v>-2.4999999995998223E-3</v>
      </c>
      <c r="AT713" s="12">
        <f t="shared" si="12"/>
        <v>1716.2724999999996</v>
      </c>
      <c r="AU713" s="18">
        <f t="shared" si="13"/>
        <v>-2.4999999995998223E-3</v>
      </c>
      <c r="AV713" s="19">
        <f t="shared" si="14"/>
        <v>0.41754264322619683</v>
      </c>
      <c r="AW713" s="20" t="str">
        <f t="shared" si="15"/>
        <v>February</v>
      </c>
      <c r="AX713" s="21">
        <f t="shared" si="16"/>
        <v>2025</v>
      </c>
    </row>
    <row r="714" spans="1:50" ht="15.75" customHeight="1">
      <c r="A714" s="10" t="s">
        <v>2247</v>
      </c>
      <c r="B714" s="11">
        <v>45332</v>
      </c>
      <c r="C714" s="11">
        <v>45340</v>
      </c>
      <c r="D714" s="10" t="s">
        <v>2248</v>
      </c>
      <c r="E714" s="10" t="s">
        <v>76</v>
      </c>
      <c r="F714" s="10" t="s">
        <v>124</v>
      </c>
      <c r="G714" s="10" t="s">
        <v>92</v>
      </c>
      <c r="H714" s="10" t="s">
        <v>101</v>
      </c>
      <c r="I714" s="10" t="s">
        <v>102</v>
      </c>
      <c r="J714" s="10" t="s">
        <v>70</v>
      </c>
      <c r="K714" s="10" t="s">
        <v>95</v>
      </c>
      <c r="L714" s="10" t="s">
        <v>2249</v>
      </c>
      <c r="M714" s="10" t="s">
        <v>79</v>
      </c>
      <c r="N714" s="12">
        <v>7</v>
      </c>
      <c r="O714" s="12">
        <v>1382.86</v>
      </c>
      <c r="P714" s="12">
        <v>0</v>
      </c>
      <c r="Q714" s="12">
        <v>9680.02</v>
      </c>
      <c r="R714" s="12">
        <v>6876.66</v>
      </c>
      <c r="S714" s="12">
        <v>2803.36</v>
      </c>
      <c r="T714" s="10" t="s">
        <v>61</v>
      </c>
      <c r="U714" s="13" t="s">
        <v>62</v>
      </c>
      <c r="V714" s="14" t="e">
        <f t="shared" ca="1" si="0"/>
        <v>#NAME?</v>
      </c>
      <c r="W714" s="10" t="str">
        <f ca="1">IFERROR(__xludf.DUMMYFUNCTION("IF(COUNTIF($A:$A,A708)=1,
""Unique"",
IF(COUNTUNIQUE(FILTER($V$2:$V$934,$A$2:$A$934=A708))&gt;1,
""Conflicting Duplicate"",
""Exact Duplicate""))"),"Unique")</f>
        <v>Unique</v>
      </c>
      <c r="X714" s="10" t="b">
        <f t="shared" ca="1" si="1"/>
        <v>1</v>
      </c>
      <c r="Y714" s="10" t="str">
        <f t="shared" si="2"/>
        <v>Duplicate Order ID</v>
      </c>
      <c r="Z714" s="10"/>
      <c r="AA714" s="10" t="str">
        <f t="shared" si="3"/>
        <v>Clean</v>
      </c>
      <c r="AB714" s="15" t="str">
        <f t="shared" si="4"/>
        <v>Valid</v>
      </c>
      <c r="AC714" s="15">
        <v>8</v>
      </c>
      <c r="AD714" s="16" t="str">
        <f t="shared" si="5"/>
        <v>Valid</v>
      </c>
      <c r="AE714" s="16" t="str">
        <f t="shared" si="6"/>
        <v>Valid</v>
      </c>
      <c r="AF714" s="16" t="str">
        <f t="shared" ref="AF714:AG714" si="1439">IF(ISNUMBER(B714),"Valid","Invalid")</f>
        <v>Valid</v>
      </c>
      <c r="AG714" s="16" t="str">
        <f t="shared" si="1439"/>
        <v>Valid</v>
      </c>
      <c r="AH714" s="16" t="str">
        <f t="shared" ref="AH714:AI714" si="1440">IF(OR(B714="",ISBLANK(B714)),"Missing","Valid")</f>
        <v>Valid</v>
      </c>
      <c r="AI714" s="16" t="str">
        <f t="shared" si="1440"/>
        <v>Valid</v>
      </c>
      <c r="AJ714" s="16" t="b">
        <v>0</v>
      </c>
      <c r="AK714" s="16" t="b">
        <v>0</v>
      </c>
      <c r="AL714" s="16" t="b">
        <v>0</v>
      </c>
      <c r="AM714" s="16" t="b">
        <v>0</v>
      </c>
      <c r="AN714" s="16" t="b">
        <v>0</v>
      </c>
      <c r="AO714" s="16" t="b">
        <v>0</v>
      </c>
      <c r="AP714" s="16" t="b">
        <v>0</v>
      </c>
      <c r="AQ714" s="17">
        <f t="shared" si="9"/>
        <v>0</v>
      </c>
      <c r="AR714" s="12">
        <f t="shared" si="10"/>
        <v>9680.0199999999986</v>
      </c>
      <c r="AS714" s="18">
        <f t="shared" si="11"/>
        <v>0</v>
      </c>
      <c r="AT714" s="12">
        <f t="shared" si="12"/>
        <v>2803.3599999999988</v>
      </c>
      <c r="AU714" s="18">
        <f t="shared" si="13"/>
        <v>0</v>
      </c>
      <c r="AV714" s="19">
        <f t="shared" si="14"/>
        <v>0.28960270743242256</v>
      </c>
      <c r="AW714" s="20" t="str">
        <f t="shared" si="15"/>
        <v>February</v>
      </c>
      <c r="AX714" s="21">
        <f t="shared" si="16"/>
        <v>2024</v>
      </c>
    </row>
    <row r="715" spans="1:50" ht="15.75" customHeight="1">
      <c r="A715" s="10" t="s">
        <v>2250</v>
      </c>
      <c r="B715" s="11">
        <v>45814</v>
      </c>
      <c r="C715" s="11">
        <v>45818</v>
      </c>
      <c r="D715" s="10" t="s">
        <v>629</v>
      </c>
      <c r="E715" s="10" t="s">
        <v>65</v>
      </c>
      <c r="F715" s="10" t="s">
        <v>53</v>
      </c>
      <c r="G715" s="10" t="s">
        <v>92</v>
      </c>
      <c r="H715" s="10" t="s">
        <v>55</v>
      </c>
      <c r="I715" s="10" t="s">
        <v>138</v>
      </c>
      <c r="J715" s="10" t="s">
        <v>103</v>
      </c>
      <c r="K715" s="10" t="s">
        <v>304</v>
      </c>
      <c r="L715" s="10" t="s">
        <v>2251</v>
      </c>
      <c r="M715" s="10" t="s">
        <v>60</v>
      </c>
      <c r="N715" s="12">
        <v>1</v>
      </c>
      <c r="O715" s="12">
        <v>289.97000000000003</v>
      </c>
      <c r="P715" s="12">
        <v>0.25</v>
      </c>
      <c r="Q715" s="12">
        <v>217.48</v>
      </c>
      <c r="R715" s="12">
        <v>132.13</v>
      </c>
      <c r="S715" s="12">
        <v>85.35</v>
      </c>
      <c r="T715" s="10" t="s">
        <v>61</v>
      </c>
      <c r="U715" s="13" t="s">
        <v>62</v>
      </c>
      <c r="V715" s="14" t="e">
        <f t="shared" ca="1" si="0"/>
        <v>#NAME?</v>
      </c>
      <c r="W715" s="10" t="str">
        <f ca="1">IFERROR(__xludf.DUMMYFUNCTION("IF(COUNTIF($A:$A,A709)=1,
""Unique"",
IF(COUNTUNIQUE(FILTER($V$2:$V$934,$A$2:$A$934=A709))&gt;1,
""Conflicting Duplicate"",
""Exact Duplicate""))"),"Unique")</f>
        <v>Unique</v>
      </c>
      <c r="X715" s="10" t="b">
        <f t="shared" ca="1" si="1"/>
        <v>1</v>
      </c>
      <c r="Y715" s="10" t="str">
        <f t="shared" si="2"/>
        <v>Unique</v>
      </c>
      <c r="Z715" s="10"/>
      <c r="AA715" s="10" t="str">
        <f t="shared" si="3"/>
        <v>Clean</v>
      </c>
      <c r="AB715" s="15" t="str">
        <f t="shared" si="4"/>
        <v>Valid</v>
      </c>
      <c r="AC715" s="15">
        <v>4</v>
      </c>
      <c r="AD715" s="16" t="str">
        <f t="shared" si="5"/>
        <v>Valid</v>
      </c>
      <c r="AE715" s="16" t="str">
        <f t="shared" si="6"/>
        <v>Valid</v>
      </c>
      <c r="AF715" s="16" t="str">
        <f t="shared" ref="AF715:AG715" si="1441">IF(ISNUMBER(B715),"Valid","Invalid")</f>
        <v>Valid</v>
      </c>
      <c r="AG715" s="16" t="str">
        <f t="shared" si="1441"/>
        <v>Valid</v>
      </c>
      <c r="AH715" s="16" t="str">
        <f t="shared" ref="AH715:AI715" si="1442">IF(OR(B715="",ISBLANK(B715)),"Missing","Valid")</f>
        <v>Valid</v>
      </c>
      <c r="AI715" s="16" t="str">
        <f t="shared" si="1442"/>
        <v>Valid</v>
      </c>
      <c r="AJ715" s="16" t="b">
        <v>0</v>
      </c>
      <c r="AK715" s="16" t="b">
        <v>0</v>
      </c>
      <c r="AL715" s="16" t="b">
        <v>0</v>
      </c>
      <c r="AM715" s="16" t="b">
        <v>0</v>
      </c>
      <c r="AN715" s="16" t="b">
        <v>0</v>
      </c>
      <c r="AO715" s="16" t="b">
        <v>0</v>
      </c>
      <c r="AP715" s="16" t="b">
        <v>0</v>
      </c>
      <c r="AQ715" s="17">
        <f t="shared" si="9"/>
        <v>0.25</v>
      </c>
      <c r="AR715" s="12">
        <f t="shared" si="10"/>
        <v>217.47750000000002</v>
      </c>
      <c r="AS715" s="18">
        <f t="shared" si="11"/>
        <v>2.4999999999693046E-3</v>
      </c>
      <c r="AT715" s="12">
        <f t="shared" si="12"/>
        <v>85.347500000000025</v>
      </c>
      <c r="AU715" s="18">
        <f t="shared" si="13"/>
        <v>2.4999999999693046E-3</v>
      </c>
      <c r="AV715" s="19">
        <f t="shared" si="14"/>
        <v>0.39244289639158081</v>
      </c>
      <c r="AW715" s="20" t="str">
        <f t="shared" si="15"/>
        <v>June</v>
      </c>
      <c r="AX715" s="21">
        <f t="shared" si="16"/>
        <v>2025</v>
      </c>
    </row>
    <row r="716" spans="1:50" ht="15.75" customHeight="1">
      <c r="A716" s="10" t="s">
        <v>2252</v>
      </c>
      <c r="B716" s="11">
        <v>45738</v>
      </c>
      <c r="C716" s="11">
        <v>45739</v>
      </c>
      <c r="D716" s="10" t="s">
        <v>2253</v>
      </c>
      <c r="E716" s="10" t="s">
        <v>52</v>
      </c>
      <c r="F716" s="10" t="s">
        <v>124</v>
      </c>
      <c r="G716" s="10" t="s">
        <v>54</v>
      </c>
      <c r="H716" s="10" t="s">
        <v>380</v>
      </c>
      <c r="I716" s="10" t="s">
        <v>381</v>
      </c>
      <c r="J716" s="10" t="s">
        <v>103</v>
      </c>
      <c r="K716" s="10" t="s">
        <v>109</v>
      </c>
      <c r="L716" s="10" t="s">
        <v>2254</v>
      </c>
      <c r="M716" s="10" t="s">
        <v>88</v>
      </c>
      <c r="N716" s="12">
        <v>9</v>
      </c>
      <c r="O716" s="12">
        <v>2075.02</v>
      </c>
      <c r="P716" s="12">
        <v>0</v>
      </c>
      <c r="Q716" s="12">
        <v>18675.18</v>
      </c>
      <c r="R716" s="12">
        <v>13974.7</v>
      </c>
      <c r="S716" s="12">
        <v>4700.4799999999996</v>
      </c>
      <c r="T716" s="10" t="s">
        <v>61</v>
      </c>
      <c r="U716" s="13" t="s">
        <v>62</v>
      </c>
      <c r="V716" s="14" t="e">
        <f t="shared" ca="1" si="0"/>
        <v>#NAME?</v>
      </c>
      <c r="W716" s="10" t="str">
        <f ca="1">IFERROR(__xludf.DUMMYFUNCTION("IF(COUNTIF($A:$A,A710)=1,
""Unique"",
IF(COUNTUNIQUE(FILTER($V$2:$V$934,$A$2:$A$934=A710))&gt;1,
""Conflicting Duplicate"",
""Exact Duplicate""))"),"Unique")</f>
        <v>Unique</v>
      </c>
      <c r="X716" s="10" t="b">
        <f t="shared" ca="1" si="1"/>
        <v>1</v>
      </c>
      <c r="Y716" s="10" t="str">
        <f t="shared" si="2"/>
        <v>Unique</v>
      </c>
      <c r="Z716" s="10"/>
      <c r="AA716" s="10" t="str">
        <f t="shared" si="3"/>
        <v>Clean</v>
      </c>
      <c r="AB716" s="15" t="str">
        <f t="shared" si="4"/>
        <v>Valid</v>
      </c>
      <c r="AC716" s="15">
        <v>1</v>
      </c>
      <c r="AD716" s="16" t="str">
        <f t="shared" si="5"/>
        <v>Valid</v>
      </c>
      <c r="AE716" s="16" t="str">
        <f t="shared" si="6"/>
        <v>Valid</v>
      </c>
      <c r="AF716" s="16" t="str">
        <f t="shared" ref="AF716:AG716" si="1443">IF(ISNUMBER(B716),"Valid","Invalid")</f>
        <v>Valid</v>
      </c>
      <c r="AG716" s="16" t="str">
        <f t="shared" si="1443"/>
        <v>Valid</v>
      </c>
      <c r="AH716" s="16" t="str">
        <f t="shared" ref="AH716:AI716" si="1444">IF(OR(B716="",ISBLANK(B716)),"Missing","Valid")</f>
        <v>Valid</v>
      </c>
      <c r="AI716" s="16" t="str">
        <f t="shared" si="1444"/>
        <v>Valid</v>
      </c>
      <c r="AJ716" s="16" t="b">
        <v>0</v>
      </c>
      <c r="AK716" s="16" t="b">
        <v>0</v>
      </c>
      <c r="AL716" s="16" t="b">
        <v>0</v>
      </c>
      <c r="AM716" s="16" t="b">
        <v>0</v>
      </c>
      <c r="AN716" s="16" t="b">
        <v>0</v>
      </c>
      <c r="AO716" s="16" t="b">
        <v>0</v>
      </c>
      <c r="AP716" s="16" t="b">
        <v>0</v>
      </c>
      <c r="AQ716" s="17">
        <f t="shared" si="9"/>
        <v>0</v>
      </c>
      <c r="AR716" s="12">
        <f t="shared" si="10"/>
        <v>18675.18</v>
      </c>
      <c r="AS716" s="18">
        <f t="shared" si="11"/>
        <v>0</v>
      </c>
      <c r="AT716" s="12">
        <f t="shared" si="12"/>
        <v>4700.4799999999996</v>
      </c>
      <c r="AU716" s="18">
        <f t="shared" si="13"/>
        <v>0</v>
      </c>
      <c r="AV716" s="19">
        <f t="shared" si="14"/>
        <v>0.25169663692665878</v>
      </c>
      <c r="AW716" s="20" t="str">
        <f t="shared" si="15"/>
        <v>March</v>
      </c>
      <c r="AX716" s="21">
        <f t="shared" si="16"/>
        <v>2025</v>
      </c>
    </row>
    <row r="717" spans="1:50" ht="15.75" customHeight="1">
      <c r="A717" s="10" t="s">
        <v>2255</v>
      </c>
      <c r="B717" s="11">
        <v>45891</v>
      </c>
      <c r="C717" s="11">
        <v>45896</v>
      </c>
      <c r="D717" s="10" t="s">
        <v>2256</v>
      </c>
      <c r="E717" s="10" t="s">
        <v>143</v>
      </c>
      <c r="F717" s="10" t="s">
        <v>53</v>
      </c>
      <c r="G717" s="10" t="s">
        <v>54</v>
      </c>
      <c r="H717" s="10" t="s">
        <v>266</v>
      </c>
      <c r="I717" s="10" t="s">
        <v>267</v>
      </c>
      <c r="J717" s="10" t="s">
        <v>70</v>
      </c>
      <c r="K717" s="10" t="s">
        <v>95</v>
      </c>
      <c r="L717" s="10" t="s">
        <v>2257</v>
      </c>
      <c r="M717" s="10" t="s">
        <v>60</v>
      </c>
      <c r="N717" s="12">
        <v>7</v>
      </c>
      <c r="O717" s="12">
        <v>2843.09</v>
      </c>
      <c r="P717" s="12">
        <v>0</v>
      </c>
      <c r="Q717" s="12">
        <v>19901.63</v>
      </c>
      <c r="R717" s="12">
        <v>15492.03</v>
      </c>
      <c r="S717" s="12">
        <v>4409.6000000000004</v>
      </c>
      <c r="T717" s="10" t="s">
        <v>131</v>
      </c>
      <c r="U717" s="13" t="s">
        <v>97</v>
      </c>
      <c r="V717" s="14" t="e">
        <f t="shared" ca="1" si="0"/>
        <v>#NAME?</v>
      </c>
      <c r="W717" s="10" t="str">
        <f ca="1">IFERROR(__xludf.DUMMYFUNCTION("IF(COUNTIF($A:$A,A711)=1,
""Unique"",
IF(COUNTUNIQUE(FILTER($V$2:$V$934,$A$2:$A$934=A711))&gt;1,
""Conflicting Duplicate"",
""Exact Duplicate""))"),"Unique")</f>
        <v>Unique</v>
      </c>
      <c r="X717" s="10" t="b">
        <f t="shared" ca="1" si="1"/>
        <v>1</v>
      </c>
      <c r="Y717" s="10" t="str">
        <f t="shared" si="2"/>
        <v>Unique</v>
      </c>
      <c r="Z717" s="10"/>
      <c r="AA717" s="10" t="str">
        <f t="shared" si="3"/>
        <v>Clean</v>
      </c>
      <c r="AB717" s="15" t="str">
        <f t="shared" si="4"/>
        <v>Valid</v>
      </c>
      <c r="AC717" s="15">
        <v>5</v>
      </c>
      <c r="AD717" s="16" t="str">
        <f t="shared" si="5"/>
        <v>Valid</v>
      </c>
      <c r="AE717" s="16" t="str">
        <f t="shared" si="6"/>
        <v>Valid</v>
      </c>
      <c r="AF717" s="16" t="str">
        <f t="shared" ref="AF717:AG717" si="1445">IF(ISNUMBER(B717),"Valid","Invalid")</f>
        <v>Valid</v>
      </c>
      <c r="AG717" s="16" t="str">
        <f t="shared" si="1445"/>
        <v>Valid</v>
      </c>
      <c r="AH717" s="16" t="str">
        <f t="shared" ref="AH717:AI717" si="1446">IF(OR(B717="",ISBLANK(B717)),"Missing","Valid")</f>
        <v>Valid</v>
      </c>
      <c r="AI717" s="16" t="str">
        <f t="shared" si="1446"/>
        <v>Valid</v>
      </c>
      <c r="AJ717" s="16" t="b">
        <v>0</v>
      </c>
      <c r="AK717" s="16" t="b">
        <v>0</v>
      </c>
      <c r="AL717" s="16" t="b">
        <v>0</v>
      </c>
      <c r="AM717" s="16" t="b">
        <v>0</v>
      </c>
      <c r="AN717" s="16" t="b">
        <v>0</v>
      </c>
      <c r="AO717" s="16" t="b">
        <v>0</v>
      </c>
      <c r="AP717" s="16" t="b">
        <v>0</v>
      </c>
      <c r="AQ717" s="17">
        <f t="shared" si="9"/>
        <v>0</v>
      </c>
      <c r="AR717" s="12">
        <f t="shared" si="10"/>
        <v>19901.63</v>
      </c>
      <c r="AS717" s="18">
        <f t="shared" si="11"/>
        <v>0</v>
      </c>
      <c r="AT717" s="12">
        <f t="shared" si="12"/>
        <v>4409.6000000000004</v>
      </c>
      <c r="AU717" s="18">
        <f t="shared" si="13"/>
        <v>0</v>
      </c>
      <c r="AV717" s="19">
        <f t="shared" si="14"/>
        <v>0.22156979101711771</v>
      </c>
      <c r="AW717" s="20" t="str">
        <f t="shared" si="15"/>
        <v>August</v>
      </c>
      <c r="AX717" s="21">
        <f t="shared" si="16"/>
        <v>2025</v>
      </c>
    </row>
    <row r="718" spans="1:50" ht="15.75" customHeight="1">
      <c r="A718" s="10" t="s">
        <v>2258</v>
      </c>
      <c r="B718" s="11">
        <v>45895</v>
      </c>
      <c r="C718" s="11">
        <v>45900</v>
      </c>
      <c r="D718" s="10" t="s">
        <v>2259</v>
      </c>
      <c r="E718" s="10" t="s">
        <v>191</v>
      </c>
      <c r="F718" s="10" t="s">
        <v>66</v>
      </c>
      <c r="G718" s="10" t="s">
        <v>54</v>
      </c>
      <c r="H718" s="10" t="s">
        <v>266</v>
      </c>
      <c r="I718" s="10" t="s">
        <v>267</v>
      </c>
      <c r="J718" s="10" t="s">
        <v>103</v>
      </c>
      <c r="K718" s="10" t="s">
        <v>200</v>
      </c>
      <c r="L718" s="10" t="s">
        <v>2260</v>
      </c>
      <c r="M718" s="10" t="s">
        <v>79</v>
      </c>
      <c r="N718" s="12">
        <v>1</v>
      </c>
      <c r="O718" s="12">
        <v>3388.02</v>
      </c>
      <c r="P718" s="12">
        <v>0.15</v>
      </c>
      <c r="Q718" s="12">
        <v>2879.82</v>
      </c>
      <c r="R718" s="12">
        <v>1824.88</v>
      </c>
      <c r="S718" s="12">
        <v>1054.94</v>
      </c>
      <c r="T718" s="10" t="s">
        <v>61</v>
      </c>
      <c r="U718" s="13" t="s">
        <v>62</v>
      </c>
      <c r="V718" s="14" t="e">
        <f t="shared" ca="1" si="0"/>
        <v>#NAME?</v>
      </c>
      <c r="W718" s="10" t="str">
        <f ca="1">IFERROR(__xludf.DUMMYFUNCTION("IF(COUNTIF($A:$A,A712)=1,
""Unique"",
IF(COUNTUNIQUE(FILTER($V$2:$V$934,$A$2:$A$934=A712))&gt;1,
""Conflicting Duplicate"",
""Exact Duplicate""))"),"Unique")</f>
        <v>Unique</v>
      </c>
      <c r="X718" s="10" t="b">
        <f t="shared" ca="1" si="1"/>
        <v>1</v>
      </c>
      <c r="Y718" s="10" t="str">
        <f t="shared" si="2"/>
        <v>Unique</v>
      </c>
      <c r="Z718" s="10"/>
      <c r="AA718" s="10" t="str">
        <f t="shared" si="3"/>
        <v>Clean</v>
      </c>
      <c r="AB718" s="15" t="str">
        <f t="shared" si="4"/>
        <v>Valid</v>
      </c>
      <c r="AC718" s="15">
        <v>5</v>
      </c>
      <c r="AD718" s="16" t="str">
        <f t="shared" si="5"/>
        <v>Valid</v>
      </c>
      <c r="AE718" s="16" t="str">
        <f t="shared" si="6"/>
        <v>Valid</v>
      </c>
      <c r="AF718" s="16" t="str">
        <f t="shared" ref="AF718:AG718" si="1447">IF(ISNUMBER(B718),"Valid","Invalid")</f>
        <v>Valid</v>
      </c>
      <c r="AG718" s="16" t="str">
        <f t="shared" si="1447"/>
        <v>Valid</v>
      </c>
      <c r="AH718" s="16" t="str">
        <f t="shared" ref="AH718:AI718" si="1448">IF(OR(B718="",ISBLANK(B718)),"Missing","Valid")</f>
        <v>Valid</v>
      </c>
      <c r="AI718" s="16" t="str">
        <f t="shared" si="1448"/>
        <v>Valid</v>
      </c>
      <c r="AJ718" s="16" t="b">
        <v>0</v>
      </c>
      <c r="AK718" s="16" t="b">
        <v>0</v>
      </c>
      <c r="AL718" s="16" t="b">
        <v>0</v>
      </c>
      <c r="AM718" s="16" t="b">
        <v>0</v>
      </c>
      <c r="AN718" s="16" t="b">
        <v>0</v>
      </c>
      <c r="AO718" s="16" t="b">
        <v>0</v>
      </c>
      <c r="AP718" s="16" t="b">
        <v>0</v>
      </c>
      <c r="AQ718" s="17">
        <f t="shared" si="9"/>
        <v>0.15</v>
      </c>
      <c r="AR718" s="12">
        <f t="shared" si="10"/>
        <v>2879.817</v>
      </c>
      <c r="AS718" s="18">
        <f t="shared" si="11"/>
        <v>3.0000000001564331E-3</v>
      </c>
      <c r="AT718" s="12">
        <f t="shared" si="12"/>
        <v>1054.9369999999999</v>
      </c>
      <c r="AU718" s="18">
        <f t="shared" si="13"/>
        <v>3.0000000001564331E-3</v>
      </c>
      <c r="AV718" s="19">
        <f t="shared" si="14"/>
        <v>0.3663208460815392</v>
      </c>
      <c r="AW718" s="20" t="str">
        <f t="shared" si="15"/>
        <v>August</v>
      </c>
      <c r="AX718" s="21">
        <f t="shared" si="16"/>
        <v>2025</v>
      </c>
    </row>
    <row r="719" spans="1:50" ht="15.75" customHeight="1">
      <c r="A719" s="10" t="s">
        <v>2261</v>
      </c>
      <c r="B719" s="11">
        <v>45942</v>
      </c>
      <c r="C719" s="11">
        <v>45945</v>
      </c>
      <c r="D719" s="10" t="s">
        <v>2262</v>
      </c>
      <c r="E719" s="10" t="s">
        <v>294</v>
      </c>
      <c r="F719" s="10" t="s">
        <v>66</v>
      </c>
      <c r="G719" s="10" t="s">
        <v>54</v>
      </c>
      <c r="H719" s="10" t="s">
        <v>266</v>
      </c>
      <c r="I719" s="10" t="s">
        <v>267</v>
      </c>
      <c r="J719" s="10" t="s">
        <v>103</v>
      </c>
      <c r="K719" s="10" t="s">
        <v>304</v>
      </c>
      <c r="L719" s="10" t="s">
        <v>2263</v>
      </c>
      <c r="M719" s="10" t="s">
        <v>88</v>
      </c>
      <c r="N719" s="12">
        <v>9</v>
      </c>
      <c r="O719" s="12">
        <v>2598.92</v>
      </c>
      <c r="P719" s="12">
        <v>0.2</v>
      </c>
      <c r="Q719" s="12">
        <v>18712.22</v>
      </c>
      <c r="R719" s="12">
        <v>11852.22</v>
      </c>
      <c r="S719" s="12">
        <v>6860</v>
      </c>
      <c r="T719" s="10" t="s">
        <v>140</v>
      </c>
      <c r="U719" s="13" t="s">
        <v>97</v>
      </c>
      <c r="V719" s="14" t="e">
        <f t="shared" ca="1" si="0"/>
        <v>#NAME?</v>
      </c>
      <c r="W719" s="10" t="str">
        <f ca="1">IFERROR(__xludf.DUMMYFUNCTION("IF(COUNTIF($A:$A,A713)=1,
""Unique"",
IF(COUNTUNIQUE(FILTER($V$2:$V$934,$A$2:$A$934=A713))&gt;1,
""Conflicting Duplicate"",
""Exact Duplicate""))"),"Unique")</f>
        <v>Unique</v>
      </c>
      <c r="X719" s="10" t="b">
        <f t="shared" ca="1" si="1"/>
        <v>1</v>
      </c>
      <c r="Y719" s="10" t="str">
        <f t="shared" si="2"/>
        <v>Unique</v>
      </c>
      <c r="Z719" s="10"/>
      <c r="AA719" s="10" t="str">
        <f t="shared" si="3"/>
        <v>Clean</v>
      </c>
      <c r="AB719" s="15" t="str">
        <f t="shared" si="4"/>
        <v>Valid</v>
      </c>
      <c r="AC719" s="15">
        <v>3</v>
      </c>
      <c r="AD719" s="16" t="str">
        <f t="shared" si="5"/>
        <v>Valid</v>
      </c>
      <c r="AE719" s="16" t="str">
        <f t="shared" si="6"/>
        <v>Valid</v>
      </c>
      <c r="AF719" s="16" t="str">
        <f t="shared" ref="AF719:AG719" si="1449">IF(ISNUMBER(B719),"Valid","Invalid")</f>
        <v>Valid</v>
      </c>
      <c r="AG719" s="16" t="str">
        <f t="shared" si="1449"/>
        <v>Valid</v>
      </c>
      <c r="AH719" s="16" t="str">
        <f t="shared" ref="AH719:AI719" si="1450">IF(OR(B719="",ISBLANK(B719)),"Missing","Valid")</f>
        <v>Valid</v>
      </c>
      <c r="AI719" s="16" t="str">
        <f t="shared" si="1450"/>
        <v>Valid</v>
      </c>
      <c r="AJ719" s="16" t="b">
        <v>0</v>
      </c>
      <c r="AK719" s="16" t="b">
        <v>0</v>
      </c>
      <c r="AL719" s="16" t="b">
        <v>0</v>
      </c>
      <c r="AM719" s="16" t="b">
        <v>0</v>
      </c>
      <c r="AN719" s="16" t="b">
        <v>0</v>
      </c>
      <c r="AO719" s="16" t="b">
        <v>0</v>
      </c>
      <c r="AP719" s="16" t="b">
        <v>0</v>
      </c>
      <c r="AQ719" s="17">
        <f t="shared" si="9"/>
        <v>0.2</v>
      </c>
      <c r="AR719" s="12">
        <f t="shared" si="10"/>
        <v>18712.223999999998</v>
      </c>
      <c r="AS719" s="18">
        <f t="shared" si="11"/>
        <v>-3.9999999971769284E-3</v>
      </c>
      <c r="AT719" s="12">
        <f t="shared" si="12"/>
        <v>6860.003999999999</v>
      </c>
      <c r="AU719" s="18">
        <f t="shared" si="13"/>
        <v>-3.9999999989959178E-3</v>
      </c>
      <c r="AV719" s="19">
        <f t="shared" si="14"/>
        <v>0.3666054874075898</v>
      </c>
      <c r="AW719" s="20" t="str">
        <f t="shared" si="15"/>
        <v>October</v>
      </c>
      <c r="AX719" s="21">
        <f t="shared" si="16"/>
        <v>2025</v>
      </c>
    </row>
    <row r="720" spans="1:50" ht="15.75" customHeight="1">
      <c r="A720" s="10" t="s">
        <v>2264</v>
      </c>
      <c r="B720" s="11">
        <v>45541</v>
      </c>
      <c r="C720" s="11">
        <v>45544</v>
      </c>
      <c r="D720" s="10" t="s">
        <v>2265</v>
      </c>
      <c r="E720" s="10" t="s">
        <v>65</v>
      </c>
      <c r="F720" s="10" t="s">
        <v>53</v>
      </c>
      <c r="G720" s="10" t="s">
        <v>92</v>
      </c>
      <c r="H720" s="10" t="s">
        <v>93</v>
      </c>
      <c r="I720" s="10" t="s">
        <v>94</v>
      </c>
      <c r="J720" s="10" t="s">
        <v>57</v>
      </c>
      <c r="K720" s="10" t="s">
        <v>77</v>
      </c>
      <c r="L720" s="10" t="s">
        <v>2266</v>
      </c>
      <c r="M720" s="10" t="s">
        <v>73</v>
      </c>
      <c r="N720" s="12">
        <v>3</v>
      </c>
      <c r="O720" s="12">
        <v>1972.27</v>
      </c>
      <c r="P720" s="12">
        <v>0.2</v>
      </c>
      <c r="Q720" s="12">
        <v>4733.45</v>
      </c>
      <c r="R720" s="12">
        <v>3672.32</v>
      </c>
      <c r="S720" s="12">
        <v>1061.1300000000001</v>
      </c>
      <c r="T720" s="10" t="s">
        <v>61</v>
      </c>
      <c r="U720" s="13" t="s">
        <v>62</v>
      </c>
      <c r="V720" s="14" t="e">
        <f t="shared" ca="1" si="0"/>
        <v>#NAME?</v>
      </c>
      <c r="W720" s="10" t="str">
        <f ca="1">IFERROR(__xludf.DUMMYFUNCTION("IF(COUNTIF($A:$A,A714)=1,
""Unique"",
IF(COUNTUNIQUE(FILTER($V$2:$V$934,$A$2:$A$934=A714))&gt;1,
""Conflicting Duplicate"",
""Exact Duplicate""))"),"Exact Duplicate")</f>
        <v>Exact Duplicate</v>
      </c>
      <c r="X720" s="10" t="b">
        <f t="shared" ca="1" si="1"/>
        <v>1</v>
      </c>
      <c r="Y720" s="10" t="str">
        <f t="shared" si="2"/>
        <v>Unique</v>
      </c>
      <c r="Z720" s="10"/>
      <c r="AA720" s="10" t="str">
        <f t="shared" si="3"/>
        <v>Clean</v>
      </c>
      <c r="AB720" s="15" t="str">
        <f t="shared" si="4"/>
        <v>Valid</v>
      </c>
      <c r="AC720" s="15">
        <v>3</v>
      </c>
      <c r="AD720" s="16" t="str">
        <f t="shared" si="5"/>
        <v>Valid</v>
      </c>
      <c r="AE720" s="16" t="str">
        <f t="shared" si="6"/>
        <v>Valid</v>
      </c>
      <c r="AF720" s="16" t="str">
        <f t="shared" ref="AF720:AG720" si="1451">IF(ISNUMBER(B720),"Valid","Invalid")</f>
        <v>Valid</v>
      </c>
      <c r="AG720" s="16" t="str">
        <f t="shared" si="1451"/>
        <v>Valid</v>
      </c>
      <c r="AH720" s="16" t="str">
        <f t="shared" ref="AH720:AI720" si="1452">IF(OR(B720="",ISBLANK(B720)),"Missing","Valid")</f>
        <v>Valid</v>
      </c>
      <c r="AI720" s="16" t="str">
        <f t="shared" si="1452"/>
        <v>Valid</v>
      </c>
      <c r="AJ720" s="16" t="b">
        <v>0</v>
      </c>
      <c r="AK720" s="16" t="b">
        <v>0</v>
      </c>
      <c r="AL720" s="16" t="b">
        <v>0</v>
      </c>
      <c r="AM720" s="16" t="b">
        <v>0</v>
      </c>
      <c r="AN720" s="16" t="b">
        <v>0</v>
      </c>
      <c r="AO720" s="16" t="b">
        <v>0</v>
      </c>
      <c r="AP720" s="16" t="b">
        <v>0</v>
      </c>
      <c r="AQ720" s="17">
        <f t="shared" si="9"/>
        <v>0.2</v>
      </c>
      <c r="AR720" s="12">
        <f t="shared" si="10"/>
        <v>4733.4479999999994</v>
      </c>
      <c r="AS720" s="18">
        <f t="shared" si="11"/>
        <v>2.0000000004074536E-3</v>
      </c>
      <c r="AT720" s="12">
        <f t="shared" si="12"/>
        <v>1061.1279999999992</v>
      </c>
      <c r="AU720" s="18">
        <f t="shared" si="13"/>
        <v>2.000000000862201E-3</v>
      </c>
      <c r="AV720" s="19">
        <f t="shared" si="14"/>
        <v>0.22417654107534282</v>
      </c>
      <c r="AW720" s="20" t="str">
        <f t="shared" si="15"/>
        <v>September</v>
      </c>
      <c r="AX720" s="21">
        <f t="shared" si="16"/>
        <v>2024</v>
      </c>
    </row>
    <row r="721" spans="1:50" ht="15.75" customHeight="1">
      <c r="A721" s="10" t="s">
        <v>2267</v>
      </c>
      <c r="B721" s="11">
        <v>45908</v>
      </c>
      <c r="C721" s="11">
        <v>45909</v>
      </c>
      <c r="D721" s="10" t="s">
        <v>173</v>
      </c>
      <c r="E721" s="10" t="s">
        <v>294</v>
      </c>
      <c r="F721" s="10" t="s">
        <v>119</v>
      </c>
      <c r="G721" s="10" t="s">
        <v>92</v>
      </c>
      <c r="H721" s="10" t="s">
        <v>209</v>
      </c>
      <c r="I721" s="10" t="s">
        <v>210</v>
      </c>
      <c r="J721" s="10" t="s">
        <v>57</v>
      </c>
      <c r="K721" s="10" t="s">
        <v>77</v>
      </c>
      <c r="L721" s="10" t="s">
        <v>2268</v>
      </c>
      <c r="M721" s="10" t="s">
        <v>73</v>
      </c>
      <c r="N721" s="12">
        <v>2</v>
      </c>
      <c r="O721" s="12">
        <v>2372.41</v>
      </c>
      <c r="P721" s="12">
        <v>0.2</v>
      </c>
      <c r="Q721" s="12">
        <v>3795.86</v>
      </c>
      <c r="R721" s="12">
        <v>2264.92</v>
      </c>
      <c r="S721" s="12">
        <v>1530.94</v>
      </c>
      <c r="T721" s="10" t="s">
        <v>61</v>
      </c>
      <c r="U721" s="13" t="s">
        <v>62</v>
      </c>
      <c r="V721" s="14" t="e">
        <f t="shared" ca="1" si="0"/>
        <v>#NAME?</v>
      </c>
      <c r="W721" s="10" t="str">
        <f ca="1">IFERROR(__xludf.DUMMYFUNCTION("IF(COUNTIF($A:$A,A715)=1,
""Unique"",
IF(COUNTUNIQUE(FILTER($V$2:$V$934,$A$2:$A$934=A715))&gt;1,
""Conflicting Duplicate"",
""Exact Duplicate""))"),"Unique")</f>
        <v>Unique</v>
      </c>
      <c r="X721" s="10" t="b">
        <f t="shared" ca="1" si="1"/>
        <v>1</v>
      </c>
      <c r="Y721" s="10" t="str">
        <f t="shared" si="2"/>
        <v>Duplicate Order ID</v>
      </c>
      <c r="Z721" s="10"/>
      <c r="AA721" s="10" t="str">
        <f t="shared" si="3"/>
        <v>Clean</v>
      </c>
      <c r="AB721" s="15" t="str">
        <f t="shared" si="4"/>
        <v>Valid</v>
      </c>
      <c r="AC721" s="15">
        <v>1</v>
      </c>
      <c r="AD721" s="16" t="str">
        <f t="shared" si="5"/>
        <v>Valid</v>
      </c>
      <c r="AE721" s="16" t="str">
        <f t="shared" si="6"/>
        <v>Valid</v>
      </c>
      <c r="AF721" s="16" t="str">
        <f t="shared" ref="AF721:AG721" si="1453">IF(ISNUMBER(B721),"Valid","Invalid")</f>
        <v>Valid</v>
      </c>
      <c r="AG721" s="16" t="str">
        <f t="shared" si="1453"/>
        <v>Valid</v>
      </c>
      <c r="AH721" s="16" t="str">
        <f t="shared" ref="AH721:AI721" si="1454">IF(OR(B721="",ISBLANK(B721)),"Missing","Valid")</f>
        <v>Valid</v>
      </c>
      <c r="AI721" s="16" t="str">
        <f t="shared" si="1454"/>
        <v>Valid</v>
      </c>
      <c r="AJ721" s="16" t="b">
        <v>0</v>
      </c>
      <c r="AK721" s="16" t="b">
        <v>0</v>
      </c>
      <c r="AL721" s="16" t="b">
        <v>0</v>
      </c>
      <c r="AM721" s="16" t="b">
        <v>0</v>
      </c>
      <c r="AN721" s="16" t="b">
        <v>0</v>
      </c>
      <c r="AO721" s="16" t="b">
        <v>0</v>
      </c>
      <c r="AP721" s="16" t="b">
        <v>0</v>
      </c>
      <c r="AQ721" s="17">
        <f t="shared" si="9"/>
        <v>0.2</v>
      </c>
      <c r="AR721" s="12">
        <f t="shared" si="10"/>
        <v>3795.8559999999998</v>
      </c>
      <c r="AS721" s="18">
        <f t="shared" si="11"/>
        <v>4.0000000003601599E-3</v>
      </c>
      <c r="AT721" s="12">
        <f t="shared" si="12"/>
        <v>1530.9359999999997</v>
      </c>
      <c r="AU721" s="18">
        <f t="shared" si="13"/>
        <v>4.0000000003601599E-3</v>
      </c>
      <c r="AV721" s="19">
        <f t="shared" si="14"/>
        <v>0.40331772332775528</v>
      </c>
      <c r="AW721" s="20" t="str">
        <f t="shared" si="15"/>
        <v>September</v>
      </c>
      <c r="AX721" s="21">
        <f t="shared" si="16"/>
        <v>2025</v>
      </c>
    </row>
    <row r="722" spans="1:50" ht="15.75" customHeight="1">
      <c r="A722" s="10" t="s">
        <v>2269</v>
      </c>
      <c r="B722" s="11">
        <v>45489</v>
      </c>
      <c r="C722" s="11">
        <v>45489</v>
      </c>
      <c r="D722" s="10" t="s">
        <v>2270</v>
      </c>
      <c r="E722" s="10" t="s">
        <v>118</v>
      </c>
      <c r="F722" s="10" t="s">
        <v>124</v>
      </c>
      <c r="G722" s="10" t="s">
        <v>92</v>
      </c>
      <c r="H722" s="10" t="s">
        <v>101</v>
      </c>
      <c r="I722" s="10" t="s">
        <v>102</v>
      </c>
      <c r="J722" s="10" t="s">
        <v>103</v>
      </c>
      <c r="K722" s="10" t="s">
        <v>109</v>
      </c>
      <c r="L722" s="10" t="s">
        <v>2271</v>
      </c>
      <c r="M722" s="10" t="s">
        <v>73</v>
      </c>
      <c r="N722" s="12">
        <v>4</v>
      </c>
      <c r="O722" s="12">
        <v>4479.92</v>
      </c>
      <c r="P722" s="12">
        <v>0.15</v>
      </c>
      <c r="Q722" s="12">
        <v>15231.73</v>
      </c>
      <c r="R722" s="12">
        <v>12451.46</v>
      </c>
      <c r="S722" s="12">
        <v>2780.27</v>
      </c>
      <c r="T722" s="10" t="s">
        <v>61</v>
      </c>
      <c r="U722" s="13" t="s">
        <v>62</v>
      </c>
      <c r="V722" s="14" t="e">
        <f t="shared" ca="1" si="0"/>
        <v>#NAME?</v>
      </c>
      <c r="W722" s="10" t="str">
        <f ca="1">IFERROR(__xludf.DUMMYFUNCTION("IF(COUNTIF($A:$A,A716)=1,
""Unique"",
IF(COUNTUNIQUE(FILTER($V$2:$V$934,$A$2:$A$934=A716))&gt;1,
""Conflicting Duplicate"",
""Exact Duplicate""))"),"Unique")</f>
        <v>Unique</v>
      </c>
      <c r="X722" s="10" t="b">
        <f t="shared" ca="1" si="1"/>
        <v>1</v>
      </c>
      <c r="Y722" s="10" t="str">
        <f t="shared" si="2"/>
        <v>Unique</v>
      </c>
      <c r="Z722" s="10"/>
      <c r="AA722" s="10" t="str">
        <f t="shared" si="3"/>
        <v>Clean</v>
      </c>
      <c r="AB722" s="15" t="str">
        <f t="shared" si="4"/>
        <v>Valid</v>
      </c>
      <c r="AC722" s="15">
        <v>0</v>
      </c>
      <c r="AD722" s="16" t="str">
        <f t="shared" si="5"/>
        <v>Valid</v>
      </c>
      <c r="AE722" s="16" t="str">
        <f t="shared" si="6"/>
        <v>Valid</v>
      </c>
      <c r="AF722" s="16" t="str">
        <f t="shared" ref="AF722:AG722" si="1455">IF(ISNUMBER(B722),"Valid","Invalid")</f>
        <v>Valid</v>
      </c>
      <c r="AG722" s="16" t="str">
        <f t="shared" si="1455"/>
        <v>Valid</v>
      </c>
      <c r="AH722" s="16" t="str">
        <f t="shared" ref="AH722:AI722" si="1456">IF(OR(B722="",ISBLANK(B722)),"Missing","Valid")</f>
        <v>Valid</v>
      </c>
      <c r="AI722" s="16" t="str">
        <f t="shared" si="1456"/>
        <v>Valid</v>
      </c>
      <c r="AJ722" s="16" t="b">
        <v>0</v>
      </c>
      <c r="AK722" s="16" t="b">
        <v>0</v>
      </c>
      <c r="AL722" s="16" t="b">
        <v>0</v>
      </c>
      <c r="AM722" s="16" t="b">
        <v>0</v>
      </c>
      <c r="AN722" s="16" t="b">
        <v>0</v>
      </c>
      <c r="AO722" s="16" t="b">
        <v>0</v>
      </c>
      <c r="AP722" s="16" t="b">
        <v>0</v>
      </c>
      <c r="AQ722" s="17">
        <f t="shared" si="9"/>
        <v>0.15</v>
      </c>
      <c r="AR722" s="12">
        <f t="shared" si="10"/>
        <v>15231.727999999999</v>
      </c>
      <c r="AS722" s="18">
        <f t="shared" si="11"/>
        <v>2.0000000004074536E-3</v>
      </c>
      <c r="AT722" s="12">
        <f t="shared" si="12"/>
        <v>2780.268</v>
      </c>
      <c r="AU722" s="18">
        <f t="shared" si="13"/>
        <v>1.9999999999527063E-3</v>
      </c>
      <c r="AV722" s="19">
        <f t="shared" si="14"/>
        <v>0.1825313582280356</v>
      </c>
      <c r="AW722" s="20" t="str">
        <f t="shared" si="15"/>
        <v>July</v>
      </c>
      <c r="AX722" s="21">
        <f t="shared" si="16"/>
        <v>2024</v>
      </c>
    </row>
    <row r="723" spans="1:50" ht="15.75" customHeight="1">
      <c r="A723" s="10" t="s">
        <v>2272</v>
      </c>
      <c r="B723" s="11">
        <v>45827</v>
      </c>
      <c r="C723" s="11">
        <v>45831</v>
      </c>
      <c r="D723" s="10" t="s">
        <v>2273</v>
      </c>
      <c r="E723" s="10" t="s">
        <v>161</v>
      </c>
      <c r="F723" s="10" t="s">
        <v>53</v>
      </c>
      <c r="G723" s="10" t="s">
        <v>83</v>
      </c>
      <c r="H723" s="10" t="s">
        <v>204</v>
      </c>
      <c r="I723" s="10" t="s">
        <v>205</v>
      </c>
      <c r="J723" s="10" t="s">
        <v>103</v>
      </c>
      <c r="K723" s="10" t="s">
        <v>109</v>
      </c>
      <c r="L723" s="10" t="s">
        <v>2274</v>
      </c>
      <c r="M723" s="10" t="s">
        <v>79</v>
      </c>
      <c r="N723" s="12">
        <v>5</v>
      </c>
      <c r="O723" s="12">
        <v>2729.95</v>
      </c>
      <c r="P723" s="12">
        <v>0</v>
      </c>
      <c r="Q723" s="12">
        <v>13649.75</v>
      </c>
      <c r="R723" s="12">
        <v>10288.030000000001</v>
      </c>
      <c r="S723" s="12">
        <v>3361.72</v>
      </c>
      <c r="T723" s="10" t="s">
        <v>61</v>
      </c>
      <c r="U723" s="13" t="s">
        <v>62</v>
      </c>
      <c r="V723" s="14" t="e">
        <f t="shared" ca="1" si="0"/>
        <v>#NAME?</v>
      </c>
      <c r="W723" s="10" t="str">
        <f ca="1">IFERROR(__xludf.DUMMYFUNCTION("IF(COUNTIF($A:$A,A717)=1,
""Unique"",
IF(COUNTUNIQUE(FILTER($V$2:$V$934,$A$2:$A$934=A717))&gt;1,
""Conflicting Duplicate"",
""Exact Duplicate""))"),"Unique")</f>
        <v>Unique</v>
      </c>
      <c r="X723" s="10" t="b">
        <f t="shared" ca="1" si="1"/>
        <v>1</v>
      </c>
      <c r="Y723" s="10" t="str">
        <f t="shared" si="2"/>
        <v>Unique</v>
      </c>
      <c r="Z723" s="10"/>
      <c r="AA723" s="10" t="str">
        <f t="shared" si="3"/>
        <v>Clean</v>
      </c>
      <c r="AB723" s="15" t="str">
        <f t="shared" si="4"/>
        <v>Valid</v>
      </c>
      <c r="AC723" s="15">
        <v>4</v>
      </c>
      <c r="AD723" s="16" t="str">
        <f t="shared" si="5"/>
        <v>Valid</v>
      </c>
      <c r="AE723" s="16" t="str">
        <f t="shared" si="6"/>
        <v>Valid</v>
      </c>
      <c r="AF723" s="16" t="str">
        <f t="shared" ref="AF723:AG723" si="1457">IF(ISNUMBER(B723),"Valid","Invalid")</f>
        <v>Valid</v>
      </c>
      <c r="AG723" s="16" t="str">
        <f t="shared" si="1457"/>
        <v>Valid</v>
      </c>
      <c r="AH723" s="16" t="str">
        <f t="shared" ref="AH723:AI723" si="1458">IF(OR(B723="",ISBLANK(B723)),"Missing","Valid")</f>
        <v>Valid</v>
      </c>
      <c r="AI723" s="16" t="str">
        <f t="shared" si="1458"/>
        <v>Valid</v>
      </c>
      <c r="AJ723" s="16" t="b">
        <v>0</v>
      </c>
      <c r="AK723" s="16" t="b">
        <v>0</v>
      </c>
      <c r="AL723" s="16" t="b">
        <v>0</v>
      </c>
      <c r="AM723" s="16" t="b">
        <v>0</v>
      </c>
      <c r="AN723" s="16" t="b">
        <v>0</v>
      </c>
      <c r="AO723" s="16" t="b">
        <v>0</v>
      </c>
      <c r="AP723" s="16" t="b">
        <v>0</v>
      </c>
      <c r="AQ723" s="17">
        <f t="shared" si="9"/>
        <v>0</v>
      </c>
      <c r="AR723" s="12">
        <f t="shared" si="10"/>
        <v>13649.75</v>
      </c>
      <c r="AS723" s="18">
        <f t="shared" si="11"/>
        <v>0</v>
      </c>
      <c r="AT723" s="12">
        <f t="shared" si="12"/>
        <v>3361.7199999999993</v>
      </c>
      <c r="AU723" s="18">
        <f t="shared" si="13"/>
        <v>0</v>
      </c>
      <c r="AV723" s="19">
        <f t="shared" si="14"/>
        <v>0.24628436418249414</v>
      </c>
      <c r="AW723" s="20" t="str">
        <f t="shared" si="15"/>
        <v>June</v>
      </c>
      <c r="AX723" s="21">
        <f t="shared" si="16"/>
        <v>2025</v>
      </c>
    </row>
    <row r="724" spans="1:50" ht="15.75" customHeight="1">
      <c r="A724" s="10" t="s">
        <v>2275</v>
      </c>
      <c r="B724" s="11">
        <v>45572</v>
      </c>
      <c r="C724" s="11">
        <v>45575</v>
      </c>
      <c r="D724" s="10" t="s">
        <v>2276</v>
      </c>
      <c r="E724" s="10" t="s">
        <v>100</v>
      </c>
      <c r="F724" s="10" t="s">
        <v>53</v>
      </c>
      <c r="G724" s="10" t="s">
        <v>67</v>
      </c>
      <c r="H724" s="10" t="s">
        <v>128</v>
      </c>
      <c r="I724" s="10" t="s">
        <v>129</v>
      </c>
      <c r="J724" s="10" t="s">
        <v>70</v>
      </c>
      <c r="K724" s="10" t="s">
        <v>95</v>
      </c>
      <c r="L724" s="10" t="s">
        <v>2277</v>
      </c>
      <c r="M724" s="10" t="s">
        <v>60</v>
      </c>
      <c r="N724" s="12">
        <v>9</v>
      </c>
      <c r="O724" s="12">
        <v>481.51</v>
      </c>
      <c r="P724" s="12">
        <v>0</v>
      </c>
      <c r="Q724" s="12">
        <v>4333.59</v>
      </c>
      <c r="R724" s="12">
        <v>2533.59</v>
      </c>
      <c r="S724" s="12">
        <v>1800</v>
      </c>
      <c r="T724" s="10" t="s">
        <v>131</v>
      </c>
      <c r="U724" s="13" t="s">
        <v>97</v>
      </c>
      <c r="V724" s="14" t="e">
        <f t="shared" ca="1" si="0"/>
        <v>#NAME?</v>
      </c>
      <c r="W724" s="10" t="str">
        <f ca="1">IFERROR(__xludf.DUMMYFUNCTION("IF(COUNTIF($A:$A,A718)=1,
""Unique"",
IF(COUNTUNIQUE(FILTER($V$2:$V$934,$A$2:$A$934=A718))&gt;1,
""Conflicting Duplicate"",
""Exact Duplicate""))"),"Unique")</f>
        <v>Unique</v>
      </c>
      <c r="X724" s="10" t="b">
        <f t="shared" ca="1" si="1"/>
        <v>1</v>
      </c>
      <c r="Y724" s="10" t="str">
        <f t="shared" si="2"/>
        <v>Unique</v>
      </c>
      <c r="Z724" s="10"/>
      <c r="AA724" s="10" t="str">
        <f t="shared" si="3"/>
        <v>Clean</v>
      </c>
      <c r="AB724" s="15" t="str">
        <f t="shared" si="4"/>
        <v>Valid</v>
      </c>
      <c r="AC724" s="15">
        <v>3</v>
      </c>
      <c r="AD724" s="16" t="str">
        <f t="shared" si="5"/>
        <v>Valid</v>
      </c>
      <c r="AE724" s="16" t="str">
        <f t="shared" si="6"/>
        <v>Valid</v>
      </c>
      <c r="AF724" s="16" t="str">
        <f t="shared" ref="AF724:AG724" si="1459">IF(ISNUMBER(B724),"Valid","Invalid")</f>
        <v>Valid</v>
      </c>
      <c r="AG724" s="16" t="str">
        <f t="shared" si="1459"/>
        <v>Valid</v>
      </c>
      <c r="AH724" s="16" t="str">
        <f t="shared" ref="AH724:AI724" si="1460">IF(OR(B724="",ISBLANK(B724)),"Missing","Valid")</f>
        <v>Valid</v>
      </c>
      <c r="AI724" s="16" t="str">
        <f t="shared" si="1460"/>
        <v>Valid</v>
      </c>
      <c r="AJ724" s="16" t="b">
        <v>0</v>
      </c>
      <c r="AK724" s="16" t="b">
        <v>0</v>
      </c>
      <c r="AL724" s="16" t="b">
        <v>1</v>
      </c>
      <c r="AM724" s="16" t="b">
        <v>0</v>
      </c>
      <c r="AN724" s="16" t="b">
        <v>0</v>
      </c>
      <c r="AO724" s="16" t="b">
        <v>0</v>
      </c>
      <c r="AP724" s="16" t="b">
        <v>1</v>
      </c>
      <c r="AQ724" s="17">
        <f t="shared" si="9"/>
        <v>0</v>
      </c>
      <c r="AR724" s="12">
        <f t="shared" si="10"/>
        <v>4333.59</v>
      </c>
      <c r="AS724" s="18">
        <f t="shared" si="11"/>
        <v>0</v>
      </c>
      <c r="AT724" s="12">
        <f t="shared" si="12"/>
        <v>1800</v>
      </c>
      <c r="AU724" s="18">
        <f t="shared" si="13"/>
        <v>0</v>
      </c>
      <c r="AV724" s="19">
        <f t="shared" si="14"/>
        <v>0.41536001329152039</v>
      </c>
      <c r="AW724" s="20" t="str">
        <f t="shared" si="15"/>
        <v>October</v>
      </c>
      <c r="AX724" s="21">
        <f t="shared" si="16"/>
        <v>2024</v>
      </c>
    </row>
    <row r="725" spans="1:50" ht="15.75" customHeight="1">
      <c r="A725" s="10" t="s">
        <v>2278</v>
      </c>
      <c r="B725" s="11">
        <v>45936</v>
      </c>
      <c r="C725" s="11">
        <v>45943</v>
      </c>
      <c r="D725" s="10" t="s">
        <v>2279</v>
      </c>
      <c r="E725" s="10" t="s">
        <v>294</v>
      </c>
      <c r="F725" s="10" t="s">
        <v>124</v>
      </c>
      <c r="G725" s="10" t="s">
        <v>67</v>
      </c>
      <c r="H725" s="10" t="s">
        <v>258</v>
      </c>
      <c r="I725" s="10" t="s">
        <v>259</v>
      </c>
      <c r="J725" s="10" t="s">
        <v>103</v>
      </c>
      <c r="K725" s="10" t="s">
        <v>104</v>
      </c>
      <c r="L725" s="10" t="s">
        <v>2280</v>
      </c>
      <c r="M725" s="10" t="s">
        <v>88</v>
      </c>
      <c r="N725" s="12">
        <v>6</v>
      </c>
      <c r="O725" s="12">
        <v>2391.9299999999998</v>
      </c>
      <c r="P725" s="12">
        <v>0.05</v>
      </c>
      <c r="Q725" s="12">
        <v>13634</v>
      </c>
      <c r="R725" s="12">
        <v>9589.81</v>
      </c>
      <c r="S725" s="12">
        <v>4044.19</v>
      </c>
      <c r="T725" s="10" t="s">
        <v>184</v>
      </c>
      <c r="U725" s="13" t="s">
        <v>132</v>
      </c>
      <c r="V725" s="14" t="e">
        <f t="shared" ca="1" si="0"/>
        <v>#NAME?</v>
      </c>
      <c r="W725" s="10" t="str">
        <f ca="1">IFERROR(__xludf.DUMMYFUNCTION("IF(COUNTIF($A:$A,A719)=1,
""Unique"",
IF(COUNTUNIQUE(FILTER($V$2:$V$934,$A$2:$A$934=A719))&gt;1,
""Conflicting Duplicate"",
""Exact Duplicate""))"),"Unique")</f>
        <v>Unique</v>
      </c>
      <c r="X725" s="10" t="b">
        <f t="shared" ca="1" si="1"/>
        <v>1</v>
      </c>
      <c r="Y725" s="10" t="str">
        <f t="shared" si="2"/>
        <v>Unique</v>
      </c>
      <c r="Z725" s="10"/>
      <c r="AA725" s="10" t="str">
        <f t="shared" si="3"/>
        <v>Clean</v>
      </c>
      <c r="AB725" s="15" t="str">
        <f t="shared" si="4"/>
        <v>Valid</v>
      </c>
      <c r="AC725" s="15">
        <v>7</v>
      </c>
      <c r="AD725" s="16" t="str">
        <f t="shared" si="5"/>
        <v>Valid</v>
      </c>
      <c r="AE725" s="16" t="str">
        <f t="shared" si="6"/>
        <v>Valid</v>
      </c>
      <c r="AF725" s="16" t="str">
        <f t="shared" ref="AF725:AG725" si="1461">IF(ISNUMBER(B725),"Valid","Invalid")</f>
        <v>Valid</v>
      </c>
      <c r="AG725" s="16" t="str">
        <f t="shared" si="1461"/>
        <v>Valid</v>
      </c>
      <c r="AH725" s="16" t="str">
        <f t="shared" ref="AH725:AI725" si="1462">IF(OR(B725="",ISBLANK(B725)),"Missing","Valid")</f>
        <v>Valid</v>
      </c>
      <c r="AI725" s="16" t="str">
        <f t="shared" si="1462"/>
        <v>Valid</v>
      </c>
      <c r="AJ725" s="16" t="b">
        <v>0</v>
      </c>
      <c r="AK725" s="16" t="b">
        <v>0</v>
      </c>
      <c r="AL725" s="16" t="b">
        <v>0</v>
      </c>
      <c r="AM725" s="16" t="b">
        <v>0</v>
      </c>
      <c r="AN725" s="16" t="b">
        <v>0</v>
      </c>
      <c r="AO725" s="16" t="b">
        <v>0</v>
      </c>
      <c r="AP725" s="16" t="b">
        <v>0</v>
      </c>
      <c r="AQ725" s="17">
        <f t="shared" si="9"/>
        <v>0.05</v>
      </c>
      <c r="AR725" s="12">
        <f t="shared" si="10"/>
        <v>13634.000999999998</v>
      </c>
      <c r="AS725" s="18">
        <f t="shared" si="11"/>
        <v>-9.9999999838473741E-4</v>
      </c>
      <c r="AT725" s="12">
        <f t="shared" si="12"/>
        <v>4044.1909999999989</v>
      </c>
      <c r="AU725" s="18">
        <f t="shared" si="13"/>
        <v>-9.9999999883948476E-4</v>
      </c>
      <c r="AV725" s="19">
        <f t="shared" si="14"/>
        <v>0.29662539998346776</v>
      </c>
      <c r="AW725" s="20" t="str">
        <f t="shared" si="15"/>
        <v>October</v>
      </c>
      <c r="AX725" s="21">
        <f t="shared" si="16"/>
        <v>2025</v>
      </c>
    </row>
    <row r="726" spans="1:50" ht="15.75" customHeight="1">
      <c r="A726" s="10" t="s">
        <v>2281</v>
      </c>
      <c r="B726" s="11">
        <v>45332</v>
      </c>
      <c r="C726" s="11">
        <v>45338</v>
      </c>
      <c r="D726" s="10" t="s">
        <v>2282</v>
      </c>
      <c r="E726" s="10" t="s">
        <v>52</v>
      </c>
      <c r="F726" s="10" t="s">
        <v>53</v>
      </c>
      <c r="G726" s="10" t="s">
        <v>92</v>
      </c>
      <c r="H726" s="10" t="s">
        <v>219</v>
      </c>
      <c r="I726" s="10" t="s">
        <v>220</v>
      </c>
      <c r="J726" s="10" t="s">
        <v>70</v>
      </c>
      <c r="K726" s="10" t="s">
        <v>86</v>
      </c>
      <c r="L726" s="10" t="s">
        <v>2283</v>
      </c>
      <c r="M726" s="10" t="s">
        <v>60</v>
      </c>
      <c r="N726" s="12">
        <v>3</v>
      </c>
      <c r="O726" s="12">
        <v>253.43</v>
      </c>
      <c r="P726" s="12">
        <v>0</v>
      </c>
      <c r="Q726" s="12">
        <v>760.29</v>
      </c>
      <c r="R726" s="12">
        <v>497.77</v>
      </c>
      <c r="S726" s="12">
        <v>262.52</v>
      </c>
      <c r="T726" s="10" t="s">
        <v>61</v>
      </c>
      <c r="U726" s="13" t="s">
        <v>62</v>
      </c>
      <c r="V726" s="14" t="e">
        <f t="shared" ca="1" si="0"/>
        <v>#NAME?</v>
      </c>
      <c r="W726" s="10" t="str">
        <f ca="1">IFERROR(__xludf.DUMMYFUNCTION("IF(COUNTIF($A:$A,A720)=1,
""Unique"",
IF(COUNTUNIQUE(FILTER($V$2:$V$934,$A$2:$A$934=A720))&gt;1,
""Conflicting Duplicate"",
""Exact Duplicate""))"),"Unique")</f>
        <v>Unique</v>
      </c>
      <c r="X726" s="10" t="b">
        <f t="shared" ca="1" si="1"/>
        <v>1</v>
      </c>
      <c r="Y726" s="10" t="str">
        <f t="shared" si="2"/>
        <v>Unique</v>
      </c>
      <c r="Z726" s="10"/>
      <c r="AA726" s="10" t="str">
        <f t="shared" si="3"/>
        <v>Clean</v>
      </c>
      <c r="AB726" s="15" t="str">
        <f t="shared" si="4"/>
        <v>Valid</v>
      </c>
      <c r="AC726" s="15">
        <v>6</v>
      </c>
      <c r="AD726" s="16" t="str">
        <f t="shared" si="5"/>
        <v>Valid</v>
      </c>
      <c r="AE726" s="16" t="str">
        <f t="shared" si="6"/>
        <v>Valid</v>
      </c>
      <c r="AF726" s="16" t="str">
        <f t="shared" ref="AF726:AG726" si="1463">IF(ISNUMBER(B726),"Valid","Invalid")</f>
        <v>Valid</v>
      </c>
      <c r="AG726" s="16" t="str">
        <f t="shared" si="1463"/>
        <v>Valid</v>
      </c>
      <c r="AH726" s="16" t="str">
        <f t="shared" ref="AH726:AI726" si="1464">IF(OR(B726="",ISBLANK(B726)),"Missing","Valid")</f>
        <v>Valid</v>
      </c>
      <c r="AI726" s="16" t="str">
        <f t="shared" si="1464"/>
        <v>Valid</v>
      </c>
      <c r="AJ726" s="16" t="b">
        <v>0</v>
      </c>
      <c r="AK726" s="16" t="b">
        <v>0</v>
      </c>
      <c r="AL726" s="16" t="b">
        <v>0</v>
      </c>
      <c r="AM726" s="16" t="b">
        <v>0</v>
      </c>
      <c r="AN726" s="16" t="b">
        <v>0</v>
      </c>
      <c r="AO726" s="16" t="b">
        <v>0</v>
      </c>
      <c r="AP726" s="16" t="b">
        <v>0</v>
      </c>
      <c r="AQ726" s="17">
        <f t="shared" si="9"/>
        <v>0</v>
      </c>
      <c r="AR726" s="12">
        <f t="shared" si="10"/>
        <v>760.29</v>
      </c>
      <c r="AS726" s="18">
        <f t="shared" si="11"/>
        <v>0</v>
      </c>
      <c r="AT726" s="12">
        <f t="shared" si="12"/>
        <v>262.52</v>
      </c>
      <c r="AU726" s="18">
        <f t="shared" si="13"/>
        <v>0</v>
      </c>
      <c r="AV726" s="19">
        <f t="shared" si="14"/>
        <v>0.34528929750489945</v>
      </c>
      <c r="AW726" s="20" t="str">
        <f t="shared" si="15"/>
        <v>February</v>
      </c>
      <c r="AX726" s="21">
        <f t="shared" si="16"/>
        <v>2024</v>
      </c>
    </row>
    <row r="727" spans="1:50" ht="15.75" customHeight="1">
      <c r="A727" s="10" t="s">
        <v>2284</v>
      </c>
      <c r="B727" s="11">
        <v>45935</v>
      </c>
      <c r="C727" s="11">
        <v>45942</v>
      </c>
      <c r="D727" s="10" t="s">
        <v>2285</v>
      </c>
      <c r="E727" s="10" t="s">
        <v>143</v>
      </c>
      <c r="F727" s="10" t="s">
        <v>119</v>
      </c>
      <c r="G727" s="10" t="s">
        <v>83</v>
      </c>
      <c r="H727" s="10" t="s">
        <v>204</v>
      </c>
      <c r="I727" s="10" t="s">
        <v>205</v>
      </c>
      <c r="J727" s="10" t="s">
        <v>70</v>
      </c>
      <c r="K727" s="10" t="s">
        <v>71</v>
      </c>
      <c r="L727" s="10" t="s">
        <v>2286</v>
      </c>
      <c r="M727" s="10" t="s">
        <v>60</v>
      </c>
      <c r="N727" s="12">
        <v>7</v>
      </c>
      <c r="O727" s="12">
        <v>2134.73</v>
      </c>
      <c r="P727" s="12">
        <v>0</v>
      </c>
      <c r="Q727" s="12">
        <v>14943.11</v>
      </c>
      <c r="R727" s="12">
        <v>8521.5</v>
      </c>
      <c r="S727" s="12">
        <v>6421.61</v>
      </c>
      <c r="T727" s="10" t="s">
        <v>61</v>
      </c>
      <c r="U727" s="13" t="s">
        <v>62</v>
      </c>
      <c r="V727" s="14" t="e">
        <f t="shared" ca="1" si="0"/>
        <v>#NAME?</v>
      </c>
      <c r="W727" s="10" t="str">
        <f ca="1">IFERROR(__xludf.DUMMYFUNCTION("IF(COUNTIF($A:$A,A721)=1,
""Unique"",
IF(COUNTUNIQUE(FILTER($V$2:$V$934,$A$2:$A$934=A721))&gt;1,
""Conflicting Duplicate"",
""Exact Duplicate""))"),"Exact Duplicate")</f>
        <v>Exact Duplicate</v>
      </c>
      <c r="X727" s="10" t="b">
        <f t="shared" ca="1" si="1"/>
        <v>1</v>
      </c>
      <c r="Y727" s="10" t="str">
        <f t="shared" si="2"/>
        <v>Unique</v>
      </c>
      <c r="Z727" s="10"/>
      <c r="AA727" s="10" t="str">
        <f t="shared" si="3"/>
        <v>Clean</v>
      </c>
      <c r="AB727" s="15" t="str">
        <f t="shared" si="4"/>
        <v>Valid</v>
      </c>
      <c r="AC727" s="15">
        <v>7</v>
      </c>
      <c r="AD727" s="16" t="str">
        <f t="shared" si="5"/>
        <v>Valid</v>
      </c>
      <c r="AE727" s="16" t="str">
        <f t="shared" si="6"/>
        <v>Valid</v>
      </c>
      <c r="AF727" s="16" t="str">
        <f t="shared" ref="AF727:AG727" si="1465">IF(ISNUMBER(B727),"Valid","Invalid")</f>
        <v>Valid</v>
      </c>
      <c r="AG727" s="16" t="str">
        <f t="shared" si="1465"/>
        <v>Valid</v>
      </c>
      <c r="AH727" s="16" t="str">
        <f t="shared" ref="AH727:AI727" si="1466">IF(OR(B727="",ISBLANK(B727)),"Missing","Valid")</f>
        <v>Valid</v>
      </c>
      <c r="AI727" s="16" t="str">
        <f t="shared" si="1466"/>
        <v>Valid</v>
      </c>
      <c r="AJ727" s="16" t="b">
        <v>0</v>
      </c>
      <c r="AK727" s="16" t="b">
        <v>0</v>
      </c>
      <c r="AL727" s="16" t="b">
        <v>0</v>
      </c>
      <c r="AM727" s="16" t="b">
        <v>0</v>
      </c>
      <c r="AN727" s="16" t="b">
        <v>0</v>
      </c>
      <c r="AO727" s="16" t="b">
        <v>0</v>
      </c>
      <c r="AP727" s="16" t="b">
        <v>0</v>
      </c>
      <c r="AQ727" s="17">
        <f t="shared" si="9"/>
        <v>0</v>
      </c>
      <c r="AR727" s="12">
        <f t="shared" si="10"/>
        <v>14943.11</v>
      </c>
      <c r="AS727" s="18">
        <f t="shared" si="11"/>
        <v>0</v>
      </c>
      <c r="AT727" s="12">
        <f t="shared" si="12"/>
        <v>6421.6100000000006</v>
      </c>
      <c r="AU727" s="18">
        <f t="shared" si="13"/>
        <v>0</v>
      </c>
      <c r="AV727" s="19">
        <f t="shared" si="14"/>
        <v>0.42973718322357263</v>
      </c>
      <c r="AW727" s="20" t="str">
        <f t="shared" si="15"/>
        <v>October</v>
      </c>
      <c r="AX727" s="21">
        <f t="shared" si="16"/>
        <v>2025</v>
      </c>
    </row>
    <row r="728" spans="1:50" ht="15.75" customHeight="1">
      <c r="A728" s="10" t="s">
        <v>2287</v>
      </c>
      <c r="B728" s="11">
        <v>45308</v>
      </c>
      <c r="C728" s="11">
        <v>45314</v>
      </c>
      <c r="D728" s="10" t="s">
        <v>2288</v>
      </c>
      <c r="E728" s="10" t="s">
        <v>294</v>
      </c>
      <c r="F728" s="10" t="s">
        <v>124</v>
      </c>
      <c r="G728" s="10" t="s">
        <v>92</v>
      </c>
      <c r="H728" s="10" t="s">
        <v>209</v>
      </c>
      <c r="I728" s="10" t="s">
        <v>210</v>
      </c>
      <c r="J728" s="10" t="s">
        <v>103</v>
      </c>
      <c r="K728" s="10" t="s">
        <v>200</v>
      </c>
      <c r="L728" s="10" t="s">
        <v>2289</v>
      </c>
      <c r="M728" s="10" t="s">
        <v>88</v>
      </c>
      <c r="N728" s="12">
        <v>5</v>
      </c>
      <c r="O728" s="12">
        <v>2018</v>
      </c>
      <c r="P728" s="12">
        <v>0.2</v>
      </c>
      <c r="Q728" s="12">
        <v>8072</v>
      </c>
      <c r="R728" s="12">
        <v>5379.22</v>
      </c>
      <c r="S728" s="12">
        <v>2692.78</v>
      </c>
      <c r="T728" s="10" t="s">
        <v>140</v>
      </c>
      <c r="U728" s="13" t="s">
        <v>132</v>
      </c>
      <c r="V728" s="14" t="e">
        <f t="shared" ca="1" si="0"/>
        <v>#NAME?</v>
      </c>
      <c r="W728" s="10" t="str">
        <f ca="1">IFERROR(__xludf.DUMMYFUNCTION("IF(COUNTIF($A:$A,A722)=1,
""Unique"",
IF(COUNTUNIQUE(FILTER($V$2:$V$934,$A$2:$A$934=A722))&gt;1,
""Conflicting Duplicate"",
""Exact Duplicate""))"),"Unique")</f>
        <v>Unique</v>
      </c>
      <c r="X728" s="10" t="b">
        <f t="shared" ca="1" si="1"/>
        <v>1</v>
      </c>
      <c r="Y728" s="10" t="str">
        <f t="shared" si="2"/>
        <v>Unique</v>
      </c>
      <c r="Z728" s="10"/>
      <c r="AA728" s="10" t="str">
        <f t="shared" si="3"/>
        <v>Clean</v>
      </c>
      <c r="AB728" s="15" t="str">
        <f t="shared" si="4"/>
        <v>Valid</v>
      </c>
      <c r="AC728" s="15">
        <v>6</v>
      </c>
      <c r="AD728" s="16" t="str">
        <f t="shared" si="5"/>
        <v>Valid</v>
      </c>
      <c r="AE728" s="16" t="str">
        <f t="shared" si="6"/>
        <v>Valid</v>
      </c>
      <c r="AF728" s="16" t="str">
        <f t="shared" ref="AF728:AG728" si="1467">IF(ISNUMBER(B728),"Valid","Invalid")</f>
        <v>Valid</v>
      </c>
      <c r="AG728" s="16" t="str">
        <f t="shared" si="1467"/>
        <v>Valid</v>
      </c>
      <c r="AH728" s="16" t="str">
        <f t="shared" ref="AH728:AI728" si="1468">IF(OR(B728="",ISBLANK(B728)),"Missing","Valid")</f>
        <v>Valid</v>
      </c>
      <c r="AI728" s="16" t="str">
        <f t="shared" si="1468"/>
        <v>Valid</v>
      </c>
      <c r="AJ728" s="16" t="b">
        <v>0</v>
      </c>
      <c r="AK728" s="16" t="b">
        <v>0</v>
      </c>
      <c r="AL728" s="16" t="b">
        <v>0</v>
      </c>
      <c r="AM728" s="16" t="b">
        <v>0</v>
      </c>
      <c r="AN728" s="16" t="b">
        <v>0</v>
      </c>
      <c r="AO728" s="16" t="b">
        <v>0</v>
      </c>
      <c r="AP728" s="16" t="b">
        <v>0</v>
      </c>
      <c r="AQ728" s="17">
        <f t="shared" si="9"/>
        <v>0.2</v>
      </c>
      <c r="AR728" s="12">
        <f t="shared" si="10"/>
        <v>8072</v>
      </c>
      <c r="AS728" s="18">
        <f t="shared" si="11"/>
        <v>0</v>
      </c>
      <c r="AT728" s="12">
        <f t="shared" si="12"/>
        <v>2692.7799999999997</v>
      </c>
      <c r="AU728" s="18">
        <f t="shared" si="13"/>
        <v>0</v>
      </c>
      <c r="AV728" s="19">
        <f t="shared" si="14"/>
        <v>0.33359514370664023</v>
      </c>
      <c r="AW728" s="20" t="str">
        <f t="shared" si="15"/>
        <v>January</v>
      </c>
      <c r="AX728" s="21">
        <f t="shared" si="16"/>
        <v>2024</v>
      </c>
    </row>
    <row r="729" spans="1:50" ht="15.75" customHeight="1">
      <c r="A729" s="10" t="s">
        <v>2290</v>
      </c>
      <c r="B729" s="11">
        <v>45578</v>
      </c>
      <c r="C729" s="11">
        <v>45578</v>
      </c>
      <c r="D729" s="10" t="s">
        <v>2291</v>
      </c>
      <c r="E729" s="10" t="s">
        <v>157</v>
      </c>
      <c r="F729" s="10" t="s">
        <v>66</v>
      </c>
      <c r="G729" s="10" t="s">
        <v>67</v>
      </c>
      <c r="H729" s="10" t="s">
        <v>195</v>
      </c>
      <c r="I729" s="10" t="s">
        <v>196</v>
      </c>
      <c r="J729" s="10" t="s">
        <v>103</v>
      </c>
      <c r="K729" s="10" t="s">
        <v>104</v>
      </c>
      <c r="L729" s="10" t="s">
        <v>2292</v>
      </c>
      <c r="M729" s="10" t="s">
        <v>60</v>
      </c>
      <c r="N729" s="12">
        <v>8</v>
      </c>
      <c r="O729" s="12">
        <v>3730.66</v>
      </c>
      <c r="P729" s="12">
        <v>0.05</v>
      </c>
      <c r="Q729" s="12">
        <v>28353.02</v>
      </c>
      <c r="R729" s="12">
        <v>19257.849999999999</v>
      </c>
      <c r="S729" s="12">
        <v>9095.17</v>
      </c>
      <c r="T729" s="10" t="s">
        <v>61</v>
      </c>
      <c r="U729" s="13" t="s">
        <v>62</v>
      </c>
      <c r="V729" s="14" t="e">
        <f t="shared" ca="1" si="0"/>
        <v>#NAME?</v>
      </c>
      <c r="W729" s="10" t="str">
        <f ca="1">IFERROR(__xludf.DUMMYFUNCTION("IF(COUNTIF($A:$A,A723)=1,
""Unique"",
IF(COUNTUNIQUE(FILTER($V$2:$V$934,$A$2:$A$934=A723))&gt;1,
""Conflicting Duplicate"",
""Exact Duplicate""))"),"Unique")</f>
        <v>Unique</v>
      </c>
      <c r="X729" s="10" t="b">
        <f t="shared" ca="1" si="1"/>
        <v>1</v>
      </c>
      <c r="Y729" s="10" t="str">
        <f t="shared" si="2"/>
        <v>Unique</v>
      </c>
      <c r="Z729" s="10"/>
      <c r="AA729" s="10" t="str">
        <f t="shared" si="3"/>
        <v>Clean</v>
      </c>
      <c r="AB729" s="15" t="str">
        <f t="shared" si="4"/>
        <v>Valid</v>
      </c>
      <c r="AC729" s="15">
        <v>0</v>
      </c>
      <c r="AD729" s="16" t="str">
        <f t="shared" si="5"/>
        <v>Valid</v>
      </c>
      <c r="AE729" s="16" t="str">
        <f t="shared" si="6"/>
        <v>Valid</v>
      </c>
      <c r="AF729" s="16" t="str">
        <f t="shared" ref="AF729:AG729" si="1469">IF(ISNUMBER(B729),"Valid","Invalid")</f>
        <v>Valid</v>
      </c>
      <c r="AG729" s="16" t="str">
        <f t="shared" si="1469"/>
        <v>Valid</v>
      </c>
      <c r="AH729" s="16" t="str">
        <f t="shared" ref="AH729:AI729" si="1470">IF(OR(B729="",ISBLANK(B729)),"Missing","Valid")</f>
        <v>Valid</v>
      </c>
      <c r="AI729" s="16" t="str">
        <f t="shared" si="1470"/>
        <v>Valid</v>
      </c>
      <c r="AJ729" s="16" t="b">
        <v>0</v>
      </c>
      <c r="AK729" s="16" t="b">
        <v>0</v>
      </c>
      <c r="AL729" s="16" t="b">
        <v>0</v>
      </c>
      <c r="AM729" s="16" t="b">
        <v>0</v>
      </c>
      <c r="AN729" s="16" t="b">
        <v>0</v>
      </c>
      <c r="AO729" s="16" t="b">
        <v>0</v>
      </c>
      <c r="AP729" s="16" t="b">
        <v>0</v>
      </c>
      <c r="AQ729" s="17">
        <f t="shared" si="9"/>
        <v>0.05</v>
      </c>
      <c r="AR729" s="12">
        <f t="shared" si="10"/>
        <v>28353.015999999996</v>
      </c>
      <c r="AS729" s="18">
        <f t="shared" si="11"/>
        <v>4.0000000044528861E-3</v>
      </c>
      <c r="AT729" s="12">
        <f t="shared" si="12"/>
        <v>9095.1659999999974</v>
      </c>
      <c r="AU729" s="18">
        <f t="shared" si="13"/>
        <v>4.0000000026338967E-3</v>
      </c>
      <c r="AV729" s="19">
        <f t="shared" si="14"/>
        <v>0.3207830165228277</v>
      </c>
      <c r="AW729" s="20" t="str">
        <f t="shared" si="15"/>
        <v>October</v>
      </c>
      <c r="AX729" s="21">
        <f t="shared" si="16"/>
        <v>2024</v>
      </c>
    </row>
    <row r="730" spans="1:50" ht="15.75" customHeight="1">
      <c r="A730" s="10" t="s">
        <v>2293</v>
      </c>
      <c r="B730" s="11">
        <v>45295</v>
      </c>
      <c r="C730" s="11">
        <v>45298</v>
      </c>
      <c r="D730" s="10" t="s">
        <v>2294</v>
      </c>
      <c r="E730" s="10" t="s">
        <v>161</v>
      </c>
      <c r="F730" s="10" t="s">
        <v>66</v>
      </c>
      <c r="G730" s="10" t="s">
        <v>83</v>
      </c>
      <c r="H730" s="10" t="s">
        <v>204</v>
      </c>
      <c r="I730" s="10" t="s">
        <v>205</v>
      </c>
      <c r="J730" s="10" t="s">
        <v>103</v>
      </c>
      <c r="K730" s="10" t="s">
        <v>304</v>
      </c>
      <c r="L730" s="10" t="s">
        <v>2295</v>
      </c>
      <c r="M730" s="10" t="s">
        <v>79</v>
      </c>
      <c r="N730" s="12">
        <v>1</v>
      </c>
      <c r="O730" s="12">
        <v>2363.02</v>
      </c>
      <c r="P730" s="12">
        <v>0.15</v>
      </c>
      <c r="Q730" s="12">
        <v>2008.57</v>
      </c>
      <c r="R730" s="12">
        <v>1194.83</v>
      </c>
      <c r="S730" s="12">
        <v>813.74</v>
      </c>
      <c r="T730" s="10" t="s">
        <v>61</v>
      </c>
      <c r="U730" s="13" t="s">
        <v>62</v>
      </c>
      <c r="V730" s="14" t="e">
        <f t="shared" ca="1" si="0"/>
        <v>#NAME?</v>
      </c>
      <c r="W730" s="10" t="str">
        <f ca="1">IFERROR(__xludf.DUMMYFUNCTION("IF(COUNTIF($A:$A,A724)=1,
""Unique"",
IF(COUNTUNIQUE(FILTER($V$2:$V$934,$A$2:$A$934=A724))&gt;1,
""Conflicting Duplicate"",
""Exact Duplicate""))"),"Unique")</f>
        <v>Unique</v>
      </c>
      <c r="X730" s="10" t="b">
        <f t="shared" ca="1" si="1"/>
        <v>1</v>
      </c>
      <c r="Y730" s="10" t="str">
        <f t="shared" si="2"/>
        <v>Unique</v>
      </c>
      <c r="Z730" s="10"/>
      <c r="AA730" s="10" t="str">
        <f t="shared" si="3"/>
        <v>Clean</v>
      </c>
      <c r="AB730" s="15" t="str">
        <f t="shared" si="4"/>
        <v>Valid</v>
      </c>
      <c r="AC730" s="15">
        <v>3</v>
      </c>
      <c r="AD730" s="16" t="str">
        <f t="shared" si="5"/>
        <v>Valid</v>
      </c>
      <c r="AE730" s="16" t="str">
        <f t="shared" si="6"/>
        <v>Valid</v>
      </c>
      <c r="AF730" s="16" t="str">
        <f t="shared" ref="AF730:AG730" si="1471">IF(ISNUMBER(B730),"Valid","Invalid")</f>
        <v>Valid</v>
      </c>
      <c r="AG730" s="16" t="str">
        <f t="shared" si="1471"/>
        <v>Valid</v>
      </c>
      <c r="AH730" s="16" t="str">
        <f t="shared" ref="AH730:AI730" si="1472">IF(OR(B730="",ISBLANK(B730)),"Missing","Valid")</f>
        <v>Valid</v>
      </c>
      <c r="AI730" s="16" t="str">
        <f t="shared" si="1472"/>
        <v>Valid</v>
      </c>
      <c r="AJ730" s="16" t="b">
        <v>0</v>
      </c>
      <c r="AK730" s="16" t="b">
        <v>0</v>
      </c>
      <c r="AL730" s="16" t="b">
        <v>0</v>
      </c>
      <c r="AM730" s="16" t="b">
        <v>0</v>
      </c>
      <c r="AN730" s="16" t="b">
        <v>0</v>
      </c>
      <c r="AO730" s="16" t="b">
        <v>0</v>
      </c>
      <c r="AP730" s="16" t="b">
        <v>0</v>
      </c>
      <c r="AQ730" s="17">
        <f t="shared" si="9"/>
        <v>0.15</v>
      </c>
      <c r="AR730" s="12">
        <f t="shared" si="10"/>
        <v>2008.567</v>
      </c>
      <c r="AS730" s="18">
        <f t="shared" si="11"/>
        <v>2.9999999999290594E-3</v>
      </c>
      <c r="AT730" s="12">
        <f t="shared" si="12"/>
        <v>813.73700000000008</v>
      </c>
      <c r="AU730" s="18">
        <f t="shared" si="13"/>
        <v>2.9999999999290594E-3</v>
      </c>
      <c r="AV730" s="19">
        <f t="shared" si="14"/>
        <v>0.40513311231340554</v>
      </c>
      <c r="AW730" s="20" t="str">
        <f t="shared" si="15"/>
        <v>January</v>
      </c>
      <c r="AX730" s="21">
        <f t="shared" si="16"/>
        <v>2024</v>
      </c>
    </row>
    <row r="731" spans="1:50" ht="15.75" customHeight="1">
      <c r="A731" s="10" t="s">
        <v>2296</v>
      </c>
      <c r="B731" s="11">
        <v>45794</v>
      </c>
      <c r="C731" s="11">
        <v>45802</v>
      </c>
      <c r="D731" s="10" t="s">
        <v>2297</v>
      </c>
      <c r="E731" s="10" t="s">
        <v>91</v>
      </c>
      <c r="F731" s="10" t="s">
        <v>119</v>
      </c>
      <c r="G731" s="10" t="s">
        <v>83</v>
      </c>
      <c r="H731" s="10" t="s">
        <v>277</v>
      </c>
      <c r="I731" s="10" t="s">
        <v>278</v>
      </c>
      <c r="J731" s="10" t="s">
        <v>103</v>
      </c>
      <c r="K731" s="10" t="s">
        <v>304</v>
      </c>
      <c r="L731" s="10" t="s">
        <v>2298</v>
      </c>
      <c r="M731" s="10" t="s">
        <v>73</v>
      </c>
      <c r="N731" s="12">
        <v>6</v>
      </c>
      <c r="O731" s="12">
        <v>1810.63</v>
      </c>
      <c r="P731" s="12">
        <v>0.15</v>
      </c>
      <c r="Q731" s="12">
        <v>9234.2099999999991</v>
      </c>
      <c r="R731" s="12">
        <v>5516.52</v>
      </c>
      <c r="S731" s="12">
        <v>3717.69</v>
      </c>
      <c r="T731" s="10" t="s">
        <v>61</v>
      </c>
      <c r="U731" s="13" t="s">
        <v>62</v>
      </c>
      <c r="V731" s="14" t="e">
        <f t="shared" ca="1" si="0"/>
        <v>#NAME?</v>
      </c>
      <c r="W731" s="10" t="str">
        <f ca="1">IFERROR(__xludf.DUMMYFUNCTION("IF(COUNTIF($A:$A,A725)=1,
""Unique"",
IF(COUNTUNIQUE(FILTER($V$2:$V$934,$A$2:$A$934=A725))&gt;1,
""Conflicting Duplicate"",
""Exact Duplicate""))"),"Unique")</f>
        <v>Unique</v>
      </c>
      <c r="X731" s="10" t="b">
        <f t="shared" ca="1" si="1"/>
        <v>1</v>
      </c>
      <c r="Y731" s="10" t="str">
        <f t="shared" si="2"/>
        <v>Duplicate Order ID</v>
      </c>
      <c r="Z731" s="10"/>
      <c r="AA731" s="10" t="str">
        <f t="shared" si="3"/>
        <v>Clean</v>
      </c>
      <c r="AB731" s="15" t="str">
        <f t="shared" si="4"/>
        <v>Valid</v>
      </c>
      <c r="AC731" s="15">
        <v>8</v>
      </c>
      <c r="AD731" s="16" t="str">
        <f t="shared" si="5"/>
        <v>Valid</v>
      </c>
      <c r="AE731" s="16" t="str">
        <f t="shared" si="6"/>
        <v>Valid</v>
      </c>
      <c r="AF731" s="16" t="str">
        <f t="shared" ref="AF731:AG731" si="1473">IF(ISNUMBER(B731),"Valid","Invalid")</f>
        <v>Valid</v>
      </c>
      <c r="AG731" s="16" t="str">
        <f t="shared" si="1473"/>
        <v>Valid</v>
      </c>
      <c r="AH731" s="16" t="str">
        <f t="shared" ref="AH731:AI731" si="1474">IF(OR(B731="",ISBLANK(B731)),"Missing","Valid")</f>
        <v>Valid</v>
      </c>
      <c r="AI731" s="16" t="str">
        <f t="shared" si="1474"/>
        <v>Valid</v>
      </c>
      <c r="AJ731" s="16" t="b">
        <v>0</v>
      </c>
      <c r="AK731" s="16" t="b">
        <v>0</v>
      </c>
      <c r="AL731" s="16" t="b">
        <v>0</v>
      </c>
      <c r="AM731" s="16" t="b">
        <v>0</v>
      </c>
      <c r="AN731" s="16" t="b">
        <v>0</v>
      </c>
      <c r="AO731" s="16" t="b">
        <v>0</v>
      </c>
      <c r="AP731" s="16" t="b">
        <v>0</v>
      </c>
      <c r="AQ731" s="17">
        <f t="shared" si="9"/>
        <v>0.15</v>
      </c>
      <c r="AR731" s="12">
        <f t="shared" si="10"/>
        <v>9234.2129999999997</v>
      </c>
      <c r="AS731" s="18">
        <f t="shared" si="11"/>
        <v>-3.0000000006111804E-3</v>
      </c>
      <c r="AT731" s="12">
        <f t="shared" si="12"/>
        <v>3717.6929999999993</v>
      </c>
      <c r="AU731" s="18">
        <f t="shared" si="13"/>
        <v>-2.9999999992469384E-3</v>
      </c>
      <c r="AV731" s="19">
        <f t="shared" si="14"/>
        <v>0.40259987505161504</v>
      </c>
      <c r="AW731" s="20" t="str">
        <f t="shared" si="15"/>
        <v>May</v>
      </c>
      <c r="AX731" s="21">
        <f t="shared" si="16"/>
        <v>2025</v>
      </c>
    </row>
    <row r="732" spans="1:50" ht="15.75" customHeight="1">
      <c r="A732" s="10" t="s">
        <v>2299</v>
      </c>
      <c r="B732" s="11">
        <v>45827</v>
      </c>
      <c r="C732" s="11">
        <v>45832</v>
      </c>
      <c r="D732" s="10" t="s">
        <v>2300</v>
      </c>
      <c r="E732" s="10" t="s">
        <v>82</v>
      </c>
      <c r="F732" s="10" t="s">
        <v>53</v>
      </c>
      <c r="G732" s="10" t="s">
        <v>67</v>
      </c>
      <c r="H732" s="10" t="s">
        <v>128</v>
      </c>
      <c r="I732" s="10" t="s">
        <v>129</v>
      </c>
      <c r="J732" s="10" t="s">
        <v>57</v>
      </c>
      <c r="K732" s="10" t="s">
        <v>77</v>
      </c>
      <c r="L732" s="10" t="s">
        <v>2301</v>
      </c>
      <c r="M732" s="10" t="s">
        <v>60</v>
      </c>
      <c r="N732" s="12">
        <v>4</v>
      </c>
      <c r="O732" s="12">
        <v>782.01</v>
      </c>
      <c r="P732" s="12">
        <v>0.15</v>
      </c>
      <c r="Q732" s="12">
        <v>2658.83</v>
      </c>
      <c r="R732" s="12">
        <v>2226.9699999999998</v>
      </c>
      <c r="S732" s="12">
        <v>431.86</v>
      </c>
      <c r="T732" s="10" t="s">
        <v>131</v>
      </c>
      <c r="U732" s="13" t="s">
        <v>132</v>
      </c>
      <c r="V732" s="14" t="e">
        <f t="shared" ca="1" si="0"/>
        <v>#NAME?</v>
      </c>
      <c r="W732" s="10" t="str">
        <f ca="1">IFERROR(__xludf.DUMMYFUNCTION("IF(COUNTIF($A:$A,A726)=1,
""Unique"",
IF(COUNTUNIQUE(FILTER($V$2:$V$934,$A$2:$A$934=A726))&gt;1,
""Conflicting Duplicate"",
""Exact Duplicate""))"),"Unique")</f>
        <v>Unique</v>
      </c>
      <c r="X732" s="10" t="b">
        <f t="shared" ca="1" si="1"/>
        <v>1</v>
      </c>
      <c r="Y732" s="10" t="str">
        <f t="shared" si="2"/>
        <v>Unique</v>
      </c>
      <c r="Z732" s="10"/>
      <c r="AA732" s="10" t="str">
        <f t="shared" si="3"/>
        <v>Clean</v>
      </c>
      <c r="AB732" s="15" t="str">
        <f t="shared" si="4"/>
        <v>Valid</v>
      </c>
      <c r="AC732" s="15">
        <v>5</v>
      </c>
      <c r="AD732" s="16" t="str">
        <f t="shared" si="5"/>
        <v>Valid</v>
      </c>
      <c r="AE732" s="16" t="str">
        <f t="shared" si="6"/>
        <v>Valid</v>
      </c>
      <c r="AF732" s="16" t="str">
        <f t="shared" ref="AF732:AG732" si="1475">IF(ISNUMBER(B732),"Valid","Invalid")</f>
        <v>Valid</v>
      </c>
      <c r="AG732" s="16" t="str">
        <f t="shared" si="1475"/>
        <v>Valid</v>
      </c>
      <c r="AH732" s="16" t="str">
        <f t="shared" ref="AH732:AI732" si="1476">IF(OR(B732="",ISBLANK(B732)),"Missing","Valid")</f>
        <v>Valid</v>
      </c>
      <c r="AI732" s="16" t="str">
        <f t="shared" si="1476"/>
        <v>Valid</v>
      </c>
      <c r="AJ732" s="16" t="b">
        <v>0</v>
      </c>
      <c r="AK732" s="16" t="b">
        <v>0</v>
      </c>
      <c r="AL732" s="16" t="b">
        <v>0</v>
      </c>
      <c r="AM732" s="16" t="b">
        <v>0</v>
      </c>
      <c r="AN732" s="16" t="b">
        <v>0</v>
      </c>
      <c r="AO732" s="16" t="b">
        <v>0</v>
      </c>
      <c r="AP732" s="16" t="b">
        <v>0</v>
      </c>
      <c r="AQ732" s="17">
        <f t="shared" si="9"/>
        <v>0.15</v>
      </c>
      <c r="AR732" s="12">
        <f t="shared" si="10"/>
        <v>2658.8339999999998</v>
      </c>
      <c r="AS732" s="18">
        <f t="shared" si="11"/>
        <v>-3.9999999999054126E-3</v>
      </c>
      <c r="AT732" s="12">
        <f t="shared" si="12"/>
        <v>431.86400000000003</v>
      </c>
      <c r="AU732" s="18">
        <f t="shared" si="13"/>
        <v>-4.0000000000190994E-3</v>
      </c>
      <c r="AV732" s="19">
        <f t="shared" si="14"/>
        <v>0.16242608602116568</v>
      </c>
      <c r="AW732" s="20" t="str">
        <f t="shared" si="15"/>
        <v>June</v>
      </c>
      <c r="AX732" s="21">
        <f t="shared" si="16"/>
        <v>2025</v>
      </c>
    </row>
    <row r="733" spans="1:50" ht="15.75" customHeight="1">
      <c r="A733" s="10" t="s">
        <v>2302</v>
      </c>
      <c r="B733" s="11">
        <v>45368</v>
      </c>
      <c r="C733" s="11">
        <v>45370</v>
      </c>
      <c r="D733" s="10" t="s">
        <v>2303</v>
      </c>
      <c r="E733" s="10" t="s">
        <v>91</v>
      </c>
      <c r="F733" s="10" t="s">
        <v>119</v>
      </c>
      <c r="G733" s="10" t="s">
        <v>67</v>
      </c>
      <c r="H733" s="10" t="s">
        <v>68</v>
      </c>
      <c r="I733" s="10" t="s">
        <v>69</v>
      </c>
      <c r="J733" s="10" t="s">
        <v>57</v>
      </c>
      <c r="K733" s="10" t="s">
        <v>182</v>
      </c>
      <c r="L733" s="10" t="s">
        <v>2304</v>
      </c>
      <c r="M733" s="10" t="s">
        <v>79</v>
      </c>
      <c r="N733" s="12">
        <v>4</v>
      </c>
      <c r="O733" s="12">
        <v>4376.68</v>
      </c>
      <c r="P733" s="12">
        <v>0.1</v>
      </c>
      <c r="Q733" s="12">
        <v>15756.05</v>
      </c>
      <c r="R733" s="12">
        <v>10245.44</v>
      </c>
      <c r="S733" s="12">
        <v>5510.61</v>
      </c>
      <c r="T733" s="10" t="s">
        <v>61</v>
      </c>
      <c r="U733" s="13" t="s">
        <v>62</v>
      </c>
      <c r="V733" s="14" t="e">
        <f t="shared" ca="1" si="0"/>
        <v>#NAME?</v>
      </c>
      <c r="W733" s="10" t="str">
        <f ca="1">IFERROR(__xludf.DUMMYFUNCTION("IF(COUNTIF($A:$A,A727)=1,
""Unique"",
IF(COUNTUNIQUE(FILTER($V$2:$V$934,$A$2:$A$934=A727))&gt;1,
""Conflicting Duplicate"",
""Exact Duplicate""))"),"Unique")</f>
        <v>Unique</v>
      </c>
      <c r="X733" s="10" t="b">
        <f t="shared" ca="1" si="1"/>
        <v>1</v>
      </c>
      <c r="Y733" s="10" t="str">
        <f t="shared" si="2"/>
        <v>Unique</v>
      </c>
      <c r="Z733" s="10"/>
      <c r="AA733" s="10" t="str">
        <f t="shared" si="3"/>
        <v>Clean</v>
      </c>
      <c r="AB733" s="15" t="str">
        <f t="shared" si="4"/>
        <v>Valid</v>
      </c>
      <c r="AC733" s="15">
        <v>2</v>
      </c>
      <c r="AD733" s="16" t="str">
        <f t="shared" si="5"/>
        <v>Valid</v>
      </c>
      <c r="AE733" s="16" t="str">
        <f t="shared" si="6"/>
        <v>Valid</v>
      </c>
      <c r="AF733" s="16" t="str">
        <f t="shared" ref="AF733:AG733" si="1477">IF(ISNUMBER(B733),"Valid","Invalid")</f>
        <v>Valid</v>
      </c>
      <c r="AG733" s="16" t="str">
        <f t="shared" si="1477"/>
        <v>Valid</v>
      </c>
      <c r="AH733" s="16" t="str">
        <f t="shared" ref="AH733:AI733" si="1478">IF(OR(B733="",ISBLANK(B733)),"Missing","Valid")</f>
        <v>Valid</v>
      </c>
      <c r="AI733" s="16" t="str">
        <f t="shared" si="1478"/>
        <v>Valid</v>
      </c>
      <c r="AJ733" s="16" t="b">
        <v>0</v>
      </c>
      <c r="AK733" s="16" t="b">
        <v>0</v>
      </c>
      <c r="AL733" s="16" t="b">
        <v>0</v>
      </c>
      <c r="AM733" s="16" t="b">
        <v>0</v>
      </c>
      <c r="AN733" s="16" t="b">
        <v>0</v>
      </c>
      <c r="AO733" s="16" t="b">
        <v>0</v>
      </c>
      <c r="AP733" s="16" t="b">
        <v>0</v>
      </c>
      <c r="AQ733" s="17">
        <f t="shared" si="9"/>
        <v>0.1</v>
      </c>
      <c r="AR733" s="12">
        <f t="shared" si="10"/>
        <v>15756.048000000001</v>
      </c>
      <c r="AS733" s="18">
        <f t="shared" si="11"/>
        <v>1.9999999985884642E-3</v>
      </c>
      <c r="AT733" s="12">
        <f t="shared" si="12"/>
        <v>5510.6080000000002</v>
      </c>
      <c r="AU733" s="18">
        <f t="shared" si="13"/>
        <v>1.9999999994979589E-3</v>
      </c>
      <c r="AV733" s="19">
        <f t="shared" si="14"/>
        <v>0.3497455707167178</v>
      </c>
      <c r="AW733" s="20" t="str">
        <f t="shared" si="15"/>
        <v>March</v>
      </c>
      <c r="AX733" s="21">
        <f t="shared" si="16"/>
        <v>2024</v>
      </c>
    </row>
    <row r="734" spans="1:50" ht="15.75" customHeight="1">
      <c r="A734" s="10" t="s">
        <v>2305</v>
      </c>
      <c r="B734" s="11">
        <v>45624</v>
      </c>
      <c r="C734" s="11">
        <v>45632</v>
      </c>
      <c r="D734" s="10" t="s">
        <v>2306</v>
      </c>
      <c r="E734" s="10" t="s">
        <v>82</v>
      </c>
      <c r="F734" s="10" t="s">
        <v>66</v>
      </c>
      <c r="G734" s="10" t="s">
        <v>54</v>
      </c>
      <c r="H734" s="10" t="s">
        <v>151</v>
      </c>
      <c r="I734" s="10" t="s">
        <v>152</v>
      </c>
      <c r="J734" s="10" t="s">
        <v>103</v>
      </c>
      <c r="K734" s="10" t="s">
        <v>200</v>
      </c>
      <c r="L734" s="10" t="s">
        <v>2307</v>
      </c>
      <c r="M734" s="10" t="s">
        <v>88</v>
      </c>
      <c r="N734" s="12">
        <v>6</v>
      </c>
      <c r="O734" s="12">
        <v>2464.63</v>
      </c>
      <c r="P734" s="12">
        <v>0</v>
      </c>
      <c r="Q734" s="12">
        <v>14787.78</v>
      </c>
      <c r="R734" s="12">
        <v>8596.65</v>
      </c>
      <c r="S734" s="12">
        <v>6191.13</v>
      </c>
      <c r="T734" s="10" t="s">
        <v>61</v>
      </c>
      <c r="U734" s="13" t="s">
        <v>62</v>
      </c>
      <c r="V734" s="14" t="e">
        <f t="shared" ca="1" si="0"/>
        <v>#NAME?</v>
      </c>
      <c r="W734" s="10" t="str">
        <f ca="1">IFERROR(__xludf.DUMMYFUNCTION("IF(COUNTIF($A:$A,A728)=1,
""Unique"",
IF(COUNTUNIQUE(FILTER($V$2:$V$934,$A$2:$A$934=A728))&gt;1,
""Conflicting Duplicate"",
""Exact Duplicate""))"),"Unique")</f>
        <v>Unique</v>
      </c>
      <c r="X734" s="10" t="b">
        <f t="shared" ca="1" si="1"/>
        <v>1</v>
      </c>
      <c r="Y734" s="10" t="str">
        <f t="shared" si="2"/>
        <v>Unique</v>
      </c>
      <c r="Z734" s="10"/>
      <c r="AA734" s="10" t="str">
        <f t="shared" si="3"/>
        <v>Clean</v>
      </c>
      <c r="AB734" s="15" t="str">
        <f t="shared" si="4"/>
        <v>Valid</v>
      </c>
      <c r="AC734" s="15">
        <v>8</v>
      </c>
      <c r="AD734" s="16" t="str">
        <f t="shared" si="5"/>
        <v>Valid</v>
      </c>
      <c r="AE734" s="16" t="str">
        <f t="shared" si="6"/>
        <v>Valid</v>
      </c>
      <c r="AF734" s="16" t="str">
        <f t="shared" ref="AF734:AG734" si="1479">IF(ISNUMBER(B734),"Valid","Invalid")</f>
        <v>Valid</v>
      </c>
      <c r="AG734" s="16" t="str">
        <f t="shared" si="1479"/>
        <v>Valid</v>
      </c>
      <c r="AH734" s="16" t="str">
        <f t="shared" ref="AH734:AI734" si="1480">IF(OR(B734="",ISBLANK(B734)),"Missing","Valid")</f>
        <v>Valid</v>
      </c>
      <c r="AI734" s="16" t="str">
        <f t="shared" si="1480"/>
        <v>Valid</v>
      </c>
      <c r="AJ734" s="16" t="b">
        <v>0</v>
      </c>
      <c r="AK734" s="16" t="b">
        <v>0</v>
      </c>
      <c r="AL734" s="16" t="b">
        <v>0</v>
      </c>
      <c r="AM734" s="16" t="b">
        <v>0</v>
      </c>
      <c r="AN734" s="16" t="b">
        <v>0</v>
      </c>
      <c r="AO734" s="16" t="b">
        <v>0</v>
      </c>
      <c r="AP734" s="16" t="b">
        <v>0</v>
      </c>
      <c r="AQ734" s="17">
        <f t="shared" si="9"/>
        <v>0</v>
      </c>
      <c r="AR734" s="12">
        <f t="shared" si="10"/>
        <v>14787.78</v>
      </c>
      <c r="AS734" s="18">
        <f t="shared" si="11"/>
        <v>0</v>
      </c>
      <c r="AT734" s="12">
        <f t="shared" si="12"/>
        <v>6191.130000000001</v>
      </c>
      <c r="AU734" s="18">
        <f t="shared" si="13"/>
        <v>0</v>
      </c>
      <c r="AV734" s="19">
        <f t="shared" si="14"/>
        <v>0.41866527632950995</v>
      </c>
      <c r="AW734" s="20" t="str">
        <f t="shared" si="15"/>
        <v>November</v>
      </c>
      <c r="AX734" s="21">
        <f t="shared" si="16"/>
        <v>2024</v>
      </c>
    </row>
    <row r="735" spans="1:50" ht="15.75" customHeight="1">
      <c r="A735" s="10" t="s">
        <v>2308</v>
      </c>
      <c r="B735" s="11">
        <v>45464</v>
      </c>
      <c r="C735" s="11">
        <v>45471</v>
      </c>
      <c r="D735" s="10" t="s">
        <v>2309</v>
      </c>
      <c r="E735" s="10" t="s">
        <v>157</v>
      </c>
      <c r="F735" s="10" t="s">
        <v>124</v>
      </c>
      <c r="G735" s="10" t="s">
        <v>54</v>
      </c>
      <c r="H735" s="10" t="s">
        <v>55</v>
      </c>
      <c r="I735" s="10" t="s">
        <v>56</v>
      </c>
      <c r="J735" s="10" t="s">
        <v>70</v>
      </c>
      <c r="K735" s="10" t="s">
        <v>86</v>
      </c>
      <c r="L735" s="10" t="s">
        <v>2310</v>
      </c>
      <c r="M735" s="10" t="s">
        <v>79</v>
      </c>
      <c r="N735" s="12">
        <v>9</v>
      </c>
      <c r="O735" s="12">
        <v>2797.96</v>
      </c>
      <c r="P735" s="12">
        <v>0</v>
      </c>
      <c r="Q735" s="12">
        <v>25181.64</v>
      </c>
      <c r="R735" s="12">
        <v>15337.9</v>
      </c>
      <c r="S735" s="12">
        <v>9843.74</v>
      </c>
      <c r="T735" s="10" t="s">
        <v>61</v>
      </c>
      <c r="U735" s="13" t="s">
        <v>62</v>
      </c>
      <c r="V735" s="14" t="e">
        <f t="shared" ca="1" si="0"/>
        <v>#NAME?</v>
      </c>
      <c r="W735" s="10" t="str">
        <f ca="1">IFERROR(__xludf.DUMMYFUNCTION("IF(COUNTIF($A:$A,A729)=1,
""Unique"",
IF(COUNTUNIQUE(FILTER($V$2:$V$934,$A$2:$A$934=A729))&gt;1,
""Conflicting Duplicate"",
""Exact Duplicate""))"),"Unique")</f>
        <v>Unique</v>
      </c>
      <c r="X735" s="10" t="b">
        <f t="shared" ca="1" si="1"/>
        <v>1</v>
      </c>
      <c r="Y735" s="10" t="str">
        <f t="shared" si="2"/>
        <v>Unique</v>
      </c>
      <c r="Z735" s="10"/>
      <c r="AA735" s="10" t="str">
        <f t="shared" si="3"/>
        <v>Clean</v>
      </c>
      <c r="AB735" s="15" t="str">
        <f t="shared" si="4"/>
        <v>Valid</v>
      </c>
      <c r="AC735" s="15">
        <v>7</v>
      </c>
      <c r="AD735" s="16" t="str">
        <f t="shared" si="5"/>
        <v>Valid</v>
      </c>
      <c r="AE735" s="16" t="str">
        <f t="shared" si="6"/>
        <v>Valid</v>
      </c>
      <c r="AF735" s="16" t="str">
        <f t="shared" ref="AF735:AG735" si="1481">IF(ISNUMBER(B735),"Valid","Invalid")</f>
        <v>Valid</v>
      </c>
      <c r="AG735" s="16" t="str">
        <f t="shared" si="1481"/>
        <v>Valid</v>
      </c>
      <c r="AH735" s="16" t="str">
        <f t="shared" ref="AH735:AI735" si="1482">IF(OR(B735="",ISBLANK(B735)),"Missing","Valid")</f>
        <v>Valid</v>
      </c>
      <c r="AI735" s="16" t="str">
        <f t="shared" si="1482"/>
        <v>Valid</v>
      </c>
      <c r="AJ735" s="16" t="b">
        <v>0</v>
      </c>
      <c r="AK735" s="16" t="b">
        <v>0</v>
      </c>
      <c r="AL735" s="16" t="b">
        <v>0</v>
      </c>
      <c r="AM735" s="16" t="b">
        <v>0</v>
      </c>
      <c r="AN735" s="16" t="b">
        <v>0</v>
      </c>
      <c r="AO735" s="16" t="b">
        <v>0</v>
      </c>
      <c r="AP735" s="16" t="b">
        <v>0</v>
      </c>
      <c r="AQ735" s="17">
        <f t="shared" si="9"/>
        <v>0</v>
      </c>
      <c r="AR735" s="12">
        <f t="shared" si="10"/>
        <v>25181.64</v>
      </c>
      <c r="AS735" s="18">
        <f t="shared" si="11"/>
        <v>0</v>
      </c>
      <c r="AT735" s="12">
        <f t="shared" si="12"/>
        <v>9843.74</v>
      </c>
      <c r="AU735" s="18">
        <f t="shared" si="13"/>
        <v>0</v>
      </c>
      <c r="AV735" s="19">
        <f t="shared" si="14"/>
        <v>0.39090940860086953</v>
      </c>
      <c r="AW735" s="20" t="str">
        <f t="shared" si="15"/>
        <v>June</v>
      </c>
      <c r="AX735" s="21">
        <f t="shared" si="16"/>
        <v>2024</v>
      </c>
    </row>
    <row r="736" spans="1:50" ht="15.75" customHeight="1">
      <c r="A736" s="10" t="s">
        <v>2311</v>
      </c>
      <c r="B736" s="11">
        <v>45528</v>
      </c>
      <c r="C736" s="11">
        <v>45528</v>
      </c>
      <c r="D736" s="10" t="s">
        <v>2312</v>
      </c>
      <c r="E736" s="10" t="s">
        <v>91</v>
      </c>
      <c r="F736" s="10" t="s">
        <v>66</v>
      </c>
      <c r="G736" s="10" t="s">
        <v>54</v>
      </c>
      <c r="H736" s="10" t="s">
        <v>55</v>
      </c>
      <c r="I736" s="10" t="s">
        <v>56</v>
      </c>
      <c r="J736" s="10" t="s">
        <v>103</v>
      </c>
      <c r="K736" s="10" t="s">
        <v>104</v>
      </c>
      <c r="L736" s="10" t="s">
        <v>2313</v>
      </c>
      <c r="M736" s="10" t="s">
        <v>79</v>
      </c>
      <c r="N736" s="12">
        <v>4</v>
      </c>
      <c r="O736" s="12">
        <v>2761.86</v>
      </c>
      <c r="P736" s="12">
        <v>0.2</v>
      </c>
      <c r="Q736" s="12">
        <v>8837.9500000000007</v>
      </c>
      <c r="R736" s="12">
        <v>6157.27</v>
      </c>
      <c r="S736" s="12">
        <v>2680.68</v>
      </c>
      <c r="T736" s="10" t="s">
        <v>61</v>
      </c>
      <c r="U736" s="13" t="s">
        <v>62</v>
      </c>
      <c r="V736" s="14" t="e">
        <f t="shared" ca="1" si="0"/>
        <v>#NAME?</v>
      </c>
      <c r="W736" s="10" t="str">
        <f ca="1">IFERROR(__xludf.DUMMYFUNCTION("IF(COUNTIF($A:$A,A730)=1,
""Unique"",
IF(COUNTUNIQUE(FILTER($V$2:$V$934,$A$2:$A$934=A730))&gt;1,
""Conflicting Duplicate"",
""Exact Duplicate""))"),"Unique")</f>
        <v>Unique</v>
      </c>
      <c r="X736" s="10" t="b">
        <f t="shared" ca="1" si="1"/>
        <v>1</v>
      </c>
      <c r="Y736" s="10" t="str">
        <f t="shared" si="2"/>
        <v>Unique</v>
      </c>
      <c r="Z736" s="10"/>
      <c r="AA736" s="10" t="str">
        <f t="shared" si="3"/>
        <v>Clean</v>
      </c>
      <c r="AB736" s="15" t="str">
        <f t="shared" si="4"/>
        <v>Valid</v>
      </c>
      <c r="AC736" s="15">
        <v>0</v>
      </c>
      <c r="AD736" s="16" t="str">
        <f t="shared" si="5"/>
        <v>Valid</v>
      </c>
      <c r="AE736" s="16" t="str">
        <f t="shared" si="6"/>
        <v>Valid</v>
      </c>
      <c r="AF736" s="16" t="str">
        <f t="shared" ref="AF736:AG736" si="1483">IF(ISNUMBER(B736),"Valid","Invalid")</f>
        <v>Valid</v>
      </c>
      <c r="AG736" s="16" t="str">
        <f t="shared" si="1483"/>
        <v>Valid</v>
      </c>
      <c r="AH736" s="16" t="str">
        <f t="shared" ref="AH736:AI736" si="1484">IF(OR(B736="",ISBLANK(B736)),"Missing","Valid")</f>
        <v>Valid</v>
      </c>
      <c r="AI736" s="16" t="str">
        <f t="shared" si="1484"/>
        <v>Valid</v>
      </c>
      <c r="AJ736" s="16" t="b">
        <v>0</v>
      </c>
      <c r="AK736" s="16" t="b">
        <v>0</v>
      </c>
      <c r="AL736" s="16" t="b">
        <v>0</v>
      </c>
      <c r="AM736" s="16" t="b">
        <v>0</v>
      </c>
      <c r="AN736" s="16" t="b">
        <v>0</v>
      </c>
      <c r="AO736" s="16" t="b">
        <v>0</v>
      </c>
      <c r="AP736" s="16" t="b">
        <v>0</v>
      </c>
      <c r="AQ736" s="17">
        <f t="shared" si="9"/>
        <v>0.2</v>
      </c>
      <c r="AR736" s="12">
        <f t="shared" si="10"/>
        <v>8837.9520000000011</v>
      </c>
      <c r="AS736" s="18">
        <f t="shared" si="11"/>
        <v>-2.0000000004074536E-3</v>
      </c>
      <c r="AT736" s="12">
        <f t="shared" si="12"/>
        <v>2680.6820000000007</v>
      </c>
      <c r="AU736" s="18">
        <f t="shared" si="13"/>
        <v>-2.000000000862201E-3</v>
      </c>
      <c r="AV736" s="19">
        <f t="shared" si="14"/>
        <v>0.30331484036120587</v>
      </c>
      <c r="AW736" s="20" t="str">
        <f t="shared" si="15"/>
        <v>August</v>
      </c>
      <c r="AX736" s="21">
        <f t="shared" si="16"/>
        <v>2024</v>
      </c>
    </row>
    <row r="737" spans="1:50" ht="15.75" customHeight="1">
      <c r="A737" s="10" t="s">
        <v>2314</v>
      </c>
      <c r="B737" s="11">
        <v>45515</v>
      </c>
      <c r="C737" s="11">
        <v>45523</v>
      </c>
      <c r="D737" s="10" t="s">
        <v>2315</v>
      </c>
      <c r="E737" s="10" t="s">
        <v>65</v>
      </c>
      <c r="F737" s="10" t="s">
        <v>53</v>
      </c>
      <c r="G737" s="10" t="s">
        <v>92</v>
      </c>
      <c r="H737" s="10" t="s">
        <v>93</v>
      </c>
      <c r="I737" s="10" t="s">
        <v>94</v>
      </c>
      <c r="J737" s="10" t="s">
        <v>70</v>
      </c>
      <c r="K737" s="10" t="s">
        <v>71</v>
      </c>
      <c r="L737" s="10" t="s">
        <v>2316</v>
      </c>
      <c r="M737" s="10" t="s">
        <v>88</v>
      </c>
      <c r="N737" s="12">
        <v>6</v>
      </c>
      <c r="O737" s="12">
        <v>1515.79</v>
      </c>
      <c r="P737" s="12">
        <v>0.2</v>
      </c>
      <c r="Q737" s="12">
        <v>7275.79</v>
      </c>
      <c r="R737" s="12">
        <v>6152.87</v>
      </c>
      <c r="S737" s="12">
        <v>1122.92</v>
      </c>
      <c r="T737" s="10" t="s">
        <v>61</v>
      </c>
      <c r="U737" s="13" t="s">
        <v>62</v>
      </c>
      <c r="V737" s="14" t="e">
        <f t="shared" ca="1" si="0"/>
        <v>#NAME?</v>
      </c>
      <c r="W737" s="10" t="str">
        <f ca="1">IFERROR(__xludf.DUMMYFUNCTION("IF(COUNTIF($A:$A,A731)=1,
""Unique"",
IF(COUNTUNIQUE(FILTER($V$2:$V$934,$A$2:$A$934=A731))&gt;1,
""Conflicting Duplicate"",
""Exact Duplicate""))"),"Exact Duplicate")</f>
        <v>Exact Duplicate</v>
      </c>
      <c r="X737" s="10" t="b">
        <f t="shared" ca="1" si="1"/>
        <v>1</v>
      </c>
      <c r="Y737" s="10" t="str">
        <f t="shared" si="2"/>
        <v>Unique</v>
      </c>
      <c r="Z737" s="10"/>
      <c r="AA737" s="10" t="str">
        <f t="shared" si="3"/>
        <v>Clean</v>
      </c>
      <c r="AB737" s="15" t="str">
        <f t="shared" si="4"/>
        <v>Valid</v>
      </c>
      <c r="AC737" s="15">
        <v>8</v>
      </c>
      <c r="AD737" s="16" t="str">
        <f t="shared" si="5"/>
        <v>Valid</v>
      </c>
      <c r="AE737" s="16" t="str">
        <f t="shared" si="6"/>
        <v>Valid</v>
      </c>
      <c r="AF737" s="16" t="str">
        <f t="shared" ref="AF737:AG737" si="1485">IF(ISNUMBER(B737),"Valid","Invalid")</f>
        <v>Valid</v>
      </c>
      <c r="AG737" s="16" t="str">
        <f t="shared" si="1485"/>
        <v>Valid</v>
      </c>
      <c r="AH737" s="16" t="str">
        <f t="shared" ref="AH737:AI737" si="1486">IF(OR(B737="",ISBLANK(B737)),"Missing","Valid")</f>
        <v>Valid</v>
      </c>
      <c r="AI737" s="16" t="str">
        <f t="shared" si="1486"/>
        <v>Valid</v>
      </c>
      <c r="AJ737" s="16" t="b">
        <v>0</v>
      </c>
      <c r="AK737" s="16" t="b">
        <v>0</v>
      </c>
      <c r="AL737" s="16" t="b">
        <v>0</v>
      </c>
      <c r="AM737" s="16" t="b">
        <v>0</v>
      </c>
      <c r="AN737" s="16" t="b">
        <v>0</v>
      </c>
      <c r="AO737" s="16" t="b">
        <v>0</v>
      </c>
      <c r="AP737" s="16" t="b">
        <v>0</v>
      </c>
      <c r="AQ737" s="17">
        <f t="shared" si="9"/>
        <v>0.2</v>
      </c>
      <c r="AR737" s="12">
        <f t="shared" si="10"/>
        <v>7275.7920000000004</v>
      </c>
      <c r="AS737" s="18">
        <f t="shared" si="11"/>
        <v>-2.0000000004074536E-3</v>
      </c>
      <c r="AT737" s="12">
        <f t="shared" si="12"/>
        <v>1122.9220000000005</v>
      </c>
      <c r="AU737" s="18">
        <f t="shared" si="13"/>
        <v>-2.0000000004074536E-3</v>
      </c>
      <c r="AV737" s="19">
        <f t="shared" si="14"/>
        <v>0.15433673749881804</v>
      </c>
      <c r="AW737" s="20" t="str">
        <f t="shared" si="15"/>
        <v>August</v>
      </c>
      <c r="AX737" s="21">
        <f t="shared" si="16"/>
        <v>2024</v>
      </c>
    </row>
    <row r="738" spans="1:50" ht="15.75" customHeight="1">
      <c r="A738" s="10" t="s">
        <v>2317</v>
      </c>
      <c r="B738" s="11">
        <v>45632</v>
      </c>
      <c r="C738" s="11">
        <v>45635</v>
      </c>
      <c r="D738" s="10" t="s">
        <v>2318</v>
      </c>
      <c r="E738" s="10" t="s">
        <v>118</v>
      </c>
      <c r="F738" s="10" t="s">
        <v>53</v>
      </c>
      <c r="G738" s="10" t="s">
        <v>92</v>
      </c>
      <c r="H738" s="10" t="s">
        <v>93</v>
      </c>
      <c r="I738" s="10" t="s">
        <v>94</v>
      </c>
      <c r="J738" s="10" t="s">
        <v>70</v>
      </c>
      <c r="K738" s="10" t="s">
        <v>95</v>
      </c>
      <c r="L738" s="10" t="s">
        <v>2319</v>
      </c>
      <c r="M738" s="10" t="s">
        <v>60</v>
      </c>
      <c r="N738" s="12">
        <v>9</v>
      </c>
      <c r="O738" s="12">
        <v>290.75</v>
      </c>
      <c r="P738" s="12">
        <v>0.1</v>
      </c>
      <c r="Q738" s="12">
        <v>2355.08</v>
      </c>
      <c r="R738" s="12">
        <v>1350.03</v>
      </c>
      <c r="S738" s="12">
        <v>1005.05</v>
      </c>
      <c r="T738" s="10" t="s">
        <v>61</v>
      </c>
      <c r="U738" s="13" t="s">
        <v>62</v>
      </c>
      <c r="V738" s="14" t="e">
        <f t="shared" ca="1" si="0"/>
        <v>#NAME?</v>
      </c>
      <c r="W738" s="10" t="str">
        <f ca="1">IFERROR(__xludf.DUMMYFUNCTION("IF(COUNTIF($A:$A,A732)=1,
""Unique"",
IF(COUNTUNIQUE(FILTER($V$2:$V$934,$A$2:$A$934=A732))&gt;1,
""Conflicting Duplicate"",
""Exact Duplicate""))"),"Unique")</f>
        <v>Unique</v>
      </c>
      <c r="X738" s="10" t="b">
        <f t="shared" ca="1" si="1"/>
        <v>1</v>
      </c>
      <c r="Y738" s="10" t="str">
        <f t="shared" si="2"/>
        <v>Unique</v>
      </c>
      <c r="Z738" s="10"/>
      <c r="AA738" s="10" t="str">
        <f t="shared" si="3"/>
        <v>Clean</v>
      </c>
      <c r="AB738" s="15" t="str">
        <f t="shared" si="4"/>
        <v>Valid</v>
      </c>
      <c r="AC738" s="15">
        <v>3</v>
      </c>
      <c r="AD738" s="16" t="str">
        <f t="shared" si="5"/>
        <v>Valid</v>
      </c>
      <c r="AE738" s="16" t="str">
        <f t="shared" si="6"/>
        <v>Valid</v>
      </c>
      <c r="AF738" s="16" t="str">
        <f t="shared" ref="AF738:AG738" si="1487">IF(ISNUMBER(B738),"Valid","Invalid")</f>
        <v>Valid</v>
      </c>
      <c r="AG738" s="16" t="str">
        <f t="shared" si="1487"/>
        <v>Valid</v>
      </c>
      <c r="AH738" s="16" t="str">
        <f t="shared" ref="AH738:AI738" si="1488">IF(OR(B738="",ISBLANK(B738)),"Missing","Valid")</f>
        <v>Valid</v>
      </c>
      <c r="AI738" s="16" t="str">
        <f t="shared" si="1488"/>
        <v>Valid</v>
      </c>
      <c r="AJ738" s="16" t="b">
        <v>0</v>
      </c>
      <c r="AK738" s="16" t="b">
        <v>0</v>
      </c>
      <c r="AL738" s="16" t="b">
        <v>0</v>
      </c>
      <c r="AM738" s="16" t="b">
        <v>0</v>
      </c>
      <c r="AN738" s="16" t="b">
        <v>0</v>
      </c>
      <c r="AO738" s="16" t="b">
        <v>0</v>
      </c>
      <c r="AP738" s="16" t="b">
        <v>0</v>
      </c>
      <c r="AQ738" s="17">
        <f t="shared" si="9"/>
        <v>0.1</v>
      </c>
      <c r="AR738" s="12">
        <f t="shared" si="10"/>
        <v>2355.0750000000003</v>
      </c>
      <c r="AS738" s="18">
        <f t="shared" si="11"/>
        <v>4.999999999654392E-3</v>
      </c>
      <c r="AT738" s="12">
        <f t="shared" si="12"/>
        <v>1005.0450000000003</v>
      </c>
      <c r="AU738" s="18">
        <f t="shared" si="13"/>
        <v>4.999999999654392E-3</v>
      </c>
      <c r="AV738" s="19">
        <f t="shared" si="14"/>
        <v>0.42675710964618968</v>
      </c>
      <c r="AW738" s="20" t="str">
        <f t="shared" si="15"/>
        <v>December</v>
      </c>
      <c r="AX738" s="21">
        <f t="shared" si="16"/>
        <v>2024</v>
      </c>
    </row>
    <row r="739" spans="1:50" ht="15.75" customHeight="1">
      <c r="A739" s="10" t="s">
        <v>2320</v>
      </c>
      <c r="B739" s="11">
        <v>45332</v>
      </c>
      <c r="C739" s="11">
        <v>45332</v>
      </c>
      <c r="D739" s="10" t="s">
        <v>2321</v>
      </c>
      <c r="E739" s="10" t="s">
        <v>76</v>
      </c>
      <c r="F739" s="10" t="s">
        <v>124</v>
      </c>
      <c r="G739" s="10" t="s">
        <v>92</v>
      </c>
      <c r="H739" s="10" t="s">
        <v>93</v>
      </c>
      <c r="I739" s="10" t="s">
        <v>94</v>
      </c>
      <c r="J739" s="10" t="s">
        <v>70</v>
      </c>
      <c r="K739" s="10" t="s">
        <v>95</v>
      </c>
      <c r="L739" s="10" t="s">
        <v>2322</v>
      </c>
      <c r="M739" s="10" t="s">
        <v>73</v>
      </c>
      <c r="N739" s="12">
        <v>6</v>
      </c>
      <c r="O739" s="12">
        <v>601.52</v>
      </c>
      <c r="P739" s="12">
        <v>0</v>
      </c>
      <c r="Q739" s="12">
        <v>3609.12</v>
      </c>
      <c r="R739" s="12">
        <v>2645.5</v>
      </c>
      <c r="S739" s="12">
        <v>963.62</v>
      </c>
      <c r="T739" s="10" t="s">
        <v>61</v>
      </c>
      <c r="U739" s="13" t="s">
        <v>62</v>
      </c>
      <c r="V739" s="14" t="e">
        <f t="shared" ca="1" si="0"/>
        <v>#NAME?</v>
      </c>
      <c r="W739" s="10" t="str">
        <f ca="1">IFERROR(__xludf.DUMMYFUNCTION("IF(COUNTIF($A:$A,A733)=1,
""Unique"",
IF(COUNTUNIQUE(FILTER($V$2:$V$934,$A$2:$A$934=A733))&gt;1,
""Conflicting Duplicate"",
""Exact Duplicate""))"),"Unique")</f>
        <v>Unique</v>
      </c>
      <c r="X739" s="10" t="b">
        <f t="shared" ca="1" si="1"/>
        <v>1</v>
      </c>
      <c r="Y739" s="10" t="str">
        <f t="shared" si="2"/>
        <v>Unique</v>
      </c>
      <c r="Z739" s="10"/>
      <c r="AA739" s="10" t="str">
        <f t="shared" si="3"/>
        <v>Clean</v>
      </c>
      <c r="AB739" s="15" t="str">
        <f t="shared" si="4"/>
        <v>Valid</v>
      </c>
      <c r="AC739" s="15">
        <v>0</v>
      </c>
      <c r="AD739" s="16" t="str">
        <f t="shared" si="5"/>
        <v>Valid</v>
      </c>
      <c r="AE739" s="16" t="str">
        <f t="shared" si="6"/>
        <v>Valid</v>
      </c>
      <c r="AF739" s="16" t="str">
        <f t="shared" ref="AF739:AG739" si="1489">IF(ISNUMBER(B739),"Valid","Invalid")</f>
        <v>Valid</v>
      </c>
      <c r="AG739" s="16" t="str">
        <f t="shared" si="1489"/>
        <v>Valid</v>
      </c>
      <c r="AH739" s="16" t="str">
        <f t="shared" ref="AH739:AI739" si="1490">IF(OR(B739="",ISBLANK(B739)),"Missing","Valid")</f>
        <v>Valid</v>
      </c>
      <c r="AI739" s="16" t="str">
        <f t="shared" si="1490"/>
        <v>Valid</v>
      </c>
      <c r="AJ739" s="16" t="b">
        <v>0</v>
      </c>
      <c r="AK739" s="16" t="b">
        <v>0</v>
      </c>
      <c r="AL739" s="16" t="b">
        <v>0</v>
      </c>
      <c r="AM739" s="16" t="b">
        <v>0</v>
      </c>
      <c r="AN739" s="16" t="b">
        <v>0</v>
      </c>
      <c r="AO739" s="16" t="b">
        <v>0</v>
      </c>
      <c r="AP739" s="16" t="b">
        <v>0</v>
      </c>
      <c r="AQ739" s="17">
        <f t="shared" si="9"/>
        <v>0</v>
      </c>
      <c r="AR739" s="12">
        <f t="shared" si="10"/>
        <v>3609.12</v>
      </c>
      <c r="AS739" s="18">
        <f t="shared" si="11"/>
        <v>0</v>
      </c>
      <c r="AT739" s="12">
        <f t="shared" si="12"/>
        <v>963.61999999999989</v>
      </c>
      <c r="AU739" s="18">
        <f t="shared" si="13"/>
        <v>0</v>
      </c>
      <c r="AV739" s="19">
        <f t="shared" si="14"/>
        <v>0.2669958327791816</v>
      </c>
      <c r="AW739" s="20" t="str">
        <f t="shared" si="15"/>
        <v>February</v>
      </c>
      <c r="AX739" s="21">
        <f t="shared" si="16"/>
        <v>2024</v>
      </c>
    </row>
    <row r="740" spans="1:50" ht="15.75" customHeight="1">
      <c r="A740" s="10" t="s">
        <v>2323</v>
      </c>
      <c r="B740" s="11">
        <v>45708</v>
      </c>
      <c r="C740" s="11">
        <v>45710</v>
      </c>
      <c r="D740" s="10" t="s">
        <v>2324</v>
      </c>
      <c r="E740" s="10" t="s">
        <v>143</v>
      </c>
      <c r="F740" s="10" t="s">
        <v>119</v>
      </c>
      <c r="G740" s="10" t="s">
        <v>83</v>
      </c>
      <c r="H740" s="10" t="s">
        <v>214</v>
      </c>
      <c r="I740" s="10" t="s">
        <v>215</v>
      </c>
      <c r="J740" s="10" t="s">
        <v>57</v>
      </c>
      <c r="K740" s="10" t="s">
        <v>58</v>
      </c>
      <c r="L740" s="10" t="s">
        <v>2325</v>
      </c>
      <c r="M740" s="10" t="s">
        <v>79</v>
      </c>
      <c r="N740" s="12">
        <v>1</v>
      </c>
      <c r="O740" s="12">
        <v>2188.19</v>
      </c>
      <c r="P740" s="12">
        <v>0</v>
      </c>
      <c r="Q740" s="12">
        <v>2188.19</v>
      </c>
      <c r="R740" s="12">
        <v>1298.8399999999999</v>
      </c>
      <c r="S740" s="12">
        <v>889.35</v>
      </c>
      <c r="T740" s="10" t="s">
        <v>61</v>
      </c>
      <c r="U740" s="13" t="s">
        <v>62</v>
      </c>
      <c r="V740" s="14" t="e">
        <f t="shared" ca="1" si="0"/>
        <v>#NAME?</v>
      </c>
      <c r="W740" s="10" t="str">
        <f ca="1">IFERROR(__xludf.DUMMYFUNCTION("IF(COUNTIF($A:$A,A734)=1,
""Unique"",
IF(COUNTUNIQUE(FILTER($V$2:$V$934,$A$2:$A$934=A734))&gt;1,
""Conflicting Duplicate"",
""Exact Duplicate""))"),"Unique")</f>
        <v>Unique</v>
      </c>
      <c r="X740" s="10" t="b">
        <f t="shared" ca="1" si="1"/>
        <v>1</v>
      </c>
      <c r="Y740" s="10" t="str">
        <f t="shared" si="2"/>
        <v>Unique</v>
      </c>
      <c r="Z740" s="10"/>
      <c r="AA740" s="10" t="str">
        <f t="shared" si="3"/>
        <v>Clean</v>
      </c>
      <c r="AB740" s="15" t="str">
        <f t="shared" si="4"/>
        <v>Valid</v>
      </c>
      <c r="AC740" s="15">
        <v>2</v>
      </c>
      <c r="AD740" s="16" t="str">
        <f t="shared" si="5"/>
        <v>Valid</v>
      </c>
      <c r="AE740" s="16" t="str">
        <f t="shared" si="6"/>
        <v>Valid</v>
      </c>
      <c r="AF740" s="16" t="str">
        <f t="shared" ref="AF740:AG740" si="1491">IF(ISNUMBER(B740),"Valid","Invalid")</f>
        <v>Valid</v>
      </c>
      <c r="AG740" s="16" t="str">
        <f t="shared" si="1491"/>
        <v>Valid</v>
      </c>
      <c r="AH740" s="16" t="str">
        <f t="shared" ref="AH740:AI740" si="1492">IF(OR(B740="",ISBLANK(B740)),"Missing","Valid")</f>
        <v>Valid</v>
      </c>
      <c r="AI740" s="16" t="str">
        <f t="shared" si="1492"/>
        <v>Valid</v>
      </c>
      <c r="AJ740" s="16" t="b">
        <v>0</v>
      </c>
      <c r="AK740" s="16" t="b">
        <v>0</v>
      </c>
      <c r="AL740" s="16" t="b">
        <v>0</v>
      </c>
      <c r="AM740" s="16" t="b">
        <v>0</v>
      </c>
      <c r="AN740" s="16" t="b">
        <v>0</v>
      </c>
      <c r="AO740" s="16" t="b">
        <v>0</v>
      </c>
      <c r="AP740" s="16" t="b">
        <v>0</v>
      </c>
      <c r="AQ740" s="17">
        <f t="shared" si="9"/>
        <v>0</v>
      </c>
      <c r="AR740" s="12">
        <f t="shared" si="10"/>
        <v>2188.19</v>
      </c>
      <c r="AS740" s="18">
        <f t="shared" si="11"/>
        <v>0</v>
      </c>
      <c r="AT740" s="12">
        <f t="shared" si="12"/>
        <v>889.35000000000014</v>
      </c>
      <c r="AU740" s="18">
        <f t="shared" si="13"/>
        <v>0</v>
      </c>
      <c r="AV740" s="19">
        <f t="shared" si="14"/>
        <v>0.40643179979800664</v>
      </c>
      <c r="AW740" s="20" t="str">
        <f t="shared" si="15"/>
        <v>February</v>
      </c>
      <c r="AX740" s="21">
        <f t="shared" si="16"/>
        <v>2025</v>
      </c>
    </row>
    <row r="741" spans="1:50" ht="15.75" customHeight="1">
      <c r="A741" s="10" t="s">
        <v>2326</v>
      </c>
      <c r="B741" s="11">
        <v>45629</v>
      </c>
      <c r="C741" s="11">
        <v>45636</v>
      </c>
      <c r="D741" s="10" t="s">
        <v>2327</v>
      </c>
      <c r="E741" s="10" t="s">
        <v>108</v>
      </c>
      <c r="F741" s="10" t="s">
        <v>119</v>
      </c>
      <c r="G741" s="10" t="s">
        <v>54</v>
      </c>
      <c r="H741" s="10" t="s">
        <v>55</v>
      </c>
      <c r="I741" s="10" t="s">
        <v>56</v>
      </c>
      <c r="J741" s="10" t="s">
        <v>103</v>
      </c>
      <c r="K741" s="10" t="s">
        <v>200</v>
      </c>
      <c r="L741" s="10" t="s">
        <v>2328</v>
      </c>
      <c r="M741" s="10" t="s">
        <v>88</v>
      </c>
      <c r="N741" s="12">
        <v>5</v>
      </c>
      <c r="O741" s="12">
        <v>2393.86</v>
      </c>
      <c r="P741" s="12">
        <v>0.05</v>
      </c>
      <c r="Q741" s="12">
        <v>11370.84</v>
      </c>
      <c r="R741" s="12">
        <v>7469.58</v>
      </c>
      <c r="S741" s="12">
        <v>3901.26</v>
      </c>
      <c r="T741" s="10" t="s">
        <v>61</v>
      </c>
      <c r="U741" s="13" t="s">
        <v>62</v>
      </c>
      <c r="V741" s="14" t="e">
        <f t="shared" ca="1" si="0"/>
        <v>#NAME?</v>
      </c>
      <c r="W741" s="10" t="str">
        <f ca="1">IFERROR(__xludf.DUMMYFUNCTION("IF(COUNTIF($A:$A,A735)=1,
""Unique"",
IF(COUNTUNIQUE(FILTER($V$2:$V$934,$A$2:$A$934=A735))&gt;1,
""Conflicting Duplicate"",
""Exact Duplicate""))"),"Unique")</f>
        <v>Unique</v>
      </c>
      <c r="X741" s="10" t="b">
        <f t="shared" ca="1" si="1"/>
        <v>1</v>
      </c>
      <c r="Y741" s="10" t="str">
        <f t="shared" si="2"/>
        <v>Unique</v>
      </c>
      <c r="Z741" s="10"/>
      <c r="AA741" s="10" t="str">
        <f t="shared" si="3"/>
        <v>Clean</v>
      </c>
      <c r="AB741" s="15" t="str">
        <f t="shared" si="4"/>
        <v>Valid</v>
      </c>
      <c r="AC741" s="15">
        <v>7</v>
      </c>
      <c r="AD741" s="16" t="str">
        <f t="shared" si="5"/>
        <v>Valid</v>
      </c>
      <c r="AE741" s="16" t="str">
        <f t="shared" si="6"/>
        <v>Valid</v>
      </c>
      <c r="AF741" s="16" t="str">
        <f t="shared" ref="AF741:AG741" si="1493">IF(ISNUMBER(B741),"Valid","Invalid")</f>
        <v>Valid</v>
      </c>
      <c r="AG741" s="16" t="str">
        <f t="shared" si="1493"/>
        <v>Valid</v>
      </c>
      <c r="AH741" s="16" t="str">
        <f t="shared" ref="AH741:AI741" si="1494">IF(OR(B741="",ISBLANK(B741)),"Missing","Valid")</f>
        <v>Valid</v>
      </c>
      <c r="AI741" s="16" t="str">
        <f t="shared" si="1494"/>
        <v>Valid</v>
      </c>
      <c r="AJ741" s="16" t="b">
        <v>0</v>
      </c>
      <c r="AK741" s="16" t="b">
        <v>0</v>
      </c>
      <c r="AL741" s="16" t="b">
        <v>0</v>
      </c>
      <c r="AM741" s="16" t="b">
        <v>0</v>
      </c>
      <c r="AN741" s="16" t="b">
        <v>0</v>
      </c>
      <c r="AO741" s="16" t="b">
        <v>0</v>
      </c>
      <c r="AP741" s="16" t="b">
        <v>0</v>
      </c>
      <c r="AQ741" s="17">
        <f t="shared" si="9"/>
        <v>0.05</v>
      </c>
      <c r="AR741" s="12">
        <f t="shared" si="10"/>
        <v>11370.835000000001</v>
      </c>
      <c r="AS741" s="18">
        <f t="shared" si="11"/>
        <v>4.9999999991996447E-3</v>
      </c>
      <c r="AT741" s="12">
        <f t="shared" si="12"/>
        <v>3901.255000000001</v>
      </c>
      <c r="AU741" s="18">
        <f t="shared" si="13"/>
        <v>4.9999999991996447E-3</v>
      </c>
      <c r="AV741" s="19">
        <f t="shared" si="14"/>
        <v>0.34309309738466881</v>
      </c>
      <c r="AW741" s="20" t="str">
        <f t="shared" si="15"/>
        <v>December</v>
      </c>
      <c r="AX741" s="21">
        <f t="shared" si="16"/>
        <v>2024</v>
      </c>
    </row>
    <row r="742" spans="1:50" ht="15.75" customHeight="1">
      <c r="A742" s="10" t="s">
        <v>2329</v>
      </c>
      <c r="B742" s="11">
        <v>45384</v>
      </c>
      <c r="C742" s="11">
        <v>45384</v>
      </c>
      <c r="D742" s="10" t="s">
        <v>552</v>
      </c>
      <c r="E742" s="10" t="s">
        <v>161</v>
      </c>
      <c r="F742" s="10" t="s">
        <v>66</v>
      </c>
      <c r="G742" s="10" t="s">
        <v>92</v>
      </c>
      <c r="H742" s="10" t="s">
        <v>93</v>
      </c>
      <c r="I742" s="10" t="s">
        <v>94</v>
      </c>
      <c r="J742" s="10" t="s">
        <v>70</v>
      </c>
      <c r="K742" s="10" t="s">
        <v>95</v>
      </c>
      <c r="L742" s="10" t="s">
        <v>2330</v>
      </c>
      <c r="M742" s="10" t="s">
        <v>79</v>
      </c>
      <c r="N742" s="12">
        <v>4</v>
      </c>
      <c r="O742" s="12">
        <v>2583</v>
      </c>
      <c r="P742" s="12">
        <v>0.1</v>
      </c>
      <c r="Q742" s="12">
        <v>9298.7999999999993</v>
      </c>
      <c r="R742" s="12">
        <v>6548.5</v>
      </c>
      <c r="S742" s="12">
        <v>2750.3</v>
      </c>
      <c r="T742" s="10" t="s">
        <v>61</v>
      </c>
      <c r="U742" s="13" t="s">
        <v>62</v>
      </c>
      <c r="V742" s="14" t="e">
        <f t="shared" ca="1" si="0"/>
        <v>#NAME?</v>
      </c>
      <c r="W742" s="10" t="str">
        <f ca="1">IFERROR(__xludf.DUMMYFUNCTION("IF(COUNTIF($A:$A,A736)=1,
""Unique"",
IF(COUNTUNIQUE(FILTER($V$2:$V$934,$A$2:$A$934=A736))&gt;1,
""Conflicting Duplicate"",
""Exact Duplicate""))"),"Unique")</f>
        <v>Unique</v>
      </c>
      <c r="X742" s="10" t="b">
        <f t="shared" ca="1" si="1"/>
        <v>1</v>
      </c>
      <c r="Y742" s="10" t="str">
        <f t="shared" si="2"/>
        <v>Unique</v>
      </c>
      <c r="Z742" s="10"/>
      <c r="AA742" s="10" t="str">
        <f t="shared" si="3"/>
        <v>Clean</v>
      </c>
      <c r="AB742" s="15" t="str">
        <f t="shared" si="4"/>
        <v>Valid</v>
      </c>
      <c r="AC742" s="15">
        <v>0</v>
      </c>
      <c r="AD742" s="16" t="str">
        <f t="shared" si="5"/>
        <v>Valid</v>
      </c>
      <c r="AE742" s="16" t="str">
        <f t="shared" si="6"/>
        <v>Valid</v>
      </c>
      <c r="AF742" s="16" t="str">
        <f t="shared" ref="AF742:AG742" si="1495">IF(ISNUMBER(B742),"Valid","Invalid")</f>
        <v>Valid</v>
      </c>
      <c r="AG742" s="16" t="str">
        <f t="shared" si="1495"/>
        <v>Valid</v>
      </c>
      <c r="AH742" s="16" t="str">
        <f t="shared" ref="AH742:AI742" si="1496">IF(OR(B742="",ISBLANK(B742)),"Missing","Valid")</f>
        <v>Valid</v>
      </c>
      <c r="AI742" s="16" t="str">
        <f t="shared" si="1496"/>
        <v>Valid</v>
      </c>
      <c r="AJ742" s="16" t="b">
        <v>0</v>
      </c>
      <c r="AK742" s="16" t="b">
        <v>0</v>
      </c>
      <c r="AL742" s="16" t="b">
        <v>0</v>
      </c>
      <c r="AM742" s="16" t="b">
        <v>0</v>
      </c>
      <c r="AN742" s="16" t="b">
        <v>0</v>
      </c>
      <c r="AO742" s="16" t="b">
        <v>0</v>
      </c>
      <c r="AP742" s="16" t="b">
        <v>0</v>
      </c>
      <c r="AQ742" s="17">
        <f t="shared" si="9"/>
        <v>0.1</v>
      </c>
      <c r="AR742" s="12">
        <f t="shared" si="10"/>
        <v>9298.8000000000011</v>
      </c>
      <c r="AS742" s="18">
        <f t="shared" si="11"/>
        <v>0</v>
      </c>
      <c r="AT742" s="12">
        <f t="shared" si="12"/>
        <v>2750.3000000000011</v>
      </c>
      <c r="AU742" s="18">
        <f t="shared" si="13"/>
        <v>0</v>
      </c>
      <c r="AV742" s="19">
        <f t="shared" si="14"/>
        <v>0.29576934658235482</v>
      </c>
      <c r="AW742" s="20" t="str">
        <f t="shared" si="15"/>
        <v>April</v>
      </c>
      <c r="AX742" s="21">
        <f t="shared" si="16"/>
        <v>2024</v>
      </c>
    </row>
    <row r="743" spans="1:50" ht="15.75" customHeight="1">
      <c r="A743" s="10" t="s">
        <v>2331</v>
      </c>
      <c r="B743" s="11">
        <v>45770</v>
      </c>
      <c r="C743" s="11">
        <v>45772</v>
      </c>
      <c r="D743" s="10" t="s">
        <v>2332</v>
      </c>
      <c r="E743" s="10" t="s">
        <v>76</v>
      </c>
      <c r="F743" s="10" t="s">
        <v>124</v>
      </c>
      <c r="G743" s="10" t="s">
        <v>83</v>
      </c>
      <c r="H743" s="10" t="s">
        <v>277</v>
      </c>
      <c r="I743" s="10" t="s">
        <v>278</v>
      </c>
      <c r="J743" s="10" t="s">
        <v>70</v>
      </c>
      <c r="K743" s="10" t="s">
        <v>95</v>
      </c>
      <c r="L743" s="10" t="s">
        <v>2333</v>
      </c>
      <c r="M743" s="10" t="s">
        <v>60</v>
      </c>
      <c r="N743" s="12">
        <v>3</v>
      </c>
      <c r="O743" s="12">
        <v>2951.12</v>
      </c>
      <c r="P743" s="12">
        <v>0</v>
      </c>
      <c r="Q743" s="12">
        <v>7082.69</v>
      </c>
      <c r="R743" s="12">
        <v>5596.34</v>
      </c>
      <c r="S743" s="12">
        <v>1486.35</v>
      </c>
      <c r="T743" s="10" t="s">
        <v>61</v>
      </c>
      <c r="U743" s="13" t="s">
        <v>97</v>
      </c>
      <c r="V743" s="14" t="e">
        <f t="shared" ca="1" si="0"/>
        <v>#NAME?</v>
      </c>
      <c r="W743" s="10" t="str">
        <f ca="1">IFERROR(__xludf.DUMMYFUNCTION("IF(COUNTIF($A:$A,A737)=1,
""Unique"",
IF(COUNTUNIQUE(FILTER($V$2:$V$934,$A$2:$A$934=A737))&gt;1,
""Conflicting Duplicate"",
""Exact Duplicate""))"),"Unique")</f>
        <v>Unique</v>
      </c>
      <c r="X743" s="10" t="b">
        <f t="shared" ca="1" si="1"/>
        <v>1</v>
      </c>
      <c r="Y743" s="10" t="str">
        <f t="shared" si="2"/>
        <v>Unique</v>
      </c>
      <c r="Z743" s="10"/>
      <c r="AA743" s="10" t="str">
        <f t="shared" si="3"/>
        <v>Clean</v>
      </c>
      <c r="AB743" s="15" t="str">
        <f t="shared" si="4"/>
        <v>Valid</v>
      </c>
      <c r="AC743" s="15">
        <v>2</v>
      </c>
      <c r="AD743" s="16" t="str">
        <f t="shared" si="5"/>
        <v>Valid</v>
      </c>
      <c r="AE743" s="16" t="str">
        <f t="shared" si="6"/>
        <v>Valid</v>
      </c>
      <c r="AF743" s="16" t="str">
        <f t="shared" ref="AF743:AG743" si="1497">IF(ISNUMBER(B743),"Valid","Invalid")</f>
        <v>Valid</v>
      </c>
      <c r="AG743" s="16" t="str">
        <f t="shared" si="1497"/>
        <v>Valid</v>
      </c>
      <c r="AH743" s="16" t="str">
        <f t="shared" ref="AH743:AI743" si="1498">IF(OR(B743="",ISBLANK(B743)),"Missing","Valid")</f>
        <v>Valid</v>
      </c>
      <c r="AI743" s="16" t="str">
        <f t="shared" si="1498"/>
        <v>Valid</v>
      </c>
      <c r="AJ743" s="16" t="b">
        <v>0</v>
      </c>
      <c r="AK743" s="16" t="b">
        <v>0</v>
      </c>
      <c r="AL743" s="16" t="b">
        <v>1</v>
      </c>
      <c r="AM743" s="16" t="b">
        <v>0</v>
      </c>
      <c r="AN743" s="16" t="b">
        <v>0</v>
      </c>
      <c r="AO743" s="16" t="b">
        <v>0</v>
      </c>
      <c r="AP743" s="16" t="b">
        <v>1</v>
      </c>
      <c r="AQ743" s="17">
        <f t="shared" si="9"/>
        <v>0</v>
      </c>
      <c r="AR743" s="12">
        <f t="shared" si="10"/>
        <v>8853.36</v>
      </c>
      <c r="AS743" s="18">
        <f t="shared" si="11"/>
        <v>-1770.670000000001</v>
      </c>
      <c r="AT743" s="12">
        <f t="shared" si="12"/>
        <v>3257.0200000000004</v>
      </c>
      <c r="AU743" s="18">
        <f t="shared" si="13"/>
        <v>-1770.6700000000005</v>
      </c>
      <c r="AV743" s="19">
        <f t="shared" si="14"/>
        <v>0.36788518709280998</v>
      </c>
      <c r="AW743" s="20" t="str">
        <f t="shared" si="15"/>
        <v>April</v>
      </c>
      <c r="AX743" s="21">
        <f t="shared" si="16"/>
        <v>2025</v>
      </c>
    </row>
    <row r="744" spans="1:50" ht="15.75" customHeight="1">
      <c r="A744" s="10" t="s">
        <v>2334</v>
      </c>
      <c r="B744" s="11">
        <v>45580</v>
      </c>
      <c r="C744" s="11">
        <v>45587</v>
      </c>
      <c r="D744" s="10" t="s">
        <v>2335</v>
      </c>
      <c r="E744" s="10" t="s">
        <v>52</v>
      </c>
      <c r="F744" s="10" t="s">
        <v>119</v>
      </c>
      <c r="G744" s="10" t="s">
        <v>67</v>
      </c>
      <c r="H744" s="10" t="s">
        <v>68</v>
      </c>
      <c r="I744" s="10" t="s">
        <v>69</v>
      </c>
      <c r="J744" s="10" t="s">
        <v>57</v>
      </c>
      <c r="K744" s="10" t="s">
        <v>58</v>
      </c>
      <c r="L744" s="10" t="s">
        <v>2336</v>
      </c>
      <c r="M744" s="10" t="s">
        <v>88</v>
      </c>
      <c r="N744" s="12">
        <v>4</v>
      </c>
      <c r="O744" s="12">
        <v>2260.9499999999998</v>
      </c>
      <c r="P744" s="12">
        <v>0</v>
      </c>
      <c r="Q744" s="12">
        <v>9043.7999999999993</v>
      </c>
      <c r="R744" s="12">
        <v>5913.38</v>
      </c>
      <c r="S744" s="12">
        <v>3130.42</v>
      </c>
      <c r="T744" s="10" t="s">
        <v>61</v>
      </c>
      <c r="U744" s="13" t="s">
        <v>62</v>
      </c>
      <c r="V744" s="14" t="e">
        <f t="shared" ca="1" si="0"/>
        <v>#NAME?</v>
      </c>
      <c r="W744" s="10" t="str">
        <f ca="1">IFERROR(__xludf.DUMMYFUNCTION("IF(COUNTIF($A:$A,A738)=1,
""Unique"",
IF(COUNTUNIQUE(FILTER($V$2:$V$934,$A$2:$A$934=A738))&gt;1,
""Conflicting Duplicate"",
""Exact Duplicate""))"),"Unique")</f>
        <v>Unique</v>
      </c>
      <c r="X744" s="10" t="b">
        <f t="shared" ca="1" si="1"/>
        <v>1</v>
      </c>
      <c r="Y744" s="10" t="str">
        <f t="shared" si="2"/>
        <v>Unique</v>
      </c>
      <c r="Z744" s="10"/>
      <c r="AA744" s="10" t="str">
        <f t="shared" si="3"/>
        <v>Clean</v>
      </c>
      <c r="AB744" s="15" t="str">
        <f t="shared" si="4"/>
        <v>Valid</v>
      </c>
      <c r="AC744" s="15">
        <v>7</v>
      </c>
      <c r="AD744" s="16" t="str">
        <f t="shared" si="5"/>
        <v>Valid</v>
      </c>
      <c r="AE744" s="16" t="str">
        <f t="shared" si="6"/>
        <v>Valid</v>
      </c>
      <c r="AF744" s="16" t="str">
        <f t="shared" ref="AF744:AG744" si="1499">IF(ISNUMBER(B744),"Valid","Invalid")</f>
        <v>Valid</v>
      </c>
      <c r="AG744" s="16" t="str">
        <f t="shared" si="1499"/>
        <v>Valid</v>
      </c>
      <c r="AH744" s="16" t="str">
        <f t="shared" ref="AH744:AI744" si="1500">IF(OR(B744="",ISBLANK(B744)),"Missing","Valid")</f>
        <v>Valid</v>
      </c>
      <c r="AI744" s="16" t="str">
        <f t="shared" si="1500"/>
        <v>Valid</v>
      </c>
      <c r="AJ744" s="16" t="b">
        <v>0</v>
      </c>
      <c r="AK744" s="16" t="b">
        <v>0</v>
      </c>
      <c r="AL744" s="16" t="b">
        <v>0</v>
      </c>
      <c r="AM744" s="16" t="b">
        <v>0</v>
      </c>
      <c r="AN744" s="16" t="b">
        <v>0</v>
      </c>
      <c r="AO744" s="16" t="b">
        <v>0</v>
      </c>
      <c r="AP744" s="16" t="b">
        <v>0</v>
      </c>
      <c r="AQ744" s="17">
        <f t="shared" si="9"/>
        <v>0</v>
      </c>
      <c r="AR744" s="12">
        <f t="shared" si="10"/>
        <v>9043.7999999999993</v>
      </c>
      <c r="AS744" s="18">
        <f t="shared" si="11"/>
        <v>0</v>
      </c>
      <c r="AT744" s="12">
        <f t="shared" si="12"/>
        <v>3130.4199999999992</v>
      </c>
      <c r="AU744" s="18">
        <f t="shared" si="13"/>
        <v>0</v>
      </c>
      <c r="AV744" s="19">
        <f t="shared" si="14"/>
        <v>0.34613989694597397</v>
      </c>
      <c r="AW744" s="20" t="str">
        <f t="shared" si="15"/>
        <v>October</v>
      </c>
      <c r="AX744" s="21">
        <f t="shared" si="16"/>
        <v>2024</v>
      </c>
    </row>
    <row r="745" spans="1:50" ht="15.75" customHeight="1">
      <c r="A745" s="10" t="s">
        <v>2337</v>
      </c>
      <c r="B745" s="11">
        <v>45700</v>
      </c>
      <c r="C745" s="11">
        <v>45702</v>
      </c>
      <c r="D745" s="10" t="s">
        <v>2338</v>
      </c>
      <c r="E745" s="10" t="s">
        <v>161</v>
      </c>
      <c r="F745" s="10" t="s">
        <v>53</v>
      </c>
      <c r="G745" s="10" t="s">
        <v>54</v>
      </c>
      <c r="H745" s="10" t="s">
        <v>165</v>
      </c>
      <c r="I745" s="10" t="s">
        <v>166</v>
      </c>
      <c r="J745" s="10" t="s">
        <v>57</v>
      </c>
      <c r="K745" s="10" t="s">
        <v>77</v>
      </c>
      <c r="L745" s="10" t="s">
        <v>2339</v>
      </c>
      <c r="M745" s="10" t="s">
        <v>88</v>
      </c>
      <c r="N745" s="12">
        <v>6</v>
      </c>
      <c r="O745" s="12">
        <v>491.4</v>
      </c>
      <c r="P745" s="12">
        <v>0.25</v>
      </c>
      <c r="Q745" s="12">
        <v>2211.3000000000002</v>
      </c>
      <c r="R745" s="12">
        <v>1735.64</v>
      </c>
      <c r="S745" s="12">
        <v>475.66</v>
      </c>
      <c r="T745" s="10" t="s">
        <v>61</v>
      </c>
      <c r="U745" s="13" t="s">
        <v>62</v>
      </c>
      <c r="V745" s="14" t="e">
        <f t="shared" ca="1" si="0"/>
        <v>#NAME?</v>
      </c>
      <c r="W745" s="10" t="str">
        <f ca="1">IFERROR(__xludf.DUMMYFUNCTION("IF(COUNTIF($A:$A,A739)=1,
""Unique"",
IF(COUNTUNIQUE(FILTER($V$2:$V$934,$A$2:$A$934=A739))&gt;1,
""Conflicting Duplicate"",
""Exact Duplicate""))"),"Unique")</f>
        <v>Unique</v>
      </c>
      <c r="X745" s="10" t="b">
        <f t="shared" ca="1" si="1"/>
        <v>1</v>
      </c>
      <c r="Y745" s="10" t="str">
        <f t="shared" si="2"/>
        <v>Unique</v>
      </c>
      <c r="Z745" s="10"/>
      <c r="AA745" s="10" t="str">
        <f t="shared" si="3"/>
        <v>Clean</v>
      </c>
      <c r="AB745" s="15" t="str">
        <f t="shared" si="4"/>
        <v>Valid</v>
      </c>
      <c r="AC745" s="15">
        <v>2</v>
      </c>
      <c r="AD745" s="16" t="str">
        <f t="shared" si="5"/>
        <v>Valid</v>
      </c>
      <c r="AE745" s="16" t="str">
        <f t="shared" si="6"/>
        <v>Valid</v>
      </c>
      <c r="AF745" s="16" t="str">
        <f t="shared" ref="AF745:AG745" si="1501">IF(ISNUMBER(B745),"Valid","Invalid")</f>
        <v>Valid</v>
      </c>
      <c r="AG745" s="16" t="str">
        <f t="shared" si="1501"/>
        <v>Valid</v>
      </c>
      <c r="AH745" s="16" t="str">
        <f t="shared" ref="AH745:AI745" si="1502">IF(OR(B745="",ISBLANK(B745)),"Missing","Valid")</f>
        <v>Valid</v>
      </c>
      <c r="AI745" s="16" t="str">
        <f t="shared" si="1502"/>
        <v>Valid</v>
      </c>
      <c r="AJ745" s="16" t="b">
        <v>0</v>
      </c>
      <c r="AK745" s="16" t="b">
        <v>0</v>
      </c>
      <c r="AL745" s="16" t="b">
        <v>0</v>
      </c>
      <c r="AM745" s="16" t="b">
        <v>0</v>
      </c>
      <c r="AN745" s="16" t="b">
        <v>0</v>
      </c>
      <c r="AO745" s="16" t="b">
        <v>0</v>
      </c>
      <c r="AP745" s="16" t="b">
        <v>0</v>
      </c>
      <c r="AQ745" s="17">
        <f t="shared" si="9"/>
        <v>0.25</v>
      </c>
      <c r="AR745" s="12">
        <f t="shared" si="10"/>
        <v>2211.2999999999997</v>
      </c>
      <c r="AS745" s="18">
        <f t="shared" si="11"/>
        <v>0</v>
      </c>
      <c r="AT745" s="12">
        <f t="shared" si="12"/>
        <v>475.65999999999963</v>
      </c>
      <c r="AU745" s="18">
        <f t="shared" si="13"/>
        <v>0</v>
      </c>
      <c r="AV745" s="19">
        <f t="shared" si="14"/>
        <v>0.21510423732645942</v>
      </c>
      <c r="AW745" s="20" t="str">
        <f t="shared" si="15"/>
        <v>February</v>
      </c>
      <c r="AX745" s="21">
        <f t="shared" si="16"/>
        <v>2025</v>
      </c>
    </row>
    <row r="746" spans="1:50" ht="15.75" customHeight="1">
      <c r="A746" s="10" t="s">
        <v>2340</v>
      </c>
      <c r="B746" s="11">
        <v>45886</v>
      </c>
      <c r="C746" s="11">
        <v>45889</v>
      </c>
      <c r="D746" s="10" t="s">
        <v>2341</v>
      </c>
      <c r="E746" s="10" t="s">
        <v>65</v>
      </c>
      <c r="F746" s="10" t="s">
        <v>124</v>
      </c>
      <c r="G746" s="10" t="s">
        <v>54</v>
      </c>
      <c r="H746" s="10" t="s">
        <v>151</v>
      </c>
      <c r="I746" s="10" t="s">
        <v>152</v>
      </c>
      <c r="J746" s="10" t="s">
        <v>57</v>
      </c>
      <c r="K746" s="10" t="s">
        <v>182</v>
      </c>
      <c r="L746" s="10" t="s">
        <v>2342</v>
      </c>
      <c r="M746" s="10" t="s">
        <v>79</v>
      </c>
      <c r="N746" s="12">
        <v>5</v>
      </c>
      <c r="O746" s="12">
        <v>2701.89</v>
      </c>
      <c r="P746" s="12">
        <v>0.1</v>
      </c>
      <c r="Q746" s="12">
        <v>12158.5</v>
      </c>
      <c r="R746" s="12">
        <v>10260.07</v>
      </c>
      <c r="S746" s="12">
        <v>1898.43</v>
      </c>
      <c r="T746" s="10" t="s">
        <v>61</v>
      </c>
      <c r="U746" s="13" t="s">
        <v>97</v>
      </c>
      <c r="V746" s="14" t="e">
        <f t="shared" ca="1" si="0"/>
        <v>#NAME?</v>
      </c>
      <c r="W746" s="10" t="str">
        <f ca="1">IFERROR(__xludf.DUMMYFUNCTION("IF(COUNTIF($A:$A,A740)=1,
""Unique"",
IF(COUNTUNIQUE(FILTER($V$2:$V$934,$A$2:$A$934=A740))&gt;1,
""Conflicting Duplicate"",
""Exact Duplicate""))"),"Unique")</f>
        <v>Unique</v>
      </c>
      <c r="X746" s="10" t="b">
        <f t="shared" ca="1" si="1"/>
        <v>1</v>
      </c>
      <c r="Y746" s="10" t="str">
        <f t="shared" si="2"/>
        <v>Unique</v>
      </c>
      <c r="Z746" s="10"/>
      <c r="AA746" s="10" t="str">
        <f t="shared" si="3"/>
        <v>Clean</v>
      </c>
      <c r="AB746" s="15" t="str">
        <f t="shared" si="4"/>
        <v>Valid</v>
      </c>
      <c r="AC746" s="15">
        <v>3</v>
      </c>
      <c r="AD746" s="16" t="str">
        <f t="shared" si="5"/>
        <v>Valid</v>
      </c>
      <c r="AE746" s="16" t="str">
        <f t="shared" si="6"/>
        <v>Valid</v>
      </c>
      <c r="AF746" s="16" t="str">
        <f t="shared" ref="AF746:AG746" si="1503">IF(ISNUMBER(B746),"Valid","Invalid")</f>
        <v>Valid</v>
      </c>
      <c r="AG746" s="16" t="str">
        <f t="shared" si="1503"/>
        <v>Valid</v>
      </c>
      <c r="AH746" s="16" t="str">
        <f t="shared" ref="AH746:AI746" si="1504">IF(OR(B746="",ISBLANK(B746)),"Missing","Valid")</f>
        <v>Valid</v>
      </c>
      <c r="AI746" s="16" t="str">
        <f t="shared" si="1504"/>
        <v>Valid</v>
      </c>
      <c r="AJ746" s="16" t="b">
        <v>0</v>
      </c>
      <c r="AK746" s="16" t="b">
        <v>0</v>
      </c>
      <c r="AL746" s="16" t="b">
        <v>0</v>
      </c>
      <c r="AM746" s="16" t="b">
        <v>0</v>
      </c>
      <c r="AN746" s="16" t="b">
        <v>0</v>
      </c>
      <c r="AO746" s="16" t="b">
        <v>0</v>
      </c>
      <c r="AP746" s="16" t="b">
        <v>0</v>
      </c>
      <c r="AQ746" s="17">
        <f t="shared" si="9"/>
        <v>0.1</v>
      </c>
      <c r="AR746" s="12">
        <f t="shared" si="10"/>
        <v>12158.504999999999</v>
      </c>
      <c r="AS746" s="18">
        <f t="shared" si="11"/>
        <v>-4.9999999991996447E-3</v>
      </c>
      <c r="AT746" s="12">
        <f t="shared" si="12"/>
        <v>1898.4349999999995</v>
      </c>
      <c r="AU746" s="18">
        <f t="shared" si="13"/>
        <v>-4.9999999994270183E-3</v>
      </c>
      <c r="AV746" s="19">
        <f t="shared" si="14"/>
        <v>0.15614049589155901</v>
      </c>
      <c r="AW746" s="20" t="str">
        <f t="shared" si="15"/>
        <v>August</v>
      </c>
      <c r="AX746" s="21">
        <f t="shared" si="16"/>
        <v>2025</v>
      </c>
    </row>
    <row r="747" spans="1:50" ht="15.75" customHeight="1">
      <c r="A747" s="10" t="s">
        <v>2343</v>
      </c>
      <c r="B747" s="11">
        <v>45589</v>
      </c>
      <c r="C747" s="11">
        <v>45593</v>
      </c>
      <c r="D747" s="10" t="s">
        <v>2344</v>
      </c>
      <c r="E747" s="10" t="s">
        <v>65</v>
      </c>
      <c r="F747" s="10" t="s">
        <v>66</v>
      </c>
      <c r="G747" s="10" t="s">
        <v>67</v>
      </c>
      <c r="H747" s="10" t="s">
        <v>195</v>
      </c>
      <c r="I747" s="10" t="s">
        <v>196</v>
      </c>
      <c r="J747" s="10" t="s">
        <v>103</v>
      </c>
      <c r="K747" s="10" t="s">
        <v>109</v>
      </c>
      <c r="L747" s="10" t="s">
        <v>2345</v>
      </c>
      <c r="M747" s="10" t="s">
        <v>88</v>
      </c>
      <c r="N747" s="12">
        <v>3</v>
      </c>
      <c r="O747" s="12">
        <v>723.59</v>
      </c>
      <c r="P747" s="12">
        <v>0.2</v>
      </c>
      <c r="Q747" s="12">
        <v>1736.62</v>
      </c>
      <c r="R747" s="12">
        <v>1059.52</v>
      </c>
      <c r="S747" s="12">
        <v>677.1</v>
      </c>
      <c r="T747" s="10" t="s">
        <v>61</v>
      </c>
      <c r="U747" s="13" t="s">
        <v>62</v>
      </c>
      <c r="V747" s="14" t="e">
        <f t="shared" ca="1" si="0"/>
        <v>#NAME?</v>
      </c>
      <c r="W747" s="10" t="str">
        <f ca="1">IFERROR(__xludf.DUMMYFUNCTION("IF(COUNTIF($A:$A,A741)=1,
""Unique"",
IF(COUNTUNIQUE(FILTER($V$2:$V$934,$A$2:$A$934=A741))&gt;1,
""Conflicting Duplicate"",
""Exact Duplicate""))"),"Unique")</f>
        <v>Unique</v>
      </c>
      <c r="X747" s="10" t="b">
        <f t="shared" ca="1" si="1"/>
        <v>1</v>
      </c>
      <c r="Y747" s="10" t="str">
        <f t="shared" si="2"/>
        <v>Unique</v>
      </c>
      <c r="Z747" s="10"/>
      <c r="AA747" s="10" t="str">
        <f t="shared" si="3"/>
        <v>Clean</v>
      </c>
      <c r="AB747" s="15" t="str">
        <f t="shared" si="4"/>
        <v>Valid</v>
      </c>
      <c r="AC747" s="15">
        <v>4</v>
      </c>
      <c r="AD747" s="16" t="str">
        <f t="shared" si="5"/>
        <v>Valid</v>
      </c>
      <c r="AE747" s="16" t="str">
        <f t="shared" si="6"/>
        <v>Valid</v>
      </c>
      <c r="AF747" s="16" t="str">
        <f t="shared" ref="AF747:AG747" si="1505">IF(ISNUMBER(B747),"Valid","Invalid")</f>
        <v>Valid</v>
      </c>
      <c r="AG747" s="16" t="str">
        <f t="shared" si="1505"/>
        <v>Valid</v>
      </c>
      <c r="AH747" s="16" t="str">
        <f t="shared" ref="AH747:AI747" si="1506">IF(OR(B747="",ISBLANK(B747)),"Missing","Valid")</f>
        <v>Valid</v>
      </c>
      <c r="AI747" s="16" t="str">
        <f t="shared" si="1506"/>
        <v>Valid</v>
      </c>
      <c r="AJ747" s="16" t="b">
        <v>0</v>
      </c>
      <c r="AK747" s="16" t="b">
        <v>0</v>
      </c>
      <c r="AL747" s="16" t="b">
        <v>0</v>
      </c>
      <c r="AM747" s="16" t="b">
        <v>0</v>
      </c>
      <c r="AN747" s="16" t="b">
        <v>0</v>
      </c>
      <c r="AO747" s="16" t="b">
        <v>0</v>
      </c>
      <c r="AP747" s="16" t="b">
        <v>0</v>
      </c>
      <c r="AQ747" s="17">
        <f t="shared" si="9"/>
        <v>0.2</v>
      </c>
      <c r="AR747" s="12">
        <f t="shared" si="10"/>
        <v>1736.616</v>
      </c>
      <c r="AS747" s="18">
        <f t="shared" si="11"/>
        <v>3.9999999999054126E-3</v>
      </c>
      <c r="AT747" s="12">
        <f t="shared" si="12"/>
        <v>677.096</v>
      </c>
      <c r="AU747" s="18">
        <f t="shared" si="13"/>
        <v>4.0000000000190994E-3</v>
      </c>
      <c r="AV747" s="19">
        <f t="shared" si="14"/>
        <v>0.38989390861307277</v>
      </c>
      <c r="AW747" s="20" t="str">
        <f t="shared" si="15"/>
        <v>October</v>
      </c>
      <c r="AX747" s="21">
        <f t="shared" si="16"/>
        <v>2024</v>
      </c>
    </row>
    <row r="748" spans="1:50" ht="15.75" customHeight="1">
      <c r="A748" s="10" t="s">
        <v>2346</v>
      </c>
      <c r="B748" s="11">
        <v>45661</v>
      </c>
      <c r="C748" s="11">
        <v>45667</v>
      </c>
      <c r="D748" s="10" t="s">
        <v>2055</v>
      </c>
      <c r="E748" s="10" t="s">
        <v>157</v>
      </c>
      <c r="F748" s="10" t="s">
        <v>124</v>
      </c>
      <c r="G748" s="10" t="s">
        <v>67</v>
      </c>
      <c r="H748" s="10" t="s">
        <v>128</v>
      </c>
      <c r="I748" s="10" t="s">
        <v>129</v>
      </c>
      <c r="J748" s="10" t="s">
        <v>57</v>
      </c>
      <c r="K748" s="10" t="s">
        <v>58</v>
      </c>
      <c r="L748" s="10" t="s">
        <v>2347</v>
      </c>
      <c r="M748" s="10" t="s">
        <v>88</v>
      </c>
      <c r="N748" s="12">
        <v>4</v>
      </c>
      <c r="O748" s="12">
        <v>2583.19</v>
      </c>
      <c r="P748" s="12">
        <v>0.2</v>
      </c>
      <c r="Q748" s="12">
        <v>8266.2099999999991</v>
      </c>
      <c r="R748" s="12">
        <v>6236.32</v>
      </c>
      <c r="S748" s="12">
        <v>2029.89</v>
      </c>
      <c r="T748" s="10" t="s">
        <v>61</v>
      </c>
      <c r="U748" s="13" t="s">
        <v>62</v>
      </c>
      <c r="V748" s="14" t="e">
        <f t="shared" ca="1" si="0"/>
        <v>#NAME?</v>
      </c>
      <c r="W748" s="10" t="str">
        <f ca="1">IFERROR(__xludf.DUMMYFUNCTION("IF(COUNTIF($A:$A,A742)=1,
""Unique"",
IF(COUNTUNIQUE(FILTER($V$2:$V$934,$A$2:$A$934=A742))&gt;1,
""Conflicting Duplicate"",
""Exact Duplicate""))"),"Unique")</f>
        <v>Unique</v>
      </c>
      <c r="X748" s="10" t="b">
        <f t="shared" ca="1" si="1"/>
        <v>1</v>
      </c>
      <c r="Y748" s="10" t="str">
        <f t="shared" si="2"/>
        <v>Unique</v>
      </c>
      <c r="Z748" s="10"/>
      <c r="AA748" s="10" t="str">
        <f t="shared" si="3"/>
        <v>Clean</v>
      </c>
      <c r="AB748" s="15" t="str">
        <f t="shared" si="4"/>
        <v>Valid</v>
      </c>
      <c r="AC748" s="15">
        <v>6</v>
      </c>
      <c r="AD748" s="16" t="str">
        <f t="shared" si="5"/>
        <v>Valid</v>
      </c>
      <c r="AE748" s="16" t="str">
        <f t="shared" si="6"/>
        <v>Valid</v>
      </c>
      <c r="AF748" s="16" t="str">
        <f t="shared" ref="AF748:AG748" si="1507">IF(ISNUMBER(B748),"Valid","Invalid")</f>
        <v>Valid</v>
      </c>
      <c r="AG748" s="16" t="str">
        <f t="shared" si="1507"/>
        <v>Valid</v>
      </c>
      <c r="AH748" s="16" t="str">
        <f t="shared" ref="AH748:AI748" si="1508">IF(OR(B748="",ISBLANK(B748)),"Missing","Valid")</f>
        <v>Valid</v>
      </c>
      <c r="AI748" s="16" t="str">
        <f t="shared" si="1508"/>
        <v>Valid</v>
      </c>
      <c r="AJ748" s="16" t="b">
        <v>0</v>
      </c>
      <c r="AK748" s="16" t="b">
        <v>0</v>
      </c>
      <c r="AL748" s="16" t="b">
        <v>0</v>
      </c>
      <c r="AM748" s="16" t="b">
        <v>0</v>
      </c>
      <c r="AN748" s="16" t="b">
        <v>0</v>
      </c>
      <c r="AO748" s="16" t="b">
        <v>0</v>
      </c>
      <c r="AP748" s="16" t="b">
        <v>0</v>
      </c>
      <c r="AQ748" s="17">
        <f t="shared" si="9"/>
        <v>0.2</v>
      </c>
      <c r="AR748" s="12">
        <f t="shared" si="10"/>
        <v>8266.2080000000005</v>
      </c>
      <c r="AS748" s="18">
        <f t="shared" si="11"/>
        <v>1.9999999985884642E-3</v>
      </c>
      <c r="AT748" s="12">
        <f t="shared" si="12"/>
        <v>2029.8880000000008</v>
      </c>
      <c r="AU748" s="18">
        <f t="shared" si="13"/>
        <v>1.9999999992705852E-3</v>
      </c>
      <c r="AV748" s="19">
        <f t="shared" si="14"/>
        <v>0.24556459261610653</v>
      </c>
      <c r="AW748" s="20" t="str">
        <f t="shared" si="15"/>
        <v>January</v>
      </c>
      <c r="AX748" s="21">
        <f t="shared" si="16"/>
        <v>2025</v>
      </c>
    </row>
    <row r="749" spans="1:50" ht="15.75" customHeight="1">
      <c r="A749" s="10" t="s">
        <v>2348</v>
      </c>
      <c r="B749" s="11">
        <v>45413</v>
      </c>
      <c r="C749" s="11">
        <v>45419</v>
      </c>
      <c r="D749" s="10" t="s">
        <v>2349</v>
      </c>
      <c r="E749" s="10" t="s">
        <v>76</v>
      </c>
      <c r="F749" s="10" t="s">
        <v>124</v>
      </c>
      <c r="G749" s="10" t="s">
        <v>67</v>
      </c>
      <c r="H749" s="10" t="s">
        <v>68</v>
      </c>
      <c r="I749" s="10" t="s">
        <v>69</v>
      </c>
      <c r="J749" s="10" t="s">
        <v>57</v>
      </c>
      <c r="K749" s="10" t="s">
        <v>58</v>
      </c>
      <c r="L749" s="10" t="s">
        <v>2350</v>
      </c>
      <c r="M749" s="10" t="s">
        <v>73</v>
      </c>
      <c r="N749" s="12">
        <v>8</v>
      </c>
      <c r="O749" s="12">
        <v>1473.83</v>
      </c>
      <c r="P749" s="12">
        <v>0.15</v>
      </c>
      <c r="Q749" s="12">
        <v>10022.040000000001</v>
      </c>
      <c r="R749" s="12">
        <v>5576.98</v>
      </c>
      <c r="S749" s="12">
        <v>4445.0600000000004</v>
      </c>
      <c r="T749" s="10" t="s">
        <v>61</v>
      </c>
      <c r="U749" s="13" t="s">
        <v>62</v>
      </c>
      <c r="V749" s="14" t="e">
        <f t="shared" ca="1" si="0"/>
        <v>#NAME?</v>
      </c>
      <c r="W749" s="10" t="str">
        <f ca="1">IFERROR(__xludf.DUMMYFUNCTION("IF(COUNTIF($A:$A,A743)=1,
""Unique"",
IF(COUNTUNIQUE(FILTER($V$2:$V$934,$A$2:$A$934=A743))&gt;1,
""Conflicting Duplicate"",
""Exact Duplicate""))"),"Unique")</f>
        <v>Unique</v>
      </c>
      <c r="X749" s="10" t="b">
        <f t="shared" ca="1" si="1"/>
        <v>1</v>
      </c>
      <c r="Y749" s="10" t="str">
        <f t="shared" si="2"/>
        <v>Unique</v>
      </c>
      <c r="Z749" s="10"/>
      <c r="AA749" s="10" t="str">
        <f t="shared" si="3"/>
        <v>Clean</v>
      </c>
      <c r="AB749" s="15" t="str">
        <f t="shared" si="4"/>
        <v>Valid</v>
      </c>
      <c r="AC749" s="15">
        <v>6</v>
      </c>
      <c r="AD749" s="16" t="str">
        <f t="shared" si="5"/>
        <v>Valid</v>
      </c>
      <c r="AE749" s="16" t="str">
        <f t="shared" si="6"/>
        <v>Valid</v>
      </c>
      <c r="AF749" s="16" t="str">
        <f t="shared" ref="AF749:AG749" si="1509">IF(ISNUMBER(B749),"Valid","Invalid")</f>
        <v>Valid</v>
      </c>
      <c r="AG749" s="16" t="str">
        <f t="shared" si="1509"/>
        <v>Valid</v>
      </c>
      <c r="AH749" s="16" t="str">
        <f t="shared" ref="AH749:AI749" si="1510">IF(OR(B749="",ISBLANK(B749)),"Missing","Valid")</f>
        <v>Valid</v>
      </c>
      <c r="AI749" s="16" t="str">
        <f t="shared" si="1510"/>
        <v>Valid</v>
      </c>
      <c r="AJ749" s="16" t="b">
        <v>0</v>
      </c>
      <c r="AK749" s="16" t="b">
        <v>0</v>
      </c>
      <c r="AL749" s="16" t="b">
        <v>0</v>
      </c>
      <c r="AM749" s="16" t="b">
        <v>0</v>
      </c>
      <c r="AN749" s="16" t="b">
        <v>0</v>
      </c>
      <c r="AO749" s="16" t="b">
        <v>0</v>
      </c>
      <c r="AP749" s="16" t="b">
        <v>0</v>
      </c>
      <c r="AQ749" s="17">
        <f t="shared" si="9"/>
        <v>0.15</v>
      </c>
      <c r="AR749" s="12">
        <f t="shared" si="10"/>
        <v>10022.044</v>
      </c>
      <c r="AS749" s="18">
        <f t="shared" si="11"/>
        <v>-3.9999999989959178E-3</v>
      </c>
      <c r="AT749" s="12">
        <f t="shared" si="12"/>
        <v>4445.0640000000003</v>
      </c>
      <c r="AU749" s="18">
        <f t="shared" si="13"/>
        <v>-3.9999999999054126E-3</v>
      </c>
      <c r="AV749" s="19">
        <f t="shared" si="14"/>
        <v>0.44352868536597928</v>
      </c>
      <c r="AW749" s="20" t="str">
        <f t="shared" si="15"/>
        <v>May</v>
      </c>
      <c r="AX749" s="21">
        <f t="shared" si="16"/>
        <v>2024</v>
      </c>
    </row>
    <row r="750" spans="1:50" ht="15.75" customHeight="1">
      <c r="A750" s="10" t="s">
        <v>2351</v>
      </c>
      <c r="B750" s="11">
        <v>45442</v>
      </c>
      <c r="C750" s="11">
        <v>45442</v>
      </c>
      <c r="D750" s="10" t="s">
        <v>2352</v>
      </c>
      <c r="E750" s="10" t="s">
        <v>191</v>
      </c>
      <c r="F750" s="10" t="s">
        <v>124</v>
      </c>
      <c r="G750" s="10" t="s">
        <v>54</v>
      </c>
      <c r="H750" s="10" t="s">
        <v>266</v>
      </c>
      <c r="I750" s="10" t="s">
        <v>267</v>
      </c>
      <c r="J750" s="10" t="s">
        <v>103</v>
      </c>
      <c r="K750" s="10" t="s">
        <v>200</v>
      </c>
      <c r="L750" s="10" t="s">
        <v>2353</v>
      </c>
      <c r="M750" s="10" t="s">
        <v>60</v>
      </c>
      <c r="N750" s="12">
        <v>1</v>
      </c>
      <c r="O750" s="12">
        <v>3848.04</v>
      </c>
      <c r="P750" s="12">
        <v>0.25</v>
      </c>
      <c r="Q750" s="12">
        <v>2886.03</v>
      </c>
      <c r="R750" s="12">
        <v>2064.83</v>
      </c>
      <c r="S750" s="12">
        <v>821.2</v>
      </c>
      <c r="T750" s="10" t="s">
        <v>61</v>
      </c>
      <c r="U750" s="13" t="s">
        <v>62</v>
      </c>
      <c r="V750" s="14" t="e">
        <f t="shared" ca="1" si="0"/>
        <v>#NAME?</v>
      </c>
      <c r="W750" s="10" t="str">
        <f ca="1">IFERROR(__xludf.DUMMYFUNCTION("IF(COUNTIF($A:$A,A744)=1,
""Unique"",
IF(COUNTUNIQUE(FILTER($V$2:$V$934,$A$2:$A$934=A744))&gt;1,
""Conflicting Duplicate"",
""Exact Duplicate""))"),"Unique")</f>
        <v>Unique</v>
      </c>
      <c r="X750" s="10" t="b">
        <f t="shared" ca="1" si="1"/>
        <v>1</v>
      </c>
      <c r="Y750" s="10" t="str">
        <f t="shared" si="2"/>
        <v>Unique</v>
      </c>
      <c r="Z750" s="10"/>
      <c r="AA750" s="10" t="str">
        <f t="shared" si="3"/>
        <v>Clean</v>
      </c>
      <c r="AB750" s="15" t="str">
        <f t="shared" si="4"/>
        <v>Valid</v>
      </c>
      <c r="AC750" s="15">
        <v>0</v>
      </c>
      <c r="AD750" s="16" t="str">
        <f t="shared" si="5"/>
        <v>Valid</v>
      </c>
      <c r="AE750" s="16" t="str">
        <f t="shared" si="6"/>
        <v>Valid</v>
      </c>
      <c r="AF750" s="16" t="str">
        <f t="shared" ref="AF750:AG750" si="1511">IF(ISNUMBER(B750),"Valid","Invalid")</f>
        <v>Valid</v>
      </c>
      <c r="AG750" s="16" t="str">
        <f t="shared" si="1511"/>
        <v>Valid</v>
      </c>
      <c r="AH750" s="16" t="str">
        <f t="shared" ref="AH750:AI750" si="1512">IF(OR(B750="",ISBLANK(B750)),"Missing","Valid")</f>
        <v>Valid</v>
      </c>
      <c r="AI750" s="16" t="str">
        <f t="shared" si="1512"/>
        <v>Valid</v>
      </c>
      <c r="AJ750" s="16" t="b">
        <v>0</v>
      </c>
      <c r="AK750" s="16" t="b">
        <v>0</v>
      </c>
      <c r="AL750" s="16" t="b">
        <v>0</v>
      </c>
      <c r="AM750" s="16" t="b">
        <v>0</v>
      </c>
      <c r="AN750" s="16" t="b">
        <v>0</v>
      </c>
      <c r="AO750" s="16" t="b">
        <v>0</v>
      </c>
      <c r="AP750" s="16" t="b">
        <v>0</v>
      </c>
      <c r="AQ750" s="17">
        <f t="shared" si="9"/>
        <v>0.25</v>
      </c>
      <c r="AR750" s="12">
        <f t="shared" si="10"/>
        <v>2886.0299999999997</v>
      </c>
      <c r="AS750" s="18">
        <f t="shared" si="11"/>
        <v>0</v>
      </c>
      <c r="AT750" s="12">
        <f t="shared" si="12"/>
        <v>821.19999999999982</v>
      </c>
      <c r="AU750" s="18">
        <f t="shared" si="13"/>
        <v>0</v>
      </c>
      <c r="AV750" s="19">
        <f t="shared" si="14"/>
        <v>0.28454312671732446</v>
      </c>
      <c r="AW750" s="20" t="str">
        <f t="shared" si="15"/>
        <v>May</v>
      </c>
      <c r="AX750" s="21">
        <f t="shared" si="16"/>
        <v>2024</v>
      </c>
    </row>
    <row r="751" spans="1:50" ht="15.75" customHeight="1">
      <c r="A751" s="10" t="s">
        <v>2354</v>
      </c>
      <c r="B751" s="11">
        <v>45372</v>
      </c>
      <c r="C751" s="11">
        <v>45376</v>
      </c>
      <c r="D751" s="10" t="s">
        <v>2355</v>
      </c>
      <c r="E751" s="10" t="s">
        <v>118</v>
      </c>
      <c r="F751" s="10" t="s">
        <v>124</v>
      </c>
      <c r="G751" s="10" t="s">
        <v>67</v>
      </c>
      <c r="H751" s="10" t="s">
        <v>195</v>
      </c>
      <c r="I751" s="10" t="s">
        <v>196</v>
      </c>
      <c r="J751" s="10" t="s">
        <v>103</v>
      </c>
      <c r="K751" s="10" t="s">
        <v>304</v>
      </c>
      <c r="L751" s="10" t="s">
        <v>2356</v>
      </c>
      <c r="M751" s="10" t="s">
        <v>88</v>
      </c>
      <c r="N751" s="12">
        <v>1</v>
      </c>
      <c r="O751" s="12">
        <v>1716.7</v>
      </c>
      <c r="P751" s="12">
        <v>0.15</v>
      </c>
      <c r="Q751" s="12">
        <v>1459.19</v>
      </c>
      <c r="R751" s="12">
        <v>1055.79</v>
      </c>
      <c r="S751" s="12">
        <v>403.4</v>
      </c>
      <c r="T751" s="10" t="s">
        <v>61</v>
      </c>
      <c r="U751" s="13" t="s">
        <v>62</v>
      </c>
      <c r="V751" s="14" t="e">
        <f t="shared" ca="1" si="0"/>
        <v>#NAME?</v>
      </c>
      <c r="W751" s="10" t="str">
        <f ca="1">IFERROR(__xludf.DUMMYFUNCTION("IF(COUNTIF($A:$A,A745)=1,
""Unique"",
IF(COUNTUNIQUE(FILTER($V$2:$V$934,$A$2:$A$934=A745))&gt;1,
""Conflicting Duplicate"",
""Exact Duplicate""))"),"Unique")</f>
        <v>Unique</v>
      </c>
      <c r="X751" s="10" t="b">
        <f t="shared" ca="1" si="1"/>
        <v>1</v>
      </c>
      <c r="Y751" s="10" t="str">
        <f t="shared" si="2"/>
        <v>Unique</v>
      </c>
      <c r="Z751" s="10"/>
      <c r="AA751" s="10" t="str">
        <f t="shared" si="3"/>
        <v>Clean</v>
      </c>
      <c r="AB751" s="15" t="str">
        <f t="shared" si="4"/>
        <v>Valid</v>
      </c>
      <c r="AC751" s="15">
        <v>4</v>
      </c>
      <c r="AD751" s="16" t="str">
        <f t="shared" si="5"/>
        <v>Valid</v>
      </c>
      <c r="AE751" s="16" t="str">
        <f t="shared" si="6"/>
        <v>Valid</v>
      </c>
      <c r="AF751" s="16" t="str">
        <f t="shared" ref="AF751:AG751" si="1513">IF(ISNUMBER(B751),"Valid","Invalid")</f>
        <v>Valid</v>
      </c>
      <c r="AG751" s="16" t="str">
        <f t="shared" si="1513"/>
        <v>Valid</v>
      </c>
      <c r="AH751" s="16" t="str">
        <f t="shared" ref="AH751:AI751" si="1514">IF(OR(B751="",ISBLANK(B751)),"Missing","Valid")</f>
        <v>Valid</v>
      </c>
      <c r="AI751" s="16" t="str">
        <f t="shared" si="1514"/>
        <v>Valid</v>
      </c>
      <c r="AJ751" s="16" t="b">
        <v>0</v>
      </c>
      <c r="AK751" s="16" t="b">
        <v>0</v>
      </c>
      <c r="AL751" s="16" t="b">
        <v>0</v>
      </c>
      <c r="AM751" s="16" t="b">
        <v>0</v>
      </c>
      <c r="AN751" s="16" t="b">
        <v>0</v>
      </c>
      <c r="AO751" s="16" t="b">
        <v>0</v>
      </c>
      <c r="AP751" s="16" t="b">
        <v>0</v>
      </c>
      <c r="AQ751" s="17">
        <f t="shared" si="9"/>
        <v>0.15</v>
      </c>
      <c r="AR751" s="12">
        <f t="shared" si="10"/>
        <v>1459.1949999999999</v>
      </c>
      <c r="AS751" s="18">
        <f t="shared" si="11"/>
        <v>-4.9999999998817657E-3</v>
      </c>
      <c r="AT751" s="12">
        <f t="shared" si="12"/>
        <v>403.40499999999997</v>
      </c>
      <c r="AU751" s="18">
        <f t="shared" si="13"/>
        <v>-4.9999999999954525E-3</v>
      </c>
      <c r="AV751" s="19">
        <f t="shared" si="14"/>
        <v>0.27645722470266137</v>
      </c>
      <c r="AW751" s="20" t="str">
        <f t="shared" si="15"/>
        <v>March</v>
      </c>
      <c r="AX751" s="21">
        <f t="shared" si="16"/>
        <v>2024</v>
      </c>
    </row>
    <row r="752" spans="1:50" ht="15.75" customHeight="1">
      <c r="A752" s="10" t="s">
        <v>2357</v>
      </c>
      <c r="B752" s="11">
        <v>45810</v>
      </c>
      <c r="C752" s="11">
        <v>45810</v>
      </c>
      <c r="D752" s="10" t="s">
        <v>2358</v>
      </c>
      <c r="E752" s="10" t="s">
        <v>157</v>
      </c>
      <c r="F752" s="10" t="s">
        <v>124</v>
      </c>
      <c r="G752" s="10" t="s">
        <v>83</v>
      </c>
      <c r="H752" s="10" t="s">
        <v>84</v>
      </c>
      <c r="I752" s="10" t="s">
        <v>85</v>
      </c>
      <c r="J752" s="10" t="s">
        <v>103</v>
      </c>
      <c r="K752" s="10" t="s">
        <v>104</v>
      </c>
      <c r="L752" s="10" t="s">
        <v>2359</v>
      </c>
      <c r="M752" s="10" t="s">
        <v>79</v>
      </c>
      <c r="N752" s="12">
        <v>8</v>
      </c>
      <c r="O752" s="12">
        <v>3925.93</v>
      </c>
      <c r="P752" s="12">
        <v>0.15</v>
      </c>
      <c r="Q752" s="12">
        <v>26696.32</v>
      </c>
      <c r="R752" s="12">
        <v>22724.52</v>
      </c>
      <c r="S752" s="12">
        <v>3971.8</v>
      </c>
      <c r="T752" s="10" t="s">
        <v>61</v>
      </c>
      <c r="U752" s="13" t="s">
        <v>62</v>
      </c>
      <c r="V752" s="14" t="e">
        <f t="shared" ca="1" si="0"/>
        <v>#NAME?</v>
      </c>
      <c r="W752" s="10" t="str">
        <f ca="1">IFERROR(__xludf.DUMMYFUNCTION("IF(COUNTIF($A:$A,A746)=1,
""Unique"",
IF(COUNTUNIQUE(FILTER($V$2:$V$934,$A$2:$A$934=A746))&gt;1,
""Conflicting Duplicate"",
""Exact Duplicate""))"),"Unique")</f>
        <v>Unique</v>
      </c>
      <c r="X752" s="10" t="b">
        <f t="shared" ca="1" si="1"/>
        <v>1</v>
      </c>
      <c r="Y752" s="10" t="str">
        <f t="shared" si="2"/>
        <v>Unique</v>
      </c>
      <c r="Z752" s="10"/>
      <c r="AA752" s="10" t="str">
        <f t="shared" si="3"/>
        <v>Clean</v>
      </c>
      <c r="AB752" s="15" t="str">
        <f t="shared" si="4"/>
        <v>Valid</v>
      </c>
      <c r="AC752" s="15">
        <v>0</v>
      </c>
      <c r="AD752" s="16" t="str">
        <f t="shared" si="5"/>
        <v>Valid</v>
      </c>
      <c r="AE752" s="16" t="str">
        <f t="shared" si="6"/>
        <v>Valid</v>
      </c>
      <c r="AF752" s="16" t="str">
        <f t="shared" ref="AF752:AG752" si="1515">IF(ISNUMBER(B752),"Valid","Invalid")</f>
        <v>Valid</v>
      </c>
      <c r="AG752" s="16" t="str">
        <f t="shared" si="1515"/>
        <v>Valid</v>
      </c>
      <c r="AH752" s="16" t="str">
        <f t="shared" ref="AH752:AI752" si="1516">IF(OR(B752="",ISBLANK(B752)),"Missing","Valid")</f>
        <v>Valid</v>
      </c>
      <c r="AI752" s="16" t="str">
        <f t="shared" si="1516"/>
        <v>Valid</v>
      </c>
      <c r="AJ752" s="16" t="b">
        <v>0</v>
      </c>
      <c r="AK752" s="16" t="b">
        <v>0</v>
      </c>
      <c r="AL752" s="16" t="b">
        <v>0</v>
      </c>
      <c r="AM752" s="16" t="b">
        <v>0</v>
      </c>
      <c r="AN752" s="16" t="b">
        <v>0</v>
      </c>
      <c r="AO752" s="16" t="b">
        <v>0</v>
      </c>
      <c r="AP752" s="16" t="b">
        <v>0</v>
      </c>
      <c r="AQ752" s="17">
        <f t="shared" si="9"/>
        <v>0.15</v>
      </c>
      <c r="AR752" s="12">
        <f t="shared" si="10"/>
        <v>26696.323999999997</v>
      </c>
      <c r="AS752" s="18">
        <f t="shared" si="11"/>
        <v>-3.9999999971769284E-3</v>
      </c>
      <c r="AT752" s="12">
        <f t="shared" si="12"/>
        <v>3971.8039999999964</v>
      </c>
      <c r="AU752" s="18">
        <f t="shared" si="13"/>
        <v>-3.9999999962674337E-3</v>
      </c>
      <c r="AV752" s="19">
        <f t="shared" si="14"/>
        <v>0.14877718745097629</v>
      </c>
      <c r="AW752" s="20" t="str">
        <f t="shared" si="15"/>
        <v>June</v>
      </c>
      <c r="AX752" s="21">
        <f t="shared" si="16"/>
        <v>2025</v>
      </c>
    </row>
    <row r="753" spans="1:50" ht="15.75" customHeight="1">
      <c r="A753" s="10" t="s">
        <v>2360</v>
      </c>
      <c r="B753" s="11">
        <v>45856</v>
      </c>
      <c r="C753" s="11">
        <v>45857</v>
      </c>
      <c r="D753" s="10" t="s">
        <v>2361</v>
      </c>
      <c r="E753" s="10" t="s">
        <v>143</v>
      </c>
      <c r="F753" s="10" t="s">
        <v>124</v>
      </c>
      <c r="G753" s="10" t="s">
        <v>234</v>
      </c>
      <c r="H753" s="10" t="s">
        <v>165</v>
      </c>
      <c r="I753" s="10" t="s">
        <v>166</v>
      </c>
      <c r="J753" s="10" t="s">
        <v>103</v>
      </c>
      <c r="K753" s="10" t="s">
        <v>304</v>
      </c>
      <c r="L753" s="10" t="s">
        <v>2362</v>
      </c>
      <c r="M753" s="10" t="s">
        <v>234</v>
      </c>
      <c r="N753" s="12">
        <v>3</v>
      </c>
      <c r="O753" s="12">
        <v>2963.25</v>
      </c>
      <c r="P753" s="12">
        <v>0.05</v>
      </c>
      <c r="Q753" s="12">
        <v>8445.26</v>
      </c>
      <c r="R753" s="12">
        <v>6937.6</v>
      </c>
      <c r="S753" s="12">
        <v>1507.66</v>
      </c>
      <c r="T753" s="10" t="s">
        <v>61</v>
      </c>
      <c r="U753" s="13" t="s">
        <v>62</v>
      </c>
      <c r="V753" s="14" t="e">
        <f t="shared" ca="1" si="0"/>
        <v>#NAME?</v>
      </c>
      <c r="W753" s="10" t="str">
        <f ca="1">IFERROR(__xludf.DUMMYFUNCTION("IF(COUNTIF($A:$A,A747)=1,
""Unique"",
IF(COUNTUNIQUE(FILTER($V$2:$V$934,$A$2:$A$934=A747))&gt;1,
""Conflicting Duplicate"",
""Exact Duplicate""))"),"Unique")</f>
        <v>Unique</v>
      </c>
      <c r="X753" s="10" t="b">
        <f t="shared" ca="1" si="1"/>
        <v>1</v>
      </c>
      <c r="Y753" s="10" t="str">
        <f t="shared" si="2"/>
        <v>Unique</v>
      </c>
      <c r="Z753" s="10"/>
      <c r="AA753" s="10" t="str">
        <f t="shared" si="3"/>
        <v>Warning</v>
      </c>
      <c r="AB753" s="15" t="str">
        <f t="shared" si="4"/>
        <v>Valid</v>
      </c>
      <c r="AC753" s="15">
        <v>1</v>
      </c>
      <c r="AD753" s="16" t="str">
        <f t="shared" si="5"/>
        <v>Valid</v>
      </c>
      <c r="AE753" s="16" t="str">
        <f t="shared" si="6"/>
        <v>Valid</v>
      </c>
      <c r="AF753" s="16" t="str">
        <f t="shared" ref="AF753:AG753" si="1517">IF(ISNUMBER(B753),"Valid","Invalid")</f>
        <v>Valid</v>
      </c>
      <c r="AG753" s="16" t="str">
        <f t="shared" si="1517"/>
        <v>Valid</v>
      </c>
      <c r="AH753" s="16" t="str">
        <f t="shared" ref="AH753:AI753" si="1518">IF(OR(B753="",ISBLANK(B753)),"Missing","Valid")</f>
        <v>Valid</v>
      </c>
      <c r="AI753" s="16" t="str">
        <f t="shared" si="1518"/>
        <v>Valid</v>
      </c>
      <c r="AJ753" s="16" t="b">
        <v>1</v>
      </c>
      <c r="AK753" s="16" t="b">
        <v>1</v>
      </c>
      <c r="AL753" s="16" t="b">
        <v>0</v>
      </c>
      <c r="AM753" s="16" t="b">
        <v>0</v>
      </c>
      <c r="AN753" s="16" t="b">
        <v>0</v>
      </c>
      <c r="AO753" s="16" t="b">
        <v>0</v>
      </c>
      <c r="AP753" s="16" t="b">
        <v>1</v>
      </c>
      <c r="AQ753" s="17">
        <f t="shared" si="9"/>
        <v>0.05</v>
      </c>
      <c r="AR753" s="12">
        <f t="shared" si="10"/>
        <v>8445.2624999999989</v>
      </c>
      <c r="AS753" s="18">
        <f t="shared" si="11"/>
        <v>-2.4999999986903276E-3</v>
      </c>
      <c r="AT753" s="12">
        <f t="shared" si="12"/>
        <v>1507.6624999999985</v>
      </c>
      <c r="AU753" s="18">
        <f t="shared" si="13"/>
        <v>-2.499999998462954E-3</v>
      </c>
      <c r="AV753" s="19">
        <f t="shared" si="14"/>
        <v>0.17852168597482893</v>
      </c>
      <c r="AW753" s="20" t="str">
        <f t="shared" si="15"/>
        <v>July</v>
      </c>
      <c r="AX753" s="21">
        <f t="shared" si="16"/>
        <v>2025</v>
      </c>
    </row>
    <row r="754" spans="1:50" ht="15.75" customHeight="1">
      <c r="A754" s="10" t="s">
        <v>2363</v>
      </c>
      <c r="B754" s="11">
        <v>45375</v>
      </c>
      <c r="C754" s="11">
        <v>45378</v>
      </c>
      <c r="D754" s="10" t="s">
        <v>2364</v>
      </c>
      <c r="E754" s="10" t="s">
        <v>118</v>
      </c>
      <c r="F754" s="10" t="s">
        <v>119</v>
      </c>
      <c r="G754" s="10" t="s">
        <v>92</v>
      </c>
      <c r="H754" s="10" t="s">
        <v>209</v>
      </c>
      <c r="I754" s="10" t="s">
        <v>210</v>
      </c>
      <c r="J754" s="10" t="s">
        <v>57</v>
      </c>
      <c r="K754" s="10" t="s">
        <v>153</v>
      </c>
      <c r="L754" s="10" t="s">
        <v>2365</v>
      </c>
      <c r="M754" s="10" t="s">
        <v>79</v>
      </c>
      <c r="N754" s="12">
        <v>5</v>
      </c>
      <c r="O754" s="12">
        <v>2465.2199999999998</v>
      </c>
      <c r="P754" s="12">
        <v>0.05</v>
      </c>
      <c r="Q754" s="12">
        <v>11709.79</v>
      </c>
      <c r="R754" s="12">
        <v>8372.2900000000009</v>
      </c>
      <c r="S754" s="12">
        <v>3337.5</v>
      </c>
      <c r="T754" s="10" t="s">
        <v>61</v>
      </c>
      <c r="U754" s="13" t="s">
        <v>62</v>
      </c>
      <c r="V754" s="14" t="e">
        <f t="shared" ca="1" si="0"/>
        <v>#NAME?</v>
      </c>
      <c r="W754" s="10" t="str">
        <f ca="1">IFERROR(__xludf.DUMMYFUNCTION("IF(COUNTIF($A:$A,A748)=1,
""Unique"",
IF(COUNTUNIQUE(FILTER($V$2:$V$934,$A$2:$A$934=A748))&gt;1,
""Conflicting Duplicate"",
""Exact Duplicate""))"),"Unique")</f>
        <v>Unique</v>
      </c>
      <c r="X754" s="10" t="b">
        <f t="shared" ca="1" si="1"/>
        <v>1</v>
      </c>
      <c r="Y754" s="10" t="str">
        <f t="shared" si="2"/>
        <v>Unique</v>
      </c>
      <c r="Z754" s="10"/>
      <c r="AA754" s="10" t="str">
        <f t="shared" si="3"/>
        <v>Clean</v>
      </c>
      <c r="AB754" s="15" t="str">
        <f t="shared" si="4"/>
        <v>Valid</v>
      </c>
      <c r="AC754" s="15">
        <v>3</v>
      </c>
      <c r="AD754" s="16" t="str">
        <f t="shared" si="5"/>
        <v>Valid</v>
      </c>
      <c r="AE754" s="16" t="str">
        <f t="shared" si="6"/>
        <v>Valid</v>
      </c>
      <c r="AF754" s="16" t="str">
        <f t="shared" ref="AF754:AG754" si="1519">IF(ISNUMBER(B754),"Valid","Invalid")</f>
        <v>Valid</v>
      </c>
      <c r="AG754" s="16" t="str">
        <f t="shared" si="1519"/>
        <v>Valid</v>
      </c>
      <c r="AH754" s="16" t="str">
        <f t="shared" ref="AH754:AI754" si="1520">IF(OR(B754="",ISBLANK(B754)),"Missing","Valid")</f>
        <v>Valid</v>
      </c>
      <c r="AI754" s="16" t="str">
        <f t="shared" si="1520"/>
        <v>Valid</v>
      </c>
      <c r="AJ754" s="16" t="b">
        <v>0</v>
      </c>
      <c r="AK754" s="16" t="b">
        <v>0</v>
      </c>
      <c r="AL754" s="16" t="b">
        <v>0</v>
      </c>
      <c r="AM754" s="16" t="b">
        <v>0</v>
      </c>
      <c r="AN754" s="16" t="b">
        <v>0</v>
      </c>
      <c r="AO754" s="16" t="b">
        <v>0</v>
      </c>
      <c r="AP754" s="16" t="b">
        <v>0</v>
      </c>
      <c r="AQ754" s="17">
        <f t="shared" si="9"/>
        <v>0.05</v>
      </c>
      <c r="AR754" s="12">
        <f t="shared" si="10"/>
        <v>11709.794999999998</v>
      </c>
      <c r="AS754" s="18">
        <f t="shared" si="11"/>
        <v>-4.9999999973806553E-3</v>
      </c>
      <c r="AT754" s="12">
        <f t="shared" si="12"/>
        <v>3337.5049999999974</v>
      </c>
      <c r="AU754" s="18">
        <f t="shared" si="13"/>
        <v>-4.9999999973806553E-3</v>
      </c>
      <c r="AV754" s="19">
        <f t="shared" si="14"/>
        <v>0.28501822619439521</v>
      </c>
      <c r="AW754" s="20" t="str">
        <f t="shared" si="15"/>
        <v>March</v>
      </c>
      <c r="AX754" s="21">
        <f t="shared" si="16"/>
        <v>2024</v>
      </c>
    </row>
    <row r="755" spans="1:50" ht="15.75" customHeight="1">
      <c r="A755" s="10" t="s">
        <v>2366</v>
      </c>
      <c r="B755" s="11">
        <v>45515</v>
      </c>
      <c r="C755" s="11">
        <v>45514</v>
      </c>
      <c r="D755" s="10" t="s">
        <v>2367</v>
      </c>
      <c r="E755" s="10" t="s">
        <v>118</v>
      </c>
      <c r="F755" s="10" t="s">
        <v>119</v>
      </c>
      <c r="G755" s="10" t="s">
        <v>54</v>
      </c>
      <c r="H755" s="10" t="s">
        <v>380</v>
      </c>
      <c r="I755" s="10" t="s">
        <v>381</v>
      </c>
      <c r="J755" s="10" t="s">
        <v>70</v>
      </c>
      <c r="K755" s="10" t="s">
        <v>86</v>
      </c>
      <c r="L755" s="10" t="s">
        <v>2368</v>
      </c>
      <c r="M755" s="10" t="s">
        <v>60</v>
      </c>
      <c r="N755" s="12">
        <v>3</v>
      </c>
      <c r="O755" s="12">
        <v>1017.22</v>
      </c>
      <c r="P755" s="12">
        <v>0.15</v>
      </c>
      <c r="Q755" s="12">
        <v>2593.91</v>
      </c>
      <c r="R755" s="12">
        <v>1848.48</v>
      </c>
      <c r="S755" s="12">
        <v>745.43</v>
      </c>
      <c r="T755" s="10" t="s">
        <v>184</v>
      </c>
      <c r="U755" s="13" t="s">
        <v>132</v>
      </c>
      <c r="V755" s="14" t="e">
        <f t="shared" ca="1" si="0"/>
        <v>#NAME?</v>
      </c>
      <c r="W755" s="10" t="str">
        <f ca="1">IFERROR(__xludf.DUMMYFUNCTION("IF(COUNTIF($A:$A,A749)=1,
""Unique"",
IF(COUNTUNIQUE(FILTER($V$2:$V$934,$A$2:$A$934=A749))&gt;1,
""Conflicting Duplicate"",
""Exact Duplicate""))"),"Unique")</f>
        <v>Unique</v>
      </c>
      <c r="X755" s="10" t="b">
        <f t="shared" ca="1" si="1"/>
        <v>1</v>
      </c>
      <c r="Y755" s="10" t="str">
        <f t="shared" si="2"/>
        <v>Unique</v>
      </c>
      <c r="Z755" s="10"/>
      <c r="AA755" s="10" t="str">
        <f t="shared" si="3"/>
        <v>Invalid</v>
      </c>
      <c r="AB755" s="15" t="str">
        <f t="shared" si="4"/>
        <v>Invalid</v>
      </c>
      <c r="AC755" s="15">
        <v>-1</v>
      </c>
      <c r="AD755" s="16" t="str">
        <f t="shared" si="5"/>
        <v>Invalid Shipping Date</v>
      </c>
      <c r="AE755" s="16" t="str">
        <f t="shared" si="6"/>
        <v>Valid</v>
      </c>
      <c r="AF755" s="16" t="str">
        <f t="shared" ref="AF755:AG755" si="1521">IF(ISNUMBER(B755),"Valid","Invalid")</f>
        <v>Valid</v>
      </c>
      <c r="AG755" s="16" t="str">
        <f t="shared" si="1521"/>
        <v>Valid</v>
      </c>
      <c r="AH755" s="16" t="str">
        <f t="shared" ref="AH755:AI755" si="1522">IF(OR(B755="",ISBLANK(B755)),"Missing","Valid")</f>
        <v>Valid</v>
      </c>
      <c r="AI755" s="16" t="str">
        <f t="shared" si="1522"/>
        <v>Valid</v>
      </c>
      <c r="AJ755" s="16" t="b">
        <v>0</v>
      </c>
      <c r="AK755" s="16" t="b">
        <v>0</v>
      </c>
      <c r="AL755" s="16" t="b">
        <v>0</v>
      </c>
      <c r="AM755" s="16" t="b">
        <v>0</v>
      </c>
      <c r="AN755" s="16" t="b">
        <v>0</v>
      </c>
      <c r="AO755" s="16" t="b">
        <v>1</v>
      </c>
      <c r="AP755" s="16" t="b">
        <v>1</v>
      </c>
      <c r="AQ755" s="17">
        <f t="shared" si="9"/>
        <v>0.15</v>
      </c>
      <c r="AR755" s="12">
        <f t="shared" si="10"/>
        <v>2593.9109999999996</v>
      </c>
      <c r="AS755" s="18">
        <f t="shared" si="11"/>
        <v>-9.9999999974897946E-4</v>
      </c>
      <c r="AT755" s="12">
        <f t="shared" si="12"/>
        <v>745.43099999999959</v>
      </c>
      <c r="AU755" s="18">
        <f t="shared" si="13"/>
        <v>-9.9999999963529262E-4</v>
      </c>
      <c r="AV755" s="19">
        <f t="shared" si="14"/>
        <v>0.28737724617382776</v>
      </c>
      <c r="AW755" s="20" t="str">
        <f t="shared" si="15"/>
        <v>August</v>
      </c>
      <c r="AX755" s="21">
        <f t="shared" si="16"/>
        <v>2024</v>
      </c>
    </row>
    <row r="756" spans="1:50" ht="15.75" customHeight="1">
      <c r="A756" s="10" t="s">
        <v>2369</v>
      </c>
      <c r="B756" s="11">
        <v>45812</v>
      </c>
      <c r="C756" s="11">
        <v>45812</v>
      </c>
      <c r="D756" s="10" t="s">
        <v>2370</v>
      </c>
      <c r="E756" s="10" t="s">
        <v>108</v>
      </c>
      <c r="F756" s="10" t="s">
        <v>119</v>
      </c>
      <c r="G756" s="10" t="s">
        <v>83</v>
      </c>
      <c r="H756" s="10" t="s">
        <v>214</v>
      </c>
      <c r="I756" s="10" t="s">
        <v>215</v>
      </c>
      <c r="J756" s="10" t="s">
        <v>57</v>
      </c>
      <c r="K756" s="10" t="s">
        <v>153</v>
      </c>
      <c r="L756" s="10" t="s">
        <v>2371</v>
      </c>
      <c r="M756" s="10" t="s">
        <v>88</v>
      </c>
      <c r="N756" s="12">
        <v>4</v>
      </c>
      <c r="O756" s="12">
        <v>891.34</v>
      </c>
      <c r="P756" s="12">
        <v>0.25</v>
      </c>
      <c r="Q756" s="12">
        <v>2674.02</v>
      </c>
      <c r="R756" s="12">
        <v>2207.5700000000002</v>
      </c>
      <c r="S756" s="12">
        <v>466.45</v>
      </c>
      <c r="T756" s="10" t="s">
        <v>61</v>
      </c>
      <c r="U756" s="13" t="s">
        <v>62</v>
      </c>
      <c r="V756" s="14" t="e">
        <f t="shared" ca="1" si="0"/>
        <v>#NAME?</v>
      </c>
      <c r="W756" s="10" t="str">
        <f ca="1">IFERROR(__xludf.DUMMYFUNCTION("IF(COUNTIF($A:$A,A750)=1,
""Unique"",
IF(COUNTUNIQUE(FILTER($V$2:$V$934,$A$2:$A$934=A750))&gt;1,
""Conflicting Duplicate"",
""Exact Duplicate""))"),"Unique")</f>
        <v>Unique</v>
      </c>
      <c r="X756" s="10" t="b">
        <f t="shared" ca="1" si="1"/>
        <v>1</v>
      </c>
      <c r="Y756" s="10" t="str">
        <f t="shared" si="2"/>
        <v>Unique</v>
      </c>
      <c r="Z756" s="10"/>
      <c r="AA756" s="10" t="str">
        <f t="shared" si="3"/>
        <v>Clean</v>
      </c>
      <c r="AB756" s="15" t="str">
        <f t="shared" si="4"/>
        <v>Valid</v>
      </c>
      <c r="AC756" s="15">
        <v>0</v>
      </c>
      <c r="AD756" s="16" t="str">
        <f t="shared" si="5"/>
        <v>Valid</v>
      </c>
      <c r="AE756" s="16" t="str">
        <f t="shared" si="6"/>
        <v>Valid</v>
      </c>
      <c r="AF756" s="16" t="str">
        <f t="shared" ref="AF756:AG756" si="1523">IF(ISNUMBER(B756),"Valid","Invalid")</f>
        <v>Valid</v>
      </c>
      <c r="AG756" s="16" t="str">
        <f t="shared" si="1523"/>
        <v>Valid</v>
      </c>
      <c r="AH756" s="16" t="str">
        <f t="shared" ref="AH756:AI756" si="1524">IF(OR(B756="",ISBLANK(B756)),"Missing","Valid")</f>
        <v>Valid</v>
      </c>
      <c r="AI756" s="16" t="str">
        <f t="shared" si="1524"/>
        <v>Valid</v>
      </c>
      <c r="AJ756" s="16" t="b">
        <v>0</v>
      </c>
      <c r="AK756" s="16" t="b">
        <v>0</v>
      </c>
      <c r="AL756" s="16" t="b">
        <v>0</v>
      </c>
      <c r="AM756" s="16" t="b">
        <v>0</v>
      </c>
      <c r="AN756" s="16" t="b">
        <v>0</v>
      </c>
      <c r="AO756" s="16" t="b">
        <v>0</v>
      </c>
      <c r="AP756" s="16" t="b">
        <v>0</v>
      </c>
      <c r="AQ756" s="17">
        <f t="shared" si="9"/>
        <v>0.25</v>
      </c>
      <c r="AR756" s="12">
        <f t="shared" si="10"/>
        <v>2674.02</v>
      </c>
      <c r="AS756" s="18">
        <f t="shared" si="11"/>
        <v>0</v>
      </c>
      <c r="AT756" s="12">
        <f t="shared" si="12"/>
        <v>466.44999999999982</v>
      </c>
      <c r="AU756" s="18">
        <f t="shared" si="13"/>
        <v>0</v>
      </c>
      <c r="AV756" s="19">
        <f t="shared" si="14"/>
        <v>0.17443773793763689</v>
      </c>
      <c r="AW756" s="20" t="str">
        <f t="shared" si="15"/>
        <v>June</v>
      </c>
      <c r="AX756" s="21">
        <f t="shared" si="16"/>
        <v>2025</v>
      </c>
    </row>
    <row r="757" spans="1:50" ht="15.75" customHeight="1">
      <c r="A757" s="10" t="s">
        <v>2372</v>
      </c>
      <c r="B757" s="11">
        <v>45858</v>
      </c>
      <c r="C757" s="11">
        <v>45862</v>
      </c>
      <c r="D757" s="10" t="s">
        <v>2373</v>
      </c>
      <c r="E757" s="10" t="s">
        <v>143</v>
      </c>
      <c r="F757" s="10" t="s">
        <v>124</v>
      </c>
      <c r="G757" s="10" t="s">
        <v>92</v>
      </c>
      <c r="H757" s="10" t="s">
        <v>101</v>
      </c>
      <c r="I757" s="10" t="s">
        <v>102</v>
      </c>
      <c r="J757" s="10" t="s">
        <v>57</v>
      </c>
      <c r="K757" s="10" t="s">
        <v>153</v>
      </c>
      <c r="L757" s="10" t="s">
        <v>2374</v>
      </c>
      <c r="M757" s="10" t="s">
        <v>60</v>
      </c>
      <c r="N757" s="12">
        <v>5</v>
      </c>
      <c r="O757" s="12">
        <v>2481.7399999999998</v>
      </c>
      <c r="P757" s="12">
        <v>0.2</v>
      </c>
      <c r="Q757" s="12">
        <v>9926.9599999999991</v>
      </c>
      <c r="R757" s="12">
        <v>7994.98</v>
      </c>
      <c r="S757" s="12">
        <v>1931.98</v>
      </c>
      <c r="T757" s="10" t="s">
        <v>61</v>
      </c>
      <c r="U757" s="13" t="s">
        <v>62</v>
      </c>
      <c r="V757" s="14" t="e">
        <f t="shared" ca="1" si="0"/>
        <v>#NAME?</v>
      </c>
      <c r="W757" s="10" t="str">
        <f ca="1">IFERROR(__xludf.DUMMYFUNCTION("IF(COUNTIF($A:$A,A751)=1,
""Unique"",
IF(COUNTUNIQUE(FILTER($V$2:$V$934,$A$2:$A$934=A751))&gt;1,
""Conflicting Duplicate"",
""Exact Duplicate""))"),"Unique")</f>
        <v>Unique</v>
      </c>
      <c r="X757" s="10" t="b">
        <f t="shared" ca="1" si="1"/>
        <v>1</v>
      </c>
      <c r="Y757" s="10" t="str">
        <f t="shared" si="2"/>
        <v>Unique</v>
      </c>
      <c r="Z757" s="10"/>
      <c r="AA757" s="10" t="str">
        <f t="shared" si="3"/>
        <v>Clean</v>
      </c>
      <c r="AB757" s="15" t="str">
        <f t="shared" si="4"/>
        <v>Valid</v>
      </c>
      <c r="AC757" s="15">
        <v>4</v>
      </c>
      <c r="AD757" s="16" t="str">
        <f t="shared" si="5"/>
        <v>Valid</v>
      </c>
      <c r="AE757" s="16" t="str">
        <f t="shared" si="6"/>
        <v>Valid</v>
      </c>
      <c r="AF757" s="16" t="str">
        <f t="shared" ref="AF757:AG757" si="1525">IF(ISNUMBER(B757),"Valid","Invalid")</f>
        <v>Valid</v>
      </c>
      <c r="AG757" s="16" t="str">
        <f t="shared" si="1525"/>
        <v>Valid</v>
      </c>
      <c r="AH757" s="16" t="str">
        <f t="shared" ref="AH757:AI757" si="1526">IF(OR(B757="",ISBLANK(B757)),"Missing","Valid")</f>
        <v>Valid</v>
      </c>
      <c r="AI757" s="16" t="str">
        <f t="shared" si="1526"/>
        <v>Valid</v>
      </c>
      <c r="AJ757" s="16" t="b">
        <v>0</v>
      </c>
      <c r="AK757" s="16" t="b">
        <v>0</v>
      </c>
      <c r="AL757" s="16" t="b">
        <v>0</v>
      </c>
      <c r="AM757" s="16" t="b">
        <v>0</v>
      </c>
      <c r="AN757" s="16" t="b">
        <v>0</v>
      </c>
      <c r="AO757" s="16" t="b">
        <v>0</v>
      </c>
      <c r="AP757" s="16" t="b">
        <v>0</v>
      </c>
      <c r="AQ757" s="17">
        <f t="shared" si="9"/>
        <v>0.2</v>
      </c>
      <c r="AR757" s="12">
        <f t="shared" si="10"/>
        <v>9926.9599999999991</v>
      </c>
      <c r="AS757" s="18">
        <f t="shared" si="11"/>
        <v>0</v>
      </c>
      <c r="AT757" s="12">
        <f t="shared" si="12"/>
        <v>1931.9799999999996</v>
      </c>
      <c r="AU757" s="18">
        <f t="shared" si="13"/>
        <v>0</v>
      </c>
      <c r="AV757" s="19">
        <f t="shared" si="14"/>
        <v>0.19461950083409219</v>
      </c>
      <c r="AW757" s="20" t="str">
        <f t="shared" si="15"/>
        <v>July</v>
      </c>
      <c r="AX757" s="21">
        <f t="shared" si="16"/>
        <v>2025</v>
      </c>
    </row>
    <row r="758" spans="1:50" ht="15.75" customHeight="1">
      <c r="A758" s="10" t="s">
        <v>2375</v>
      </c>
      <c r="B758" s="11">
        <v>45592</v>
      </c>
      <c r="C758" s="11">
        <v>45597</v>
      </c>
      <c r="D758" s="10" t="s">
        <v>2376</v>
      </c>
      <c r="E758" s="10" t="s">
        <v>170</v>
      </c>
      <c r="F758" s="10" t="s">
        <v>53</v>
      </c>
      <c r="G758" s="10" t="s">
        <v>54</v>
      </c>
      <c r="H758" s="10" t="s">
        <v>55</v>
      </c>
      <c r="I758" s="10" t="s">
        <v>56</v>
      </c>
      <c r="J758" s="10" t="s">
        <v>103</v>
      </c>
      <c r="K758" s="10" t="s">
        <v>104</v>
      </c>
      <c r="L758" s="10" t="s">
        <v>2377</v>
      </c>
      <c r="M758" s="10" t="s">
        <v>73</v>
      </c>
      <c r="N758" s="12">
        <v>7</v>
      </c>
      <c r="O758" s="12">
        <v>2177.1</v>
      </c>
      <c r="P758" s="12">
        <v>0.2</v>
      </c>
      <c r="Q758" s="12">
        <v>12191.76</v>
      </c>
      <c r="R758" s="12">
        <v>10457.49</v>
      </c>
      <c r="S758" s="12">
        <v>1734.27</v>
      </c>
      <c r="T758" s="10" t="s">
        <v>61</v>
      </c>
      <c r="U758" s="13" t="s">
        <v>132</v>
      </c>
      <c r="V758" s="14" t="e">
        <f t="shared" ca="1" si="0"/>
        <v>#NAME?</v>
      </c>
      <c r="W758" s="10" t="str">
        <f ca="1">IFERROR(__xludf.DUMMYFUNCTION("IF(COUNTIF($A:$A,A752)=1,
""Unique"",
IF(COUNTUNIQUE(FILTER($V$2:$V$934,$A$2:$A$934=A752))&gt;1,
""Conflicting Duplicate"",
""Exact Duplicate""))"),"Unique")</f>
        <v>Unique</v>
      </c>
      <c r="X758" s="10" t="b">
        <f t="shared" ca="1" si="1"/>
        <v>1</v>
      </c>
      <c r="Y758" s="10" t="str">
        <f t="shared" si="2"/>
        <v>Unique</v>
      </c>
      <c r="Z758" s="10"/>
      <c r="AA758" s="10" t="str">
        <f t="shared" si="3"/>
        <v>Clean</v>
      </c>
      <c r="AB758" s="15" t="str">
        <f t="shared" si="4"/>
        <v>Valid</v>
      </c>
      <c r="AC758" s="15">
        <v>5</v>
      </c>
      <c r="AD758" s="16" t="str">
        <f t="shared" si="5"/>
        <v>Valid</v>
      </c>
      <c r="AE758" s="16" t="str">
        <f t="shared" si="6"/>
        <v>Valid</v>
      </c>
      <c r="AF758" s="16" t="str">
        <f t="shared" ref="AF758:AG758" si="1527">IF(ISNUMBER(B758),"Valid","Invalid")</f>
        <v>Valid</v>
      </c>
      <c r="AG758" s="16" t="str">
        <f t="shared" si="1527"/>
        <v>Valid</v>
      </c>
      <c r="AH758" s="16" t="str">
        <f t="shared" ref="AH758:AI758" si="1528">IF(OR(B758="",ISBLANK(B758)),"Missing","Valid")</f>
        <v>Valid</v>
      </c>
      <c r="AI758" s="16" t="str">
        <f t="shared" si="1528"/>
        <v>Valid</v>
      </c>
      <c r="AJ758" s="16" t="b">
        <v>0</v>
      </c>
      <c r="AK758" s="16" t="b">
        <v>0</v>
      </c>
      <c r="AL758" s="16" t="b">
        <v>0</v>
      </c>
      <c r="AM758" s="16" t="b">
        <v>0</v>
      </c>
      <c r="AN758" s="16" t="b">
        <v>0</v>
      </c>
      <c r="AO758" s="16" t="b">
        <v>0</v>
      </c>
      <c r="AP758" s="16" t="b">
        <v>0</v>
      </c>
      <c r="AQ758" s="17">
        <f t="shared" si="9"/>
        <v>0.2</v>
      </c>
      <c r="AR758" s="12">
        <f t="shared" si="10"/>
        <v>12191.76</v>
      </c>
      <c r="AS758" s="18">
        <f t="shared" si="11"/>
        <v>0</v>
      </c>
      <c r="AT758" s="12">
        <f t="shared" si="12"/>
        <v>1734.2700000000004</v>
      </c>
      <c r="AU758" s="18">
        <f t="shared" si="13"/>
        <v>0</v>
      </c>
      <c r="AV758" s="19">
        <f t="shared" si="14"/>
        <v>0.14224935530226976</v>
      </c>
      <c r="AW758" s="20" t="str">
        <f t="shared" si="15"/>
        <v>October</v>
      </c>
      <c r="AX758" s="21">
        <f t="shared" si="16"/>
        <v>2024</v>
      </c>
    </row>
    <row r="759" spans="1:50" ht="15.75" customHeight="1">
      <c r="A759" s="10" t="s">
        <v>2378</v>
      </c>
      <c r="B759" s="11">
        <v>45870</v>
      </c>
      <c r="C759" s="11">
        <v>45872</v>
      </c>
      <c r="D759" s="10" t="s">
        <v>2379</v>
      </c>
      <c r="E759" s="10" t="s">
        <v>118</v>
      </c>
      <c r="F759" s="10" t="s">
        <v>66</v>
      </c>
      <c r="G759" s="10" t="s">
        <v>83</v>
      </c>
      <c r="H759" s="10" t="s">
        <v>214</v>
      </c>
      <c r="I759" s="10" t="s">
        <v>215</v>
      </c>
      <c r="J759" s="10" t="s">
        <v>70</v>
      </c>
      <c r="K759" s="10" t="s">
        <v>187</v>
      </c>
      <c r="L759" s="10" t="s">
        <v>2380</v>
      </c>
      <c r="M759" s="10" t="s">
        <v>88</v>
      </c>
      <c r="N759" s="12">
        <v>3</v>
      </c>
      <c r="O759" s="12">
        <v>1904.78</v>
      </c>
      <c r="P759" s="12">
        <v>0.25</v>
      </c>
      <c r="Q759" s="12">
        <v>4285.76</v>
      </c>
      <c r="R759" s="12">
        <v>2386.33</v>
      </c>
      <c r="S759" s="12">
        <v>1899.43</v>
      </c>
      <c r="T759" s="10" t="s">
        <v>184</v>
      </c>
      <c r="U759" s="13" t="s">
        <v>97</v>
      </c>
      <c r="V759" s="14" t="e">
        <f t="shared" ca="1" si="0"/>
        <v>#NAME?</v>
      </c>
      <c r="W759" s="10" t="str">
        <f ca="1">IFERROR(__xludf.DUMMYFUNCTION("IF(COUNTIF($A:$A,A753)=1,
""Unique"",
IF(COUNTUNIQUE(FILTER($V$2:$V$934,$A$2:$A$934=A753))&gt;1,
""Conflicting Duplicate"",
""Exact Duplicate""))"),"Unique")</f>
        <v>Unique</v>
      </c>
      <c r="X759" s="10" t="b">
        <f t="shared" ca="1" si="1"/>
        <v>1</v>
      </c>
      <c r="Y759" s="10" t="str">
        <f t="shared" si="2"/>
        <v>Unique</v>
      </c>
      <c r="Z759" s="10"/>
      <c r="AA759" s="10" t="str">
        <f t="shared" si="3"/>
        <v>Clean</v>
      </c>
      <c r="AB759" s="15" t="str">
        <f t="shared" si="4"/>
        <v>Valid</v>
      </c>
      <c r="AC759" s="15">
        <v>2</v>
      </c>
      <c r="AD759" s="16" t="str">
        <f t="shared" si="5"/>
        <v>Valid</v>
      </c>
      <c r="AE759" s="16" t="str">
        <f t="shared" si="6"/>
        <v>Valid</v>
      </c>
      <c r="AF759" s="16" t="str">
        <f t="shared" ref="AF759:AG759" si="1529">IF(ISNUMBER(B759),"Valid","Invalid")</f>
        <v>Valid</v>
      </c>
      <c r="AG759" s="16" t="str">
        <f t="shared" si="1529"/>
        <v>Valid</v>
      </c>
      <c r="AH759" s="16" t="str">
        <f t="shared" ref="AH759:AI759" si="1530">IF(OR(B759="",ISBLANK(B759)),"Missing","Valid")</f>
        <v>Valid</v>
      </c>
      <c r="AI759" s="16" t="str">
        <f t="shared" si="1530"/>
        <v>Valid</v>
      </c>
      <c r="AJ759" s="16" t="b">
        <v>0</v>
      </c>
      <c r="AK759" s="16" t="b">
        <v>0</v>
      </c>
      <c r="AL759" s="16" t="b">
        <v>0</v>
      </c>
      <c r="AM759" s="16" t="b">
        <v>0</v>
      </c>
      <c r="AN759" s="16" t="b">
        <v>0</v>
      </c>
      <c r="AO759" s="16" t="b">
        <v>0</v>
      </c>
      <c r="AP759" s="16" t="b">
        <v>0</v>
      </c>
      <c r="AQ759" s="17">
        <f t="shared" si="9"/>
        <v>0.25</v>
      </c>
      <c r="AR759" s="12">
        <f t="shared" si="10"/>
        <v>4285.7550000000001</v>
      </c>
      <c r="AS759" s="18">
        <f t="shared" si="11"/>
        <v>5.0000000001091394E-3</v>
      </c>
      <c r="AT759" s="12">
        <f t="shared" si="12"/>
        <v>1899.4250000000002</v>
      </c>
      <c r="AU759" s="18">
        <f t="shared" si="13"/>
        <v>4.9999999998817657E-3</v>
      </c>
      <c r="AV759" s="19">
        <f t="shared" si="14"/>
        <v>0.44319495631458172</v>
      </c>
      <c r="AW759" s="20" t="str">
        <f t="shared" si="15"/>
        <v>August</v>
      </c>
      <c r="AX759" s="21">
        <f t="shared" si="16"/>
        <v>2025</v>
      </c>
    </row>
    <row r="760" spans="1:50" ht="15.75" customHeight="1">
      <c r="A760" s="10" t="s">
        <v>2381</v>
      </c>
      <c r="B760" s="11">
        <v>45414</v>
      </c>
      <c r="C760" s="11">
        <v>45422</v>
      </c>
      <c r="D760" s="10" t="s">
        <v>2382</v>
      </c>
      <c r="E760" s="10" t="s">
        <v>157</v>
      </c>
      <c r="F760" s="10" t="s">
        <v>66</v>
      </c>
      <c r="G760" s="10" t="s">
        <v>83</v>
      </c>
      <c r="H760" s="10" t="s">
        <v>204</v>
      </c>
      <c r="I760" s="10" t="s">
        <v>205</v>
      </c>
      <c r="J760" s="10" t="s">
        <v>70</v>
      </c>
      <c r="K760" s="10" t="s">
        <v>95</v>
      </c>
      <c r="L760" s="10" t="s">
        <v>2383</v>
      </c>
      <c r="M760" s="10" t="s">
        <v>88</v>
      </c>
      <c r="N760" s="12">
        <v>1</v>
      </c>
      <c r="O760" s="12">
        <v>4166.91</v>
      </c>
      <c r="P760" s="12">
        <v>0</v>
      </c>
      <c r="Q760" s="12">
        <v>4166.91</v>
      </c>
      <c r="R760" s="12">
        <v>3412.63</v>
      </c>
      <c r="S760" s="12">
        <v>754.28</v>
      </c>
      <c r="T760" s="10" t="s">
        <v>61</v>
      </c>
      <c r="U760" s="13" t="s">
        <v>62</v>
      </c>
      <c r="V760" s="14" t="e">
        <f t="shared" ca="1" si="0"/>
        <v>#NAME?</v>
      </c>
      <c r="W760" s="10" t="str">
        <f ca="1">IFERROR(__xludf.DUMMYFUNCTION("IF(COUNTIF($A:$A,A754)=1,
""Unique"",
IF(COUNTUNIQUE(FILTER($V$2:$V$934,$A$2:$A$934=A754))&gt;1,
""Conflicting Duplicate"",
""Exact Duplicate""))"),"Unique")</f>
        <v>Unique</v>
      </c>
      <c r="X760" s="10" t="b">
        <f t="shared" ca="1" si="1"/>
        <v>1</v>
      </c>
      <c r="Y760" s="10" t="str">
        <f t="shared" si="2"/>
        <v>Unique</v>
      </c>
      <c r="Z760" s="10"/>
      <c r="AA760" s="10" t="str">
        <f t="shared" si="3"/>
        <v>Clean</v>
      </c>
      <c r="AB760" s="15" t="str">
        <f t="shared" si="4"/>
        <v>Valid</v>
      </c>
      <c r="AC760" s="15">
        <v>8</v>
      </c>
      <c r="AD760" s="16" t="str">
        <f t="shared" si="5"/>
        <v>Valid</v>
      </c>
      <c r="AE760" s="16" t="str">
        <f t="shared" si="6"/>
        <v>Valid</v>
      </c>
      <c r="AF760" s="16" t="str">
        <f t="shared" ref="AF760:AG760" si="1531">IF(ISNUMBER(B760),"Valid","Invalid")</f>
        <v>Valid</v>
      </c>
      <c r="AG760" s="16" t="str">
        <f t="shared" si="1531"/>
        <v>Valid</v>
      </c>
      <c r="AH760" s="16" t="str">
        <f t="shared" ref="AH760:AI760" si="1532">IF(OR(B760="",ISBLANK(B760)),"Missing","Valid")</f>
        <v>Valid</v>
      </c>
      <c r="AI760" s="16" t="str">
        <f t="shared" si="1532"/>
        <v>Valid</v>
      </c>
      <c r="AJ760" s="16" t="b">
        <v>0</v>
      </c>
      <c r="AK760" s="16" t="b">
        <v>0</v>
      </c>
      <c r="AL760" s="16" t="b">
        <v>0</v>
      </c>
      <c r="AM760" s="16" t="b">
        <v>0</v>
      </c>
      <c r="AN760" s="16" t="b">
        <v>0</v>
      </c>
      <c r="AO760" s="16" t="b">
        <v>0</v>
      </c>
      <c r="AP760" s="16" t="b">
        <v>0</v>
      </c>
      <c r="AQ760" s="17">
        <f t="shared" si="9"/>
        <v>0</v>
      </c>
      <c r="AR760" s="12">
        <f t="shared" si="10"/>
        <v>4166.91</v>
      </c>
      <c r="AS760" s="18">
        <f t="shared" si="11"/>
        <v>0</v>
      </c>
      <c r="AT760" s="12">
        <f t="shared" si="12"/>
        <v>754.27999999999975</v>
      </c>
      <c r="AU760" s="18">
        <f t="shared" si="13"/>
        <v>0</v>
      </c>
      <c r="AV760" s="19">
        <f t="shared" si="14"/>
        <v>0.18101662862888801</v>
      </c>
      <c r="AW760" s="20" t="str">
        <f t="shared" si="15"/>
        <v>May</v>
      </c>
      <c r="AX760" s="21">
        <f t="shared" si="16"/>
        <v>2024</v>
      </c>
    </row>
    <row r="761" spans="1:50" ht="15.75" customHeight="1">
      <c r="A761" s="10" t="s">
        <v>2384</v>
      </c>
      <c r="B761" s="11">
        <v>45492</v>
      </c>
      <c r="C761" s="11">
        <v>45499</v>
      </c>
      <c r="D761" s="10" t="s">
        <v>2385</v>
      </c>
      <c r="E761" s="10" t="s">
        <v>82</v>
      </c>
      <c r="F761" s="10" t="s">
        <v>124</v>
      </c>
      <c r="G761" s="10" t="s">
        <v>83</v>
      </c>
      <c r="H761" s="10" t="s">
        <v>204</v>
      </c>
      <c r="I761" s="10" t="s">
        <v>205</v>
      </c>
      <c r="J761" s="10" t="s">
        <v>70</v>
      </c>
      <c r="K761" s="10" t="s">
        <v>71</v>
      </c>
      <c r="L761" s="10" t="s">
        <v>2386</v>
      </c>
      <c r="M761" s="10" t="s">
        <v>60</v>
      </c>
      <c r="N761" s="12">
        <v>5</v>
      </c>
      <c r="O761" s="12">
        <v>3986.01</v>
      </c>
      <c r="P761" s="12">
        <v>0.25</v>
      </c>
      <c r="Q761" s="12">
        <v>14947.54</v>
      </c>
      <c r="R761" s="12">
        <v>9438.4599999999991</v>
      </c>
      <c r="S761" s="12">
        <v>5509.08</v>
      </c>
      <c r="T761" s="10" t="s">
        <v>61</v>
      </c>
      <c r="U761" s="13" t="s">
        <v>62</v>
      </c>
      <c r="V761" s="14" t="e">
        <f t="shared" ca="1" si="0"/>
        <v>#NAME?</v>
      </c>
      <c r="W761" s="10" t="str">
        <f ca="1">IFERROR(__xludf.DUMMYFUNCTION("IF(COUNTIF($A:$A,A755)=1,
""Unique"",
IF(COUNTUNIQUE(FILTER($V$2:$V$934,$A$2:$A$934=A755))&gt;1,
""Conflicting Duplicate"",
""Exact Duplicate""))"),"Unique")</f>
        <v>Unique</v>
      </c>
      <c r="X761" s="10" t="b">
        <f t="shared" ca="1" si="1"/>
        <v>1</v>
      </c>
      <c r="Y761" s="10" t="str">
        <f t="shared" si="2"/>
        <v>Unique</v>
      </c>
      <c r="Z761" s="10"/>
      <c r="AA761" s="10" t="str">
        <f t="shared" si="3"/>
        <v>Clean</v>
      </c>
      <c r="AB761" s="15" t="str">
        <f t="shared" si="4"/>
        <v>Valid</v>
      </c>
      <c r="AC761" s="15">
        <v>7</v>
      </c>
      <c r="AD761" s="16" t="str">
        <f t="shared" si="5"/>
        <v>Valid</v>
      </c>
      <c r="AE761" s="16" t="str">
        <f t="shared" si="6"/>
        <v>Valid</v>
      </c>
      <c r="AF761" s="16" t="str">
        <f t="shared" ref="AF761:AG761" si="1533">IF(ISNUMBER(B761),"Valid","Invalid")</f>
        <v>Valid</v>
      </c>
      <c r="AG761" s="16" t="str">
        <f t="shared" si="1533"/>
        <v>Valid</v>
      </c>
      <c r="AH761" s="16" t="str">
        <f t="shared" ref="AH761:AI761" si="1534">IF(OR(B761="",ISBLANK(B761)),"Missing","Valid")</f>
        <v>Valid</v>
      </c>
      <c r="AI761" s="16" t="str">
        <f t="shared" si="1534"/>
        <v>Valid</v>
      </c>
      <c r="AJ761" s="16" t="b">
        <v>0</v>
      </c>
      <c r="AK761" s="16" t="b">
        <v>0</v>
      </c>
      <c r="AL761" s="16" t="b">
        <v>0</v>
      </c>
      <c r="AM761" s="16" t="b">
        <v>0</v>
      </c>
      <c r="AN761" s="16" t="b">
        <v>0</v>
      </c>
      <c r="AO761" s="16" t="b">
        <v>0</v>
      </c>
      <c r="AP761" s="16" t="b">
        <v>0</v>
      </c>
      <c r="AQ761" s="17">
        <f t="shared" si="9"/>
        <v>0.25</v>
      </c>
      <c r="AR761" s="12">
        <f t="shared" si="10"/>
        <v>14947.537500000002</v>
      </c>
      <c r="AS761" s="18">
        <f t="shared" si="11"/>
        <v>2.4999999986903276E-3</v>
      </c>
      <c r="AT761" s="12">
        <f t="shared" si="12"/>
        <v>5509.0775000000031</v>
      </c>
      <c r="AU761" s="18">
        <f t="shared" si="13"/>
        <v>2.4999999968713382E-3</v>
      </c>
      <c r="AV761" s="19">
        <f t="shared" si="14"/>
        <v>0.36856087499362367</v>
      </c>
      <c r="AW761" s="20" t="str">
        <f t="shared" si="15"/>
        <v>July</v>
      </c>
      <c r="AX761" s="21">
        <f t="shared" si="16"/>
        <v>2024</v>
      </c>
    </row>
    <row r="762" spans="1:50" ht="15.75" customHeight="1">
      <c r="A762" s="10" t="s">
        <v>2387</v>
      </c>
      <c r="B762" s="11">
        <v>45532</v>
      </c>
      <c r="C762" s="11">
        <v>45537</v>
      </c>
      <c r="D762" s="10" t="s">
        <v>2388</v>
      </c>
      <c r="E762" s="10" t="s">
        <v>118</v>
      </c>
      <c r="F762" s="10" t="s">
        <v>124</v>
      </c>
      <c r="G762" s="10" t="s">
        <v>67</v>
      </c>
      <c r="H762" s="10" t="s">
        <v>195</v>
      </c>
      <c r="I762" s="10" t="s">
        <v>196</v>
      </c>
      <c r="J762" s="10" t="s">
        <v>57</v>
      </c>
      <c r="K762" s="10" t="s">
        <v>77</v>
      </c>
      <c r="L762" s="10" t="s">
        <v>2389</v>
      </c>
      <c r="M762" s="10" t="s">
        <v>60</v>
      </c>
      <c r="N762" s="12">
        <v>4</v>
      </c>
      <c r="O762" s="12">
        <v>3365.53</v>
      </c>
      <c r="P762" s="12">
        <v>0</v>
      </c>
      <c r="Q762" s="12">
        <v>13462.12</v>
      </c>
      <c r="R762" s="12">
        <v>7600.63</v>
      </c>
      <c r="S762" s="12">
        <v>5861.49</v>
      </c>
      <c r="T762" s="10" t="s">
        <v>140</v>
      </c>
      <c r="U762" s="13" t="s">
        <v>132</v>
      </c>
      <c r="V762" s="14" t="e">
        <f t="shared" ca="1" si="0"/>
        <v>#NAME?</v>
      </c>
      <c r="W762" s="10" t="str">
        <f ca="1">IFERROR(__xludf.DUMMYFUNCTION("IF(COUNTIF($A:$A,A756)=1,
""Unique"",
IF(COUNTUNIQUE(FILTER($V$2:$V$934,$A$2:$A$934=A756))&gt;1,
""Conflicting Duplicate"",
""Exact Duplicate""))"),"Unique")</f>
        <v>Unique</v>
      </c>
      <c r="X762" s="10" t="b">
        <f t="shared" ca="1" si="1"/>
        <v>1</v>
      </c>
      <c r="Y762" s="10" t="str">
        <f t="shared" si="2"/>
        <v>Unique</v>
      </c>
      <c r="Z762" s="10"/>
      <c r="AA762" s="10" t="str">
        <f t="shared" si="3"/>
        <v>Clean</v>
      </c>
      <c r="AB762" s="15" t="str">
        <f t="shared" si="4"/>
        <v>Valid</v>
      </c>
      <c r="AC762" s="15">
        <v>5</v>
      </c>
      <c r="AD762" s="16" t="str">
        <f t="shared" si="5"/>
        <v>Valid</v>
      </c>
      <c r="AE762" s="16" t="str">
        <f t="shared" si="6"/>
        <v>Valid</v>
      </c>
      <c r="AF762" s="16" t="str">
        <f t="shared" ref="AF762:AG762" si="1535">IF(ISNUMBER(B762),"Valid","Invalid")</f>
        <v>Valid</v>
      </c>
      <c r="AG762" s="16" t="str">
        <f t="shared" si="1535"/>
        <v>Valid</v>
      </c>
      <c r="AH762" s="16" t="str">
        <f t="shared" ref="AH762:AI762" si="1536">IF(OR(B762="",ISBLANK(B762)),"Missing","Valid")</f>
        <v>Valid</v>
      </c>
      <c r="AI762" s="16" t="str">
        <f t="shared" si="1536"/>
        <v>Valid</v>
      </c>
      <c r="AJ762" s="16" t="b">
        <v>0</v>
      </c>
      <c r="AK762" s="16" t="b">
        <v>0</v>
      </c>
      <c r="AL762" s="16" t="b">
        <v>0</v>
      </c>
      <c r="AM762" s="16" t="b">
        <v>0</v>
      </c>
      <c r="AN762" s="16" t="b">
        <v>0</v>
      </c>
      <c r="AO762" s="16" t="b">
        <v>0</v>
      </c>
      <c r="AP762" s="16" t="b">
        <v>0</v>
      </c>
      <c r="AQ762" s="17">
        <f t="shared" si="9"/>
        <v>0</v>
      </c>
      <c r="AR762" s="12">
        <f t="shared" si="10"/>
        <v>13462.12</v>
      </c>
      <c r="AS762" s="18">
        <f t="shared" si="11"/>
        <v>0</v>
      </c>
      <c r="AT762" s="12">
        <f t="shared" si="12"/>
        <v>5861.4900000000007</v>
      </c>
      <c r="AU762" s="18">
        <f t="shared" si="13"/>
        <v>0</v>
      </c>
      <c r="AV762" s="19">
        <f t="shared" si="14"/>
        <v>0.43540616188237813</v>
      </c>
      <c r="AW762" s="20" t="str">
        <f t="shared" si="15"/>
        <v>August</v>
      </c>
      <c r="AX762" s="21">
        <f t="shared" si="16"/>
        <v>2024</v>
      </c>
    </row>
    <row r="763" spans="1:50" ht="15.75" customHeight="1">
      <c r="A763" s="10" t="s">
        <v>2390</v>
      </c>
      <c r="B763" s="11">
        <v>45896</v>
      </c>
      <c r="C763" s="11">
        <v>45900</v>
      </c>
      <c r="D763" s="10" t="s">
        <v>2391</v>
      </c>
      <c r="E763" s="10" t="s">
        <v>76</v>
      </c>
      <c r="F763" s="10" t="s">
        <v>53</v>
      </c>
      <c r="G763" s="10" t="s">
        <v>83</v>
      </c>
      <c r="H763" s="10" t="s">
        <v>204</v>
      </c>
      <c r="I763" s="10" t="s">
        <v>205</v>
      </c>
      <c r="J763" s="10" t="s">
        <v>103</v>
      </c>
      <c r="K763" s="10" t="s">
        <v>304</v>
      </c>
      <c r="L763" s="10" t="s">
        <v>2392</v>
      </c>
      <c r="M763" s="10" t="s">
        <v>79</v>
      </c>
      <c r="N763" s="12">
        <v>3</v>
      </c>
      <c r="O763" s="12">
        <v>2489.12</v>
      </c>
      <c r="P763" s="12">
        <v>0</v>
      </c>
      <c r="Q763" s="12">
        <v>7467.36</v>
      </c>
      <c r="R763" s="12">
        <v>5010.6099999999997</v>
      </c>
      <c r="S763" s="12">
        <v>2456.75</v>
      </c>
      <c r="T763" s="10" t="s">
        <v>61</v>
      </c>
      <c r="U763" s="13" t="s">
        <v>62</v>
      </c>
      <c r="V763" s="14" t="e">
        <f t="shared" ca="1" si="0"/>
        <v>#NAME?</v>
      </c>
      <c r="W763" s="10" t="str">
        <f ca="1">IFERROR(__xludf.DUMMYFUNCTION("IF(COUNTIF($A:$A,A757)=1,
""Unique"",
IF(COUNTUNIQUE(FILTER($V$2:$V$934,$A$2:$A$934=A757))&gt;1,
""Conflicting Duplicate"",
""Exact Duplicate""))"),"Unique")</f>
        <v>Unique</v>
      </c>
      <c r="X763" s="10" t="b">
        <f t="shared" ca="1" si="1"/>
        <v>1</v>
      </c>
      <c r="Y763" s="10" t="str">
        <f t="shared" si="2"/>
        <v>Unique</v>
      </c>
      <c r="Z763" s="10"/>
      <c r="AA763" s="10" t="str">
        <f t="shared" si="3"/>
        <v>Clean</v>
      </c>
      <c r="AB763" s="15" t="str">
        <f t="shared" si="4"/>
        <v>Valid</v>
      </c>
      <c r="AC763" s="15">
        <v>4</v>
      </c>
      <c r="AD763" s="16" t="str">
        <f t="shared" si="5"/>
        <v>Valid</v>
      </c>
      <c r="AE763" s="16" t="str">
        <f t="shared" si="6"/>
        <v>Valid</v>
      </c>
      <c r="AF763" s="16" t="str">
        <f t="shared" ref="AF763:AG763" si="1537">IF(ISNUMBER(B763),"Valid","Invalid")</f>
        <v>Valid</v>
      </c>
      <c r="AG763" s="16" t="str">
        <f t="shared" si="1537"/>
        <v>Valid</v>
      </c>
      <c r="AH763" s="16" t="str">
        <f t="shared" ref="AH763:AI763" si="1538">IF(OR(B763="",ISBLANK(B763)),"Missing","Valid")</f>
        <v>Valid</v>
      </c>
      <c r="AI763" s="16" t="str">
        <f t="shared" si="1538"/>
        <v>Valid</v>
      </c>
      <c r="AJ763" s="16" t="b">
        <v>0</v>
      </c>
      <c r="AK763" s="16" t="b">
        <v>0</v>
      </c>
      <c r="AL763" s="16" t="b">
        <v>0</v>
      </c>
      <c r="AM763" s="16" t="b">
        <v>0</v>
      </c>
      <c r="AN763" s="16" t="b">
        <v>0</v>
      </c>
      <c r="AO763" s="16" t="b">
        <v>0</v>
      </c>
      <c r="AP763" s="16" t="b">
        <v>0</v>
      </c>
      <c r="AQ763" s="17">
        <f t="shared" si="9"/>
        <v>0</v>
      </c>
      <c r="AR763" s="12">
        <f t="shared" si="10"/>
        <v>7467.36</v>
      </c>
      <c r="AS763" s="18">
        <f t="shared" si="11"/>
        <v>0</v>
      </c>
      <c r="AT763" s="12">
        <f t="shared" si="12"/>
        <v>2456.75</v>
      </c>
      <c r="AU763" s="18">
        <f t="shared" si="13"/>
        <v>0</v>
      </c>
      <c r="AV763" s="19">
        <f t="shared" si="14"/>
        <v>0.32899846799940008</v>
      </c>
      <c r="AW763" s="20" t="str">
        <f t="shared" si="15"/>
        <v>August</v>
      </c>
      <c r="AX763" s="21">
        <f t="shared" si="16"/>
        <v>2025</v>
      </c>
    </row>
    <row r="764" spans="1:50" ht="15.75" customHeight="1">
      <c r="A764" s="10" t="s">
        <v>2393</v>
      </c>
      <c r="B764" s="11">
        <v>45292</v>
      </c>
      <c r="C764" s="11">
        <v>45296</v>
      </c>
      <c r="D764" s="10" t="s">
        <v>2394</v>
      </c>
      <c r="E764" s="10" t="s">
        <v>191</v>
      </c>
      <c r="F764" s="10" t="s">
        <v>119</v>
      </c>
      <c r="G764" s="10" t="s">
        <v>92</v>
      </c>
      <c r="H764" s="10" t="s">
        <v>101</v>
      </c>
      <c r="I764" s="10" t="s">
        <v>102</v>
      </c>
      <c r="J764" s="10" t="s">
        <v>103</v>
      </c>
      <c r="K764" s="10" t="s">
        <v>304</v>
      </c>
      <c r="L764" s="10" t="s">
        <v>2395</v>
      </c>
      <c r="M764" s="10" t="s">
        <v>60</v>
      </c>
      <c r="N764" s="12">
        <v>2</v>
      </c>
      <c r="O764" s="12">
        <v>3694.12</v>
      </c>
      <c r="P764" s="12">
        <v>0.2</v>
      </c>
      <c r="Q764" s="12">
        <v>5910.59</v>
      </c>
      <c r="R764" s="12">
        <v>4775.4399999999996</v>
      </c>
      <c r="S764" s="12">
        <v>1135.1500000000001</v>
      </c>
      <c r="T764" s="10" t="s">
        <v>131</v>
      </c>
      <c r="U764" s="13" t="s">
        <v>132</v>
      </c>
      <c r="V764" s="14" t="e">
        <f t="shared" ca="1" si="0"/>
        <v>#NAME?</v>
      </c>
      <c r="W764" s="10" t="str">
        <f ca="1">IFERROR(__xludf.DUMMYFUNCTION("IF(COUNTIF($A:$A,A758)=1,
""Unique"",
IF(COUNTUNIQUE(FILTER($V$2:$V$934,$A$2:$A$934=A758))&gt;1,
""Conflicting Duplicate"",
""Exact Duplicate""))"),"Unique")</f>
        <v>Unique</v>
      </c>
      <c r="X764" s="10" t="b">
        <f t="shared" ca="1" si="1"/>
        <v>1</v>
      </c>
      <c r="Y764" s="10" t="str">
        <f t="shared" si="2"/>
        <v>Unique</v>
      </c>
      <c r="Z764" s="10"/>
      <c r="AA764" s="10" t="str">
        <f t="shared" si="3"/>
        <v>Clean</v>
      </c>
      <c r="AB764" s="15" t="str">
        <f t="shared" si="4"/>
        <v>Valid</v>
      </c>
      <c r="AC764" s="15">
        <v>4</v>
      </c>
      <c r="AD764" s="16" t="str">
        <f t="shared" si="5"/>
        <v>Valid</v>
      </c>
      <c r="AE764" s="16" t="str">
        <f t="shared" si="6"/>
        <v>Valid</v>
      </c>
      <c r="AF764" s="16" t="str">
        <f t="shared" ref="AF764:AG764" si="1539">IF(ISNUMBER(B764),"Valid","Invalid")</f>
        <v>Valid</v>
      </c>
      <c r="AG764" s="16" t="str">
        <f t="shared" si="1539"/>
        <v>Valid</v>
      </c>
      <c r="AH764" s="16" t="str">
        <f t="shared" ref="AH764:AI764" si="1540">IF(OR(B764="",ISBLANK(B764)),"Missing","Valid")</f>
        <v>Valid</v>
      </c>
      <c r="AI764" s="16" t="str">
        <f t="shared" si="1540"/>
        <v>Valid</v>
      </c>
      <c r="AJ764" s="16" t="b">
        <v>0</v>
      </c>
      <c r="AK764" s="16" t="b">
        <v>0</v>
      </c>
      <c r="AL764" s="16" t="b">
        <v>0</v>
      </c>
      <c r="AM764" s="16" t="b">
        <v>0</v>
      </c>
      <c r="AN764" s="16" t="b">
        <v>0</v>
      </c>
      <c r="AO764" s="16" t="b">
        <v>0</v>
      </c>
      <c r="AP764" s="16" t="b">
        <v>0</v>
      </c>
      <c r="AQ764" s="17">
        <f t="shared" si="9"/>
        <v>0.2</v>
      </c>
      <c r="AR764" s="12">
        <f t="shared" si="10"/>
        <v>5910.5920000000006</v>
      </c>
      <c r="AS764" s="18">
        <f t="shared" si="11"/>
        <v>-2.0000000004074536E-3</v>
      </c>
      <c r="AT764" s="12">
        <f t="shared" si="12"/>
        <v>1135.152000000001</v>
      </c>
      <c r="AU764" s="18">
        <f t="shared" si="13"/>
        <v>-2.000000000862201E-3</v>
      </c>
      <c r="AV764" s="19">
        <f t="shared" si="14"/>
        <v>0.19205385856442145</v>
      </c>
      <c r="AW764" s="20" t="str">
        <f t="shared" si="15"/>
        <v>January</v>
      </c>
      <c r="AX764" s="21">
        <f t="shared" si="16"/>
        <v>2024</v>
      </c>
    </row>
    <row r="765" spans="1:50" ht="15.75" customHeight="1">
      <c r="A765" s="10" t="s">
        <v>2396</v>
      </c>
      <c r="B765" s="11">
        <v>45892</v>
      </c>
      <c r="C765" s="11">
        <v>45894</v>
      </c>
      <c r="D765" s="10" t="s">
        <v>2397</v>
      </c>
      <c r="E765" s="10" t="s">
        <v>191</v>
      </c>
      <c r="F765" s="10" t="s">
        <v>53</v>
      </c>
      <c r="G765" s="10" t="s">
        <v>54</v>
      </c>
      <c r="H765" s="10" t="s">
        <v>55</v>
      </c>
      <c r="I765" s="10" t="s">
        <v>56</v>
      </c>
      <c r="J765" s="10" t="s">
        <v>70</v>
      </c>
      <c r="K765" s="10" t="s">
        <v>86</v>
      </c>
      <c r="L765" s="10" t="s">
        <v>2398</v>
      </c>
      <c r="M765" s="10" t="s">
        <v>73</v>
      </c>
      <c r="N765" s="12">
        <v>6</v>
      </c>
      <c r="O765" s="12">
        <v>2742.48</v>
      </c>
      <c r="P765" s="12">
        <v>0</v>
      </c>
      <c r="Q765" s="12">
        <v>16454.88</v>
      </c>
      <c r="R765" s="12">
        <v>12081.54</v>
      </c>
      <c r="S765" s="12">
        <v>4373.34</v>
      </c>
      <c r="T765" s="10" t="s">
        <v>61</v>
      </c>
      <c r="U765" s="13" t="s">
        <v>62</v>
      </c>
      <c r="V765" s="14" t="e">
        <f t="shared" ca="1" si="0"/>
        <v>#NAME?</v>
      </c>
      <c r="W765" s="10" t="str">
        <f ca="1">IFERROR(__xludf.DUMMYFUNCTION("IF(COUNTIF($A:$A,A759)=1,
""Unique"",
IF(COUNTUNIQUE(FILTER($V$2:$V$934,$A$2:$A$934=A759))&gt;1,
""Conflicting Duplicate"",
""Exact Duplicate""))"),"Unique")</f>
        <v>Unique</v>
      </c>
      <c r="X765" s="10" t="b">
        <f t="shared" ca="1" si="1"/>
        <v>1</v>
      </c>
      <c r="Y765" s="10" t="str">
        <f t="shared" si="2"/>
        <v>Unique</v>
      </c>
      <c r="Z765" s="10"/>
      <c r="AA765" s="10" t="str">
        <f t="shared" si="3"/>
        <v>Clean</v>
      </c>
      <c r="AB765" s="15" t="str">
        <f t="shared" si="4"/>
        <v>Valid</v>
      </c>
      <c r="AC765" s="15">
        <v>2</v>
      </c>
      <c r="AD765" s="16" t="str">
        <f t="shared" si="5"/>
        <v>Valid</v>
      </c>
      <c r="AE765" s="16" t="str">
        <f t="shared" si="6"/>
        <v>Valid</v>
      </c>
      <c r="AF765" s="16" t="str">
        <f t="shared" ref="AF765:AG765" si="1541">IF(ISNUMBER(B765),"Valid","Invalid")</f>
        <v>Valid</v>
      </c>
      <c r="AG765" s="16" t="str">
        <f t="shared" si="1541"/>
        <v>Valid</v>
      </c>
      <c r="AH765" s="16" t="str">
        <f t="shared" ref="AH765:AI765" si="1542">IF(OR(B765="",ISBLANK(B765)),"Missing","Valid")</f>
        <v>Valid</v>
      </c>
      <c r="AI765" s="16" t="str">
        <f t="shared" si="1542"/>
        <v>Valid</v>
      </c>
      <c r="AJ765" s="16" t="b">
        <v>0</v>
      </c>
      <c r="AK765" s="16" t="b">
        <v>0</v>
      </c>
      <c r="AL765" s="16" t="b">
        <v>0</v>
      </c>
      <c r="AM765" s="16" t="b">
        <v>0</v>
      </c>
      <c r="AN765" s="16" t="b">
        <v>0</v>
      </c>
      <c r="AO765" s="16" t="b">
        <v>0</v>
      </c>
      <c r="AP765" s="16" t="b">
        <v>0</v>
      </c>
      <c r="AQ765" s="17">
        <f t="shared" si="9"/>
        <v>0</v>
      </c>
      <c r="AR765" s="12">
        <f t="shared" si="10"/>
        <v>16454.88</v>
      </c>
      <c r="AS765" s="18">
        <f t="shared" si="11"/>
        <v>0</v>
      </c>
      <c r="AT765" s="12">
        <f t="shared" si="12"/>
        <v>4373.34</v>
      </c>
      <c r="AU765" s="18">
        <f t="shared" si="13"/>
        <v>0</v>
      </c>
      <c r="AV765" s="19">
        <f t="shared" si="14"/>
        <v>0.26577769026574488</v>
      </c>
      <c r="AW765" s="20" t="str">
        <f t="shared" si="15"/>
        <v>August</v>
      </c>
      <c r="AX765" s="21">
        <f t="shared" si="16"/>
        <v>2025</v>
      </c>
    </row>
    <row r="766" spans="1:50" ht="15.75" customHeight="1">
      <c r="A766" s="10" t="s">
        <v>2399</v>
      </c>
      <c r="B766" s="11">
        <v>45760</v>
      </c>
      <c r="C766" s="11">
        <v>45760</v>
      </c>
      <c r="D766" s="10" t="s">
        <v>916</v>
      </c>
      <c r="E766" s="10" t="s">
        <v>143</v>
      </c>
      <c r="F766" s="10" t="s">
        <v>119</v>
      </c>
      <c r="G766" s="10" t="s">
        <v>83</v>
      </c>
      <c r="H766" s="10" t="s">
        <v>214</v>
      </c>
      <c r="I766" s="10" t="s">
        <v>215</v>
      </c>
      <c r="J766" s="10" t="s">
        <v>70</v>
      </c>
      <c r="K766" s="10" t="s">
        <v>187</v>
      </c>
      <c r="L766" s="10" t="s">
        <v>2400</v>
      </c>
      <c r="M766" s="10" t="s">
        <v>79</v>
      </c>
      <c r="N766" s="12">
        <v>6</v>
      </c>
      <c r="O766" s="12">
        <v>4414</v>
      </c>
      <c r="P766" s="12">
        <v>0.05</v>
      </c>
      <c r="Q766" s="12">
        <v>25159.8</v>
      </c>
      <c r="R766" s="12">
        <v>21606.83</v>
      </c>
      <c r="S766" s="12">
        <v>3552.97</v>
      </c>
      <c r="T766" s="10" t="s">
        <v>61</v>
      </c>
      <c r="U766" s="13" t="s">
        <v>62</v>
      </c>
      <c r="V766" s="14" t="e">
        <f t="shared" ca="1" si="0"/>
        <v>#NAME?</v>
      </c>
      <c r="W766" s="10" t="str">
        <f ca="1">IFERROR(__xludf.DUMMYFUNCTION("IF(COUNTIF($A:$A,A760)=1,
""Unique"",
IF(COUNTUNIQUE(FILTER($V$2:$V$934,$A$2:$A$934=A760))&gt;1,
""Conflicting Duplicate"",
""Exact Duplicate""))"),"Unique")</f>
        <v>Unique</v>
      </c>
      <c r="X766" s="10" t="b">
        <f t="shared" ca="1" si="1"/>
        <v>1</v>
      </c>
      <c r="Y766" s="10" t="str">
        <f t="shared" si="2"/>
        <v>Unique</v>
      </c>
      <c r="Z766" s="10"/>
      <c r="AA766" s="10" t="str">
        <f t="shared" si="3"/>
        <v>Clean</v>
      </c>
      <c r="AB766" s="15" t="str">
        <f t="shared" si="4"/>
        <v>Valid</v>
      </c>
      <c r="AC766" s="15">
        <v>0</v>
      </c>
      <c r="AD766" s="16" t="str">
        <f t="shared" si="5"/>
        <v>Valid</v>
      </c>
      <c r="AE766" s="16" t="str">
        <f t="shared" si="6"/>
        <v>Valid</v>
      </c>
      <c r="AF766" s="16" t="str">
        <f t="shared" ref="AF766:AG766" si="1543">IF(ISNUMBER(B766),"Valid","Invalid")</f>
        <v>Valid</v>
      </c>
      <c r="AG766" s="16" t="str">
        <f t="shared" si="1543"/>
        <v>Valid</v>
      </c>
      <c r="AH766" s="16" t="str">
        <f t="shared" ref="AH766:AI766" si="1544">IF(OR(B766="",ISBLANK(B766)),"Missing","Valid")</f>
        <v>Valid</v>
      </c>
      <c r="AI766" s="16" t="str">
        <f t="shared" si="1544"/>
        <v>Valid</v>
      </c>
      <c r="AJ766" s="16" t="b">
        <v>0</v>
      </c>
      <c r="AK766" s="16" t="b">
        <v>0</v>
      </c>
      <c r="AL766" s="16" t="b">
        <v>0</v>
      </c>
      <c r="AM766" s="16" t="b">
        <v>0</v>
      </c>
      <c r="AN766" s="16" t="b">
        <v>0</v>
      </c>
      <c r="AO766" s="16" t="b">
        <v>0</v>
      </c>
      <c r="AP766" s="16" t="b">
        <v>0</v>
      </c>
      <c r="AQ766" s="17">
        <f t="shared" si="9"/>
        <v>0.05</v>
      </c>
      <c r="AR766" s="12">
        <f t="shared" si="10"/>
        <v>25159.8</v>
      </c>
      <c r="AS766" s="18">
        <f t="shared" si="11"/>
        <v>0</v>
      </c>
      <c r="AT766" s="12">
        <f t="shared" si="12"/>
        <v>3552.9699999999975</v>
      </c>
      <c r="AU766" s="18">
        <f t="shared" si="13"/>
        <v>0</v>
      </c>
      <c r="AV766" s="19">
        <f t="shared" si="14"/>
        <v>0.14121614639226057</v>
      </c>
      <c r="AW766" s="20" t="str">
        <f t="shared" si="15"/>
        <v>April</v>
      </c>
      <c r="AX766" s="21">
        <f t="shared" si="16"/>
        <v>2025</v>
      </c>
    </row>
    <row r="767" spans="1:50" ht="15.75" customHeight="1">
      <c r="A767" s="10" t="s">
        <v>2401</v>
      </c>
      <c r="B767" s="11">
        <v>45837</v>
      </c>
      <c r="C767" s="11">
        <v>45841</v>
      </c>
      <c r="D767" s="10" t="s">
        <v>2402</v>
      </c>
      <c r="E767" s="10" t="s">
        <v>100</v>
      </c>
      <c r="F767" s="10" t="s">
        <v>119</v>
      </c>
      <c r="G767" s="10" t="s">
        <v>67</v>
      </c>
      <c r="H767" s="10" t="s">
        <v>258</v>
      </c>
      <c r="I767" s="10" t="s">
        <v>259</v>
      </c>
      <c r="J767" s="10" t="s">
        <v>57</v>
      </c>
      <c r="K767" s="10" t="s">
        <v>120</v>
      </c>
      <c r="L767" s="10" t="s">
        <v>2403</v>
      </c>
      <c r="M767" s="10" t="s">
        <v>79</v>
      </c>
      <c r="N767" s="12">
        <v>3</v>
      </c>
      <c r="O767" s="12">
        <v>608.14</v>
      </c>
      <c r="P767" s="12">
        <v>0</v>
      </c>
      <c r="Q767" s="12">
        <v>1824.42</v>
      </c>
      <c r="R767" s="12">
        <v>1214.8699999999999</v>
      </c>
      <c r="S767" s="12">
        <v>609.54999999999995</v>
      </c>
      <c r="T767" s="10" t="s">
        <v>61</v>
      </c>
      <c r="U767" s="13" t="s">
        <v>62</v>
      </c>
      <c r="V767" s="14" t="e">
        <f t="shared" ca="1" si="0"/>
        <v>#NAME?</v>
      </c>
      <c r="W767" s="10" t="str">
        <f ca="1">IFERROR(__xludf.DUMMYFUNCTION("IF(COUNTIF($A:$A,A761)=1,
""Unique"",
IF(COUNTUNIQUE(FILTER($V$2:$V$934,$A$2:$A$934=A761))&gt;1,
""Conflicting Duplicate"",
""Exact Duplicate""))"),"Unique")</f>
        <v>Unique</v>
      </c>
      <c r="X767" s="10" t="b">
        <f t="shared" ca="1" si="1"/>
        <v>1</v>
      </c>
      <c r="Y767" s="10" t="str">
        <f t="shared" si="2"/>
        <v>Unique</v>
      </c>
      <c r="Z767" s="10"/>
      <c r="AA767" s="10" t="str">
        <f t="shared" si="3"/>
        <v>Clean</v>
      </c>
      <c r="AB767" s="15" t="str">
        <f t="shared" si="4"/>
        <v>Valid</v>
      </c>
      <c r="AC767" s="15">
        <v>4</v>
      </c>
      <c r="AD767" s="16" t="str">
        <f t="shared" si="5"/>
        <v>Valid</v>
      </c>
      <c r="AE767" s="16" t="str">
        <f t="shared" si="6"/>
        <v>Valid</v>
      </c>
      <c r="AF767" s="16" t="str">
        <f t="shared" ref="AF767:AG767" si="1545">IF(ISNUMBER(B767),"Valid","Invalid")</f>
        <v>Valid</v>
      </c>
      <c r="AG767" s="16" t="str">
        <f t="shared" si="1545"/>
        <v>Valid</v>
      </c>
      <c r="AH767" s="16" t="str">
        <f t="shared" ref="AH767:AI767" si="1546">IF(OR(B767="",ISBLANK(B767)),"Missing","Valid")</f>
        <v>Valid</v>
      </c>
      <c r="AI767" s="16" t="str">
        <f t="shared" si="1546"/>
        <v>Valid</v>
      </c>
      <c r="AJ767" s="16" t="b">
        <v>0</v>
      </c>
      <c r="AK767" s="16" t="b">
        <v>0</v>
      </c>
      <c r="AL767" s="16" t="b">
        <v>0</v>
      </c>
      <c r="AM767" s="16" t="b">
        <v>0</v>
      </c>
      <c r="AN767" s="16" t="b">
        <v>0</v>
      </c>
      <c r="AO767" s="16" t="b">
        <v>0</v>
      </c>
      <c r="AP767" s="16" t="b">
        <v>0</v>
      </c>
      <c r="AQ767" s="17">
        <f t="shared" si="9"/>
        <v>0</v>
      </c>
      <c r="AR767" s="12">
        <f t="shared" si="10"/>
        <v>1824.42</v>
      </c>
      <c r="AS767" s="18">
        <f t="shared" si="11"/>
        <v>0</v>
      </c>
      <c r="AT767" s="12">
        <f t="shared" si="12"/>
        <v>609.55000000000018</v>
      </c>
      <c r="AU767" s="18">
        <f t="shared" si="13"/>
        <v>0</v>
      </c>
      <c r="AV767" s="19">
        <f t="shared" si="14"/>
        <v>0.33410618169061956</v>
      </c>
      <c r="AW767" s="20" t="str">
        <f t="shared" si="15"/>
        <v>June</v>
      </c>
      <c r="AX767" s="21">
        <f t="shared" si="16"/>
        <v>2025</v>
      </c>
    </row>
    <row r="768" spans="1:50" ht="15.75" customHeight="1">
      <c r="A768" s="10" t="s">
        <v>2404</v>
      </c>
      <c r="B768" s="11">
        <v>45552</v>
      </c>
      <c r="C768" s="11">
        <v>45559</v>
      </c>
      <c r="D768" s="10" t="s">
        <v>2405</v>
      </c>
      <c r="E768" s="10" t="s">
        <v>65</v>
      </c>
      <c r="F768" s="10" t="s">
        <v>119</v>
      </c>
      <c r="G768" s="10" t="s">
        <v>92</v>
      </c>
      <c r="H768" s="10" t="s">
        <v>209</v>
      </c>
      <c r="I768" s="10" t="s">
        <v>210</v>
      </c>
      <c r="J768" s="10" t="s">
        <v>57</v>
      </c>
      <c r="K768" s="10" t="s">
        <v>77</v>
      </c>
      <c r="L768" s="10" t="s">
        <v>2406</v>
      </c>
      <c r="M768" s="10" t="s">
        <v>60</v>
      </c>
      <c r="N768" s="12">
        <v>9</v>
      </c>
      <c r="O768" s="12">
        <v>2307.96</v>
      </c>
      <c r="P768" s="12">
        <v>0.2</v>
      </c>
      <c r="Q768" s="12">
        <v>16617.310000000001</v>
      </c>
      <c r="R768" s="12">
        <v>9195.73</v>
      </c>
      <c r="S768" s="12">
        <v>7421.58</v>
      </c>
      <c r="T768" s="10" t="s">
        <v>61</v>
      </c>
      <c r="U768" s="13" t="s">
        <v>97</v>
      </c>
      <c r="V768" s="14" t="e">
        <f t="shared" ca="1" si="0"/>
        <v>#NAME?</v>
      </c>
      <c r="W768" s="10" t="str">
        <f ca="1">IFERROR(__xludf.DUMMYFUNCTION("IF(COUNTIF($A:$A,A762)=1,
""Unique"",
IF(COUNTUNIQUE(FILTER($V$2:$V$934,$A$2:$A$934=A762))&gt;1,
""Conflicting Duplicate"",
""Exact Duplicate""))"),"Unique")</f>
        <v>Unique</v>
      </c>
      <c r="X768" s="10" t="b">
        <f t="shared" ca="1" si="1"/>
        <v>1</v>
      </c>
      <c r="Y768" s="10" t="str">
        <f t="shared" si="2"/>
        <v>Unique</v>
      </c>
      <c r="Z768" s="10"/>
      <c r="AA768" s="10" t="str">
        <f t="shared" si="3"/>
        <v>Clean</v>
      </c>
      <c r="AB768" s="15" t="str">
        <f t="shared" si="4"/>
        <v>Valid</v>
      </c>
      <c r="AC768" s="15">
        <v>7</v>
      </c>
      <c r="AD768" s="16" t="str">
        <f t="shared" si="5"/>
        <v>Valid</v>
      </c>
      <c r="AE768" s="16" t="str">
        <f t="shared" si="6"/>
        <v>Valid</v>
      </c>
      <c r="AF768" s="16" t="str">
        <f t="shared" ref="AF768:AG768" si="1547">IF(ISNUMBER(B768),"Valid","Invalid")</f>
        <v>Valid</v>
      </c>
      <c r="AG768" s="16" t="str">
        <f t="shared" si="1547"/>
        <v>Valid</v>
      </c>
      <c r="AH768" s="16" t="str">
        <f t="shared" ref="AH768:AI768" si="1548">IF(OR(B768="",ISBLANK(B768)),"Missing","Valid")</f>
        <v>Valid</v>
      </c>
      <c r="AI768" s="16" t="str">
        <f t="shared" si="1548"/>
        <v>Valid</v>
      </c>
      <c r="AJ768" s="16" t="b">
        <v>0</v>
      </c>
      <c r="AK768" s="16" t="b">
        <v>0</v>
      </c>
      <c r="AL768" s="16" t="b">
        <v>0</v>
      </c>
      <c r="AM768" s="16" t="b">
        <v>0</v>
      </c>
      <c r="AN768" s="16" t="b">
        <v>0</v>
      </c>
      <c r="AO768" s="16" t="b">
        <v>0</v>
      </c>
      <c r="AP768" s="16" t="b">
        <v>0</v>
      </c>
      <c r="AQ768" s="17">
        <f t="shared" si="9"/>
        <v>0.2</v>
      </c>
      <c r="AR768" s="12">
        <f t="shared" si="10"/>
        <v>16617.312000000002</v>
      </c>
      <c r="AS768" s="18">
        <f t="shared" si="11"/>
        <v>-2.0000000004074536E-3</v>
      </c>
      <c r="AT768" s="12">
        <f t="shared" si="12"/>
        <v>7421.5820000000022</v>
      </c>
      <c r="AU768" s="18">
        <f t="shared" si="13"/>
        <v>-2.000000002226443E-3</v>
      </c>
      <c r="AV768" s="19">
        <f t="shared" si="14"/>
        <v>0.44661747940942564</v>
      </c>
      <c r="AW768" s="20" t="str">
        <f t="shared" si="15"/>
        <v>September</v>
      </c>
      <c r="AX768" s="21">
        <f t="shared" si="16"/>
        <v>2024</v>
      </c>
    </row>
    <row r="769" spans="1:50" ht="15.75" customHeight="1">
      <c r="A769" s="10" t="s">
        <v>2407</v>
      </c>
      <c r="B769" s="11">
        <v>45415</v>
      </c>
      <c r="C769" s="11">
        <v>45418</v>
      </c>
      <c r="D769" s="10" t="s">
        <v>2408</v>
      </c>
      <c r="E769" s="10" t="s">
        <v>91</v>
      </c>
      <c r="F769" s="10" t="s">
        <v>124</v>
      </c>
      <c r="G769" s="10" t="s">
        <v>54</v>
      </c>
      <c r="H769" s="10" t="s">
        <v>165</v>
      </c>
      <c r="I769" s="10" t="s">
        <v>166</v>
      </c>
      <c r="J769" s="10" t="s">
        <v>57</v>
      </c>
      <c r="K769" s="10" t="s">
        <v>182</v>
      </c>
      <c r="L769" s="10" t="s">
        <v>2409</v>
      </c>
      <c r="M769" s="10" t="s">
        <v>88</v>
      </c>
      <c r="N769" s="12">
        <v>1</v>
      </c>
      <c r="O769" s="12">
        <v>1244.58</v>
      </c>
      <c r="P769" s="12">
        <v>0.25</v>
      </c>
      <c r="Q769" s="12">
        <v>933.43</v>
      </c>
      <c r="R769" s="12">
        <v>583.09</v>
      </c>
      <c r="S769" s="12">
        <v>350.34</v>
      </c>
      <c r="T769" s="10" t="s">
        <v>61</v>
      </c>
      <c r="U769" s="13" t="s">
        <v>62</v>
      </c>
      <c r="V769" s="14" t="e">
        <f t="shared" ca="1" si="0"/>
        <v>#NAME?</v>
      </c>
      <c r="W769" s="10" t="str">
        <f ca="1">IFERROR(__xludf.DUMMYFUNCTION("IF(COUNTIF($A:$A,A763)=1,
""Unique"",
IF(COUNTUNIQUE(FILTER($V$2:$V$934,$A$2:$A$934=A763))&gt;1,
""Conflicting Duplicate"",
""Exact Duplicate""))"),"Unique")</f>
        <v>Unique</v>
      </c>
      <c r="X769" s="10" t="b">
        <f t="shared" ca="1" si="1"/>
        <v>1</v>
      </c>
      <c r="Y769" s="10" t="str">
        <f t="shared" si="2"/>
        <v>Unique</v>
      </c>
      <c r="Z769" s="10"/>
      <c r="AA769" s="10" t="str">
        <f t="shared" si="3"/>
        <v>Clean</v>
      </c>
      <c r="AB769" s="15" t="str">
        <f t="shared" si="4"/>
        <v>Valid</v>
      </c>
      <c r="AC769" s="15">
        <v>3</v>
      </c>
      <c r="AD769" s="16" t="str">
        <f t="shared" si="5"/>
        <v>Valid</v>
      </c>
      <c r="AE769" s="16" t="str">
        <f t="shared" si="6"/>
        <v>Valid</v>
      </c>
      <c r="AF769" s="16" t="str">
        <f t="shared" ref="AF769:AG769" si="1549">IF(ISNUMBER(B769),"Valid","Invalid")</f>
        <v>Valid</v>
      </c>
      <c r="AG769" s="16" t="str">
        <f t="shared" si="1549"/>
        <v>Valid</v>
      </c>
      <c r="AH769" s="16" t="str">
        <f t="shared" ref="AH769:AI769" si="1550">IF(OR(B769="",ISBLANK(B769)),"Missing","Valid")</f>
        <v>Valid</v>
      </c>
      <c r="AI769" s="16" t="str">
        <f t="shared" si="1550"/>
        <v>Valid</v>
      </c>
      <c r="AJ769" s="16" t="b">
        <v>0</v>
      </c>
      <c r="AK769" s="16" t="b">
        <v>0</v>
      </c>
      <c r="AL769" s="16" t="b">
        <v>0</v>
      </c>
      <c r="AM769" s="16" t="b">
        <v>0</v>
      </c>
      <c r="AN769" s="16" t="b">
        <v>0</v>
      </c>
      <c r="AO769" s="16" t="b">
        <v>0</v>
      </c>
      <c r="AP769" s="16" t="b">
        <v>0</v>
      </c>
      <c r="AQ769" s="17">
        <f t="shared" si="9"/>
        <v>0.25</v>
      </c>
      <c r="AR769" s="12">
        <f t="shared" si="10"/>
        <v>933.43499999999995</v>
      </c>
      <c r="AS769" s="18">
        <f t="shared" si="11"/>
        <v>-4.9999999999954525E-3</v>
      </c>
      <c r="AT769" s="12">
        <f t="shared" si="12"/>
        <v>350.34499999999991</v>
      </c>
      <c r="AU769" s="18">
        <f t="shared" si="13"/>
        <v>-4.9999999999386091E-3</v>
      </c>
      <c r="AV769" s="19">
        <f t="shared" si="14"/>
        <v>0.3753287588316272</v>
      </c>
      <c r="AW769" s="20" t="str">
        <f t="shared" si="15"/>
        <v>May</v>
      </c>
      <c r="AX769" s="21">
        <f t="shared" si="16"/>
        <v>2024</v>
      </c>
    </row>
    <row r="770" spans="1:50" ht="15.75" customHeight="1">
      <c r="A770" s="10" t="s">
        <v>2410</v>
      </c>
      <c r="B770" s="11">
        <v>45749</v>
      </c>
      <c r="C770" s="11">
        <v>45751</v>
      </c>
      <c r="D770" s="10" t="s">
        <v>2411</v>
      </c>
      <c r="E770" s="10" t="s">
        <v>161</v>
      </c>
      <c r="F770" s="10" t="s">
        <v>124</v>
      </c>
      <c r="G770" s="10" t="s">
        <v>67</v>
      </c>
      <c r="H770" s="10" t="s">
        <v>258</v>
      </c>
      <c r="I770" s="10" t="s">
        <v>259</v>
      </c>
      <c r="J770" s="10" t="s">
        <v>57</v>
      </c>
      <c r="K770" s="10" t="s">
        <v>58</v>
      </c>
      <c r="L770" s="10" t="s">
        <v>2412</v>
      </c>
      <c r="M770" s="10" t="s">
        <v>73</v>
      </c>
      <c r="N770" s="12">
        <v>5</v>
      </c>
      <c r="O770" s="12">
        <v>3234.24</v>
      </c>
      <c r="P770" s="12">
        <v>0.1</v>
      </c>
      <c r="Q770" s="12">
        <v>14554.08</v>
      </c>
      <c r="R770" s="12">
        <v>11166.84</v>
      </c>
      <c r="S770" s="12">
        <v>3387.24</v>
      </c>
      <c r="T770" s="10" t="s">
        <v>61</v>
      </c>
      <c r="U770" s="13" t="s">
        <v>62</v>
      </c>
      <c r="V770" s="14" t="e">
        <f t="shared" ca="1" si="0"/>
        <v>#NAME?</v>
      </c>
      <c r="W770" s="10" t="str">
        <f ca="1">IFERROR(__xludf.DUMMYFUNCTION("IF(COUNTIF($A:$A,A764)=1,
""Unique"",
IF(COUNTUNIQUE(FILTER($V$2:$V$934,$A$2:$A$934=A764))&gt;1,
""Conflicting Duplicate"",
""Exact Duplicate""))"),"Unique")</f>
        <v>Unique</v>
      </c>
      <c r="X770" s="10" t="b">
        <f t="shared" ca="1" si="1"/>
        <v>1</v>
      </c>
      <c r="Y770" s="10" t="str">
        <f t="shared" si="2"/>
        <v>Unique</v>
      </c>
      <c r="Z770" s="10"/>
      <c r="AA770" s="10" t="str">
        <f t="shared" si="3"/>
        <v>Clean</v>
      </c>
      <c r="AB770" s="15" t="str">
        <f t="shared" si="4"/>
        <v>Valid</v>
      </c>
      <c r="AC770" s="15">
        <v>2</v>
      </c>
      <c r="AD770" s="16" t="str">
        <f t="shared" si="5"/>
        <v>Valid</v>
      </c>
      <c r="AE770" s="16" t="str">
        <f t="shared" si="6"/>
        <v>Valid</v>
      </c>
      <c r="AF770" s="16" t="str">
        <f t="shared" ref="AF770:AG770" si="1551">IF(ISNUMBER(B770),"Valid","Invalid")</f>
        <v>Valid</v>
      </c>
      <c r="AG770" s="16" t="str">
        <f t="shared" si="1551"/>
        <v>Valid</v>
      </c>
      <c r="AH770" s="16" t="str">
        <f t="shared" ref="AH770:AI770" si="1552">IF(OR(B770="",ISBLANK(B770)),"Missing","Valid")</f>
        <v>Valid</v>
      </c>
      <c r="AI770" s="16" t="str">
        <f t="shared" si="1552"/>
        <v>Valid</v>
      </c>
      <c r="AJ770" s="16" t="b">
        <v>0</v>
      </c>
      <c r="AK770" s="16" t="b">
        <v>0</v>
      </c>
      <c r="AL770" s="16" t="b">
        <v>0</v>
      </c>
      <c r="AM770" s="16" t="b">
        <v>0</v>
      </c>
      <c r="AN770" s="16" t="b">
        <v>0</v>
      </c>
      <c r="AO770" s="16" t="b">
        <v>0</v>
      </c>
      <c r="AP770" s="16" t="b">
        <v>0</v>
      </c>
      <c r="AQ770" s="17">
        <f t="shared" si="9"/>
        <v>0.1</v>
      </c>
      <c r="AR770" s="12">
        <f t="shared" si="10"/>
        <v>14554.08</v>
      </c>
      <c r="AS770" s="18">
        <f t="shared" si="11"/>
        <v>0</v>
      </c>
      <c r="AT770" s="12">
        <f t="shared" si="12"/>
        <v>3387.24</v>
      </c>
      <c r="AU770" s="18">
        <f t="shared" si="13"/>
        <v>0</v>
      </c>
      <c r="AV770" s="19">
        <f t="shared" si="14"/>
        <v>0.23273473830018798</v>
      </c>
      <c r="AW770" s="20" t="str">
        <f t="shared" si="15"/>
        <v>April</v>
      </c>
      <c r="AX770" s="21">
        <f t="shared" si="16"/>
        <v>2025</v>
      </c>
    </row>
    <row r="771" spans="1:50" ht="15.75" customHeight="1">
      <c r="A771" s="10" t="s">
        <v>2413</v>
      </c>
      <c r="B771" s="11">
        <v>45423</v>
      </c>
      <c r="C771" s="11">
        <v>45425</v>
      </c>
      <c r="D771" s="10" t="s">
        <v>2414</v>
      </c>
      <c r="E771" s="10" t="s">
        <v>143</v>
      </c>
      <c r="F771" s="10" t="s">
        <v>124</v>
      </c>
      <c r="G771" s="10" t="s">
        <v>92</v>
      </c>
      <c r="H771" s="10" t="s">
        <v>219</v>
      </c>
      <c r="I771" s="10" t="s">
        <v>220</v>
      </c>
      <c r="J771" s="10" t="s">
        <v>70</v>
      </c>
      <c r="K771" s="10" t="s">
        <v>187</v>
      </c>
      <c r="L771" s="10" t="s">
        <v>2415</v>
      </c>
      <c r="M771" s="10" t="s">
        <v>73</v>
      </c>
      <c r="N771" s="12">
        <v>3</v>
      </c>
      <c r="O771" s="12">
        <v>3612.75</v>
      </c>
      <c r="P771" s="12">
        <v>0.25</v>
      </c>
      <c r="Q771" s="12">
        <v>8128.69</v>
      </c>
      <c r="R771" s="12">
        <v>5071.66</v>
      </c>
      <c r="S771" s="12">
        <v>3057.03</v>
      </c>
      <c r="T771" s="10" t="s">
        <v>61</v>
      </c>
      <c r="U771" s="13" t="s">
        <v>62</v>
      </c>
      <c r="V771" s="14" t="e">
        <f t="shared" ca="1" si="0"/>
        <v>#NAME?</v>
      </c>
      <c r="W771" s="10" t="str">
        <f ca="1">IFERROR(__xludf.DUMMYFUNCTION("IF(COUNTIF($A:$A,A765)=1,
""Unique"",
IF(COUNTUNIQUE(FILTER($V$2:$V$934,$A$2:$A$934=A765))&gt;1,
""Conflicting Duplicate"",
""Exact Duplicate""))"),"Unique")</f>
        <v>Unique</v>
      </c>
      <c r="X771" s="10" t="b">
        <f t="shared" ca="1" si="1"/>
        <v>1</v>
      </c>
      <c r="Y771" s="10" t="str">
        <f t="shared" si="2"/>
        <v>Unique</v>
      </c>
      <c r="Z771" s="10"/>
      <c r="AA771" s="10" t="str">
        <f t="shared" si="3"/>
        <v>Clean</v>
      </c>
      <c r="AB771" s="15" t="str">
        <f t="shared" si="4"/>
        <v>Valid</v>
      </c>
      <c r="AC771" s="15">
        <v>2</v>
      </c>
      <c r="AD771" s="16" t="str">
        <f t="shared" si="5"/>
        <v>Valid</v>
      </c>
      <c r="AE771" s="16" t="str">
        <f t="shared" si="6"/>
        <v>Valid</v>
      </c>
      <c r="AF771" s="16" t="str">
        <f t="shared" ref="AF771:AG771" si="1553">IF(ISNUMBER(B771),"Valid","Invalid")</f>
        <v>Valid</v>
      </c>
      <c r="AG771" s="16" t="str">
        <f t="shared" si="1553"/>
        <v>Valid</v>
      </c>
      <c r="AH771" s="16" t="str">
        <f t="shared" ref="AH771:AI771" si="1554">IF(OR(B771="",ISBLANK(B771)),"Missing","Valid")</f>
        <v>Valid</v>
      </c>
      <c r="AI771" s="16" t="str">
        <f t="shared" si="1554"/>
        <v>Valid</v>
      </c>
      <c r="AJ771" s="16" t="b">
        <v>0</v>
      </c>
      <c r="AK771" s="16" t="b">
        <v>0</v>
      </c>
      <c r="AL771" s="16" t="b">
        <v>0</v>
      </c>
      <c r="AM771" s="16" t="b">
        <v>0</v>
      </c>
      <c r="AN771" s="16" t="b">
        <v>0</v>
      </c>
      <c r="AO771" s="16" t="b">
        <v>0</v>
      </c>
      <c r="AP771" s="16" t="b">
        <v>0</v>
      </c>
      <c r="AQ771" s="17">
        <f t="shared" si="9"/>
        <v>0.25</v>
      </c>
      <c r="AR771" s="12">
        <f t="shared" si="10"/>
        <v>8128.6875</v>
      </c>
      <c r="AS771" s="18">
        <f t="shared" si="11"/>
        <v>2.4999999995998223E-3</v>
      </c>
      <c r="AT771" s="12">
        <f t="shared" si="12"/>
        <v>3057.0275000000001</v>
      </c>
      <c r="AU771" s="18">
        <f t="shared" si="13"/>
        <v>2.5000000000545697E-3</v>
      </c>
      <c r="AV771" s="19">
        <f t="shared" si="14"/>
        <v>0.3760788565189645</v>
      </c>
      <c r="AW771" s="20" t="str">
        <f t="shared" si="15"/>
        <v>May</v>
      </c>
      <c r="AX771" s="21">
        <f t="shared" si="16"/>
        <v>2024</v>
      </c>
    </row>
    <row r="772" spans="1:50" ht="15.75" customHeight="1">
      <c r="A772" s="10" t="s">
        <v>2416</v>
      </c>
      <c r="B772" s="11">
        <v>45337</v>
      </c>
      <c r="C772" s="11">
        <v>45339</v>
      </c>
      <c r="D772" s="10" t="s">
        <v>2417</v>
      </c>
      <c r="E772" s="10" t="s">
        <v>108</v>
      </c>
      <c r="F772" s="10" t="s">
        <v>53</v>
      </c>
      <c r="G772" s="10" t="s">
        <v>54</v>
      </c>
      <c r="H772" s="10" t="s">
        <v>165</v>
      </c>
      <c r="I772" s="10" t="s">
        <v>166</v>
      </c>
      <c r="J772" s="10" t="s">
        <v>103</v>
      </c>
      <c r="K772" s="10" t="s">
        <v>109</v>
      </c>
      <c r="L772" s="10" t="s">
        <v>2418</v>
      </c>
      <c r="M772" s="10" t="s">
        <v>79</v>
      </c>
      <c r="N772" s="12">
        <v>4</v>
      </c>
      <c r="O772" s="12">
        <v>863</v>
      </c>
      <c r="P772" s="12">
        <v>0</v>
      </c>
      <c r="Q772" s="12">
        <v>3106.8</v>
      </c>
      <c r="R772" s="12">
        <v>2376.62</v>
      </c>
      <c r="S772" s="12">
        <v>730.18</v>
      </c>
      <c r="T772" s="10" t="s">
        <v>61</v>
      </c>
      <c r="U772" s="13" t="s">
        <v>62</v>
      </c>
      <c r="V772" s="14" t="e">
        <f t="shared" ca="1" si="0"/>
        <v>#NAME?</v>
      </c>
      <c r="W772" s="10" t="str">
        <f ca="1">IFERROR(__xludf.DUMMYFUNCTION("IF(COUNTIF($A:$A,A766)=1,
""Unique"",
IF(COUNTUNIQUE(FILTER($V$2:$V$934,$A$2:$A$934=A766))&gt;1,
""Conflicting Duplicate"",
""Exact Duplicate""))"),"Unique")</f>
        <v>Unique</v>
      </c>
      <c r="X772" s="10" t="b">
        <f t="shared" ca="1" si="1"/>
        <v>1</v>
      </c>
      <c r="Y772" s="10" t="str">
        <f t="shared" si="2"/>
        <v>Unique</v>
      </c>
      <c r="Z772" s="10"/>
      <c r="AA772" s="10" t="str">
        <f t="shared" si="3"/>
        <v>Clean</v>
      </c>
      <c r="AB772" s="15" t="str">
        <f t="shared" si="4"/>
        <v>Valid</v>
      </c>
      <c r="AC772" s="15">
        <v>2</v>
      </c>
      <c r="AD772" s="16" t="str">
        <f t="shared" si="5"/>
        <v>Valid</v>
      </c>
      <c r="AE772" s="16" t="str">
        <f t="shared" si="6"/>
        <v>Valid</v>
      </c>
      <c r="AF772" s="16" t="str">
        <f t="shared" ref="AF772:AG772" si="1555">IF(ISNUMBER(B772),"Valid","Invalid")</f>
        <v>Valid</v>
      </c>
      <c r="AG772" s="16" t="str">
        <f t="shared" si="1555"/>
        <v>Valid</v>
      </c>
      <c r="AH772" s="16" t="str">
        <f t="shared" ref="AH772:AI772" si="1556">IF(OR(B772="",ISBLANK(B772)),"Missing","Valid")</f>
        <v>Valid</v>
      </c>
      <c r="AI772" s="16" t="str">
        <f t="shared" si="1556"/>
        <v>Valid</v>
      </c>
      <c r="AJ772" s="16" t="b">
        <v>0</v>
      </c>
      <c r="AK772" s="16" t="b">
        <v>0</v>
      </c>
      <c r="AL772" s="16" t="b">
        <v>1</v>
      </c>
      <c r="AM772" s="16" t="b">
        <v>0</v>
      </c>
      <c r="AN772" s="16" t="b">
        <v>0</v>
      </c>
      <c r="AO772" s="16" t="b">
        <v>0</v>
      </c>
      <c r="AP772" s="16" t="b">
        <v>1</v>
      </c>
      <c r="AQ772" s="17">
        <f t="shared" si="9"/>
        <v>0</v>
      </c>
      <c r="AR772" s="12">
        <f t="shared" si="10"/>
        <v>3452</v>
      </c>
      <c r="AS772" s="18">
        <f t="shared" si="11"/>
        <v>-345.19999999999982</v>
      </c>
      <c r="AT772" s="12">
        <f t="shared" si="12"/>
        <v>1075.3800000000001</v>
      </c>
      <c r="AU772" s="18">
        <f t="shared" si="13"/>
        <v>-345.20000000000016</v>
      </c>
      <c r="AV772" s="19">
        <f t="shared" si="14"/>
        <v>0.3115237543453071</v>
      </c>
      <c r="AW772" s="20" t="str">
        <f t="shared" si="15"/>
        <v>February</v>
      </c>
      <c r="AX772" s="21">
        <f t="shared" si="16"/>
        <v>2024</v>
      </c>
    </row>
    <row r="773" spans="1:50" ht="15.75" customHeight="1">
      <c r="A773" s="10" t="s">
        <v>2419</v>
      </c>
      <c r="B773" s="11">
        <v>45485</v>
      </c>
      <c r="C773" s="11">
        <v>45487</v>
      </c>
      <c r="D773" s="10" t="s">
        <v>498</v>
      </c>
      <c r="E773" s="10" t="s">
        <v>91</v>
      </c>
      <c r="F773" s="10" t="s">
        <v>53</v>
      </c>
      <c r="G773" s="10" t="s">
        <v>54</v>
      </c>
      <c r="H773" s="10" t="s">
        <v>266</v>
      </c>
      <c r="I773" s="10" t="s">
        <v>267</v>
      </c>
      <c r="J773" s="10" t="s">
        <v>103</v>
      </c>
      <c r="K773" s="10" t="s">
        <v>304</v>
      </c>
      <c r="L773" s="10" t="s">
        <v>2420</v>
      </c>
      <c r="M773" s="10" t="s">
        <v>60</v>
      </c>
      <c r="N773" s="12">
        <v>4</v>
      </c>
      <c r="O773" s="12">
        <v>2131.41</v>
      </c>
      <c r="P773" s="12">
        <v>0</v>
      </c>
      <c r="Q773" s="12">
        <v>6394.23</v>
      </c>
      <c r="R773" s="12">
        <v>3520.69</v>
      </c>
      <c r="S773" s="12">
        <v>2873.54</v>
      </c>
      <c r="T773" s="10" t="s">
        <v>61</v>
      </c>
      <c r="U773" s="13" t="s">
        <v>62</v>
      </c>
      <c r="V773" s="14" t="e">
        <f t="shared" ca="1" si="0"/>
        <v>#NAME?</v>
      </c>
      <c r="W773" s="10" t="str">
        <f ca="1">IFERROR(__xludf.DUMMYFUNCTION("IF(COUNTIF($A:$A,A767)=1,
""Unique"",
IF(COUNTUNIQUE(FILTER($V$2:$V$934,$A$2:$A$934=A767))&gt;1,
""Conflicting Duplicate"",
""Exact Duplicate""))"),"Unique")</f>
        <v>Unique</v>
      </c>
      <c r="X773" s="10" t="b">
        <f t="shared" ca="1" si="1"/>
        <v>1</v>
      </c>
      <c r="Y773" s="10" t="str">
        <f t="shared" si="2"/>
        <v>Unique</v>
      </c>
      <c r="Z773" s="10"/>
      <c r="AA773" s="10" t="str">
        <f t="shared" si="3"/>
        <v>Clean</v>
      </c>
      <c r="AB773" s="15" t="str">
        <f t="shared" si="4"/>
        <v>Valid</v>
      </c>
      <c r="AC773" s="15">
        <v>2</v>
      </c>
      <c r="AD773" s="16" t="str">
        <f t="shared" si="5"/>
        <v>Valid</v>
      </c>
      <c r="AE773" s="16" t="str">
        <f t="shared" si="6"/>
        <v>Valid</v>
      </c>
      <c r="AF773" s="16" t="str">
        <f t="shared" ref="AF773:AG773" si="1557">IF(ISNUMBER(B773),"Valid","Invalid")</f>
        <v>Valid</v>
      </c>
      <c r="AG773" s="16" t="str">
        <f t="shared" si="1557"/>
        <v>Valid</v>
      </c>
      <c r="AH773" s="16" t="str">
        <f t="shared" ref="AH773:AI773" si="1558">IF(OR(B773="",ISBLANK(B773)),"Missing","Valid")</f>
        <v>Valid</v>
      </c>
      <c r="AI773" s="16" t="str">
        <f t="shared" si="1558"/>
        <v>Valid</v>
      </c>
      <c r="AJ773" s="16" t="b">
        <v>0</v>
      </c>
      <c r="AK773" s="16" t="b">
        <v>0</v>
      </c>
      <c r="AL773" s="16" t="b">
        <v>1</v>
      </c>
      <c r="AM773" s="16" t="b">
        <v>0</v>
      </c>
      <c r="AN773" s="16" t="b">
        <v>0</v>
      </c>
      <c r="AO773" s="16" t="b">
        <v>0</v>
      </c>
      <c r="AP773" s="16" t="b">
        <v>1</v>
      </c>
      <c r="AQ773" s="17">
        <f t="shared" si="9"/>
        <v>0</v>
      </c>
      <c r="AR773" s="12">
        <f t="shared" si="10"/>
        <v>8525.64</v>
      </c>
      <c r="AS773" s="18">
        <f t="shared" si="11"/>
        <v>-2131.41</v>
      </c>
      <c r="AT773" s="12">
        <f t="shared" si="12"/>
        <v>5004.9499999999989</v>
      </c>
      <c r="AU773" s="18">
        <f t="shared" si="13"/>
        <v>-2131.4099999999989</v>
      </c>
      <c r="AV773" s="19">
        <f t="shared" si="14"/>
        <v>0.58704683753946907</v>
      </c>
      <c r="AW773" s="20" t="str">
        <f t="shared" si="15"/>
        <v>July</v>
      </c>
      <c r="AX773" s="21">
        <f t="shared" si="16"/>
        <v>2024</v>
      </c>
    </row>
    <row r="774" spans="1:50" ht="15.75" customHeight="1">
      <c r="A774" s="10" t="s">
        <v>2421</v>
      </c>
      <c r="B774" s="11">
        <v>45853</v>
      </c>
      <c r="C774" s="11">
        <v>45857</v>
      </c>
      <c r="D774" s="10" t="s">
        <v>2422</v>
      </c>
      <c r="E774" s="10" t="s">
        <v>191</v>
      </c>
      <c r="F774" s="10" t="s">
        <v>53</v>
      </c>
      <c r="G774" s="10" t="s">
        <v>83</v>
      </c>
      <c r="H774" s="10" t="s">
        <v>277</v>
      </c>
      <c r="I774" s="10" t="s">
        <v>278</v>
      </c>
      <c r="J774" s="10" t="s">
        <v>70</v>
      </c>
      <c r="K774" s="10" t="s">
        <v>95</v>
      </c>
      <c r="L774" s="10" t="s">
        <v>2423</v>
      </c>
      <c r="M774" s="10" t="s">
        <v>73</v>
      </c>
      <c r="N774" s="12">
        <v>1</v>
      </c>
      <c r="O774" s="12">
        <v>3903.22</v>
      </c>
      <c r="P774" s="12">
        <v>0.05</v>
      </c>
      <c r="Q774" s="12">
        <v>3708.06</v>
      </c>
      <c r="R774" s="12">
        <v>2760.29</v>
      </c>
      <c r="S774" s="12">
        <v>947.77</v>
      </c>
      <c r="T774" s="10" t="s">
        <v>140</v>
      </c>
      <c r="U774" s="13" t="s">
        <v>97</v>
      </c>
      <c r="V774" s="14" t="e">
        <f t="shared" ca="1" si="0"/>
        <v>#NAME?</v>
      </c>
      <c r="W774" s="10" t="str">
        <f ca="1">IFERROR(__xludf.DUMMYFUNCTION("IF(COUNTIF($A:$A,A768)=1,
""Unique"",
IF(COUNTUNIQUE(FILTER($V$2:$V$934,$A$2:$A$934=A768))&gt;1,
""Conflicting Duplicate"",
""Exact Duplicate""))"),"Unique")</f>
        <v>Unique</v>
      </c>
      <c r="X774" s="10" t="b">
        <f t="shared" ca="1" si="1"/>
        <v>1</v>
      </c>
      <c r="Y774" s="10" t="str">
        <f t="shared" si="2"/>
        <v>Unique</v>
      </c>
      <c r="Z774" s="10"/>
      <c r="AA774" s="10" t="str">
        <f t="shared" si="3"/>
        <v>Clean</v>
      </c>
      <c r="AB774" s="15" t="str">
        <f t="shared" si="4"/>
        <v>Valid</v>
      </c>
      <c r="AC774" s="15">
        <v>4</v>
      </c>
      <c r="AD774" s="16" t="str">
        <f t="shared" si="5"/>
        <v>Valid</v>
      </c>
      <c r="AE774" s="16" t="str">
        <f t="shared" si="6"/>
        <v>Valid</v>
      </c>
      <c r="AF774" s="16" t="str">
        <f t="shared" ref="AF774:AG774" si="1559">IF(ISNUMBER(B774),"Valid","Invalid")</f>
        <v>Valid</v>
      </c>
      <c r="AG774" s="16" t="str">
        <f t="shared" si="1559"/>
        <v>Valid</v>
      </c>
      <c r="AH774" s="16" t="str">
        <f t="shared" ref="AH774:AI774" si="1560">IF(OR(B774="",ISBLANK(B774)),"Missing","Valid")</f>
        <v>Valid</v>
      </c>
      <c r="AI774" s="16" t="str">
        <f t="shared" si="1560"/>
        <v>Valid</v>
      </c>
      <c r="AJ774" s="16" t="b">
        <v>0</v>
      </c>
      <c r="AK774" s="16" t="b">
        <v>0</v>
      </c>
      <c r="AL774" s="16" t="b">
        <v>0</v>
      </c>
      <c r="AM774" s="16" t="b">
        <v>0</v>
      </c>
      <c r="AN774" s="16" t="b">
        <v>0</v>
      </c>
      <c r="AO774" s="16" t="b">
        <v>0</v>
      </c>
      <c r="AP774" s="16" t="b">
        <v>0</v>
      </c>
      <c r="AQ774" s="17">
        <f t="shared" si="9"/>
        <v>0.05</v>
      </c>
      <c r="AR774" s="12">
        <f t="shared" si="10"/>
        <v>3708.0589999999997</v>
      </c>
      <c r="AS774" s="18">
        <f t="shared" si="11"/>
        <v>1.0000000002037268E-3</v>
      </c>
      <c r="AT774" s="12">
        <f t="shared" si="12"/>
        <v>947.76899999999978</v>
      </c>
      <c r="AU774" s="18">
        <f t="shared" si="13"/>
        <v>1.0000000002037268E-3</v>
      </c>
      <c r="AV774" s="19">
        <f t="shared" si="14"/>
        <v>0.25559706574248142</v>
      </c>
      <c r="AW774" s="20" t="str">
        <f t="shared" si="15"/>
        <v>July</v>
      </c>
      <c r="AX774" s="21">
        <f t="shared" si="16"/>
        <v>2025</v>
      </c>
    </row>
    <row r="775" spans="1:50" ht="15.75" customHeight="1">
      <c r="A775" s="10" t="s">
        <v>2424</v>
      </c>
      <c r="B775" s="11">
        <v>45709</v>
      </c>
      <c r="C775" s="11">
        <v>45709</v>
      </c>
      <c r="D775" s="10" t="s">
        <v>2425</v>
      </c>
      <c r="E775" s="10" t="s">
        <v>52</v>
      </c>
      <c r="F775" s="10" t="s">
        <v>124</v>
      </c>
      <c r="G775" s="10" t="s">
        <v>92</v>
      </c>
      <c r="H775" s="10" t="s">
        <v>209</v>
      </c>
      <c r="I775" s="10" t="s">
        <v>210</v>
      </c>
      <c r="J775" s="10" t="s">
        <v>103</v>
      </c>
      <c r="K775" s="10" t="s">
        <v>200</v>
      </c>
      <c r="L775" s="10" t="s">
        <v>2426</v>
      </c>
      <c r="M775" s="10" t="s">
        <v>234</v>
      </c>
      <c r="N775" s="12">
        <v>4</v>
      </c>
      <c r="O775" s="12">
        <v>2945.07</v>
      </c>
      <c r="P775" s="12">
        <v>0.2</v>
      </c>
      <c r="Q775" s="12">
        <v>9424.2199999999993</v>
      </c>
      <c r="R775" s="12">
        <v>6178.92</v>
      </c>
      <c r="S775" s="12">
        <v>3245.3</v>
      </c>
      <c r="T775" s="10" t="s">
        <v>61</v>
      </c>
      <c r="U775" s="13" t="s">
        <v>62</v>
      </c>
      <c r="V775" s="14" t="e">
        <f t="shared" ca="1" si="0"/>
        <v>#NAME?</v>
      </c>
      <c r="W775" s="10" t="str">
        <f ca="1">IFERROR(__xludf.DUMMYFUNCTION("IF(COUNTIF($A:$A,A769)=1,
""Unique"",
IF(COUNTUNIQUE(FILTER($V$2:$V$934,$A$2:$A$934=A769))&gt;1,
""Conflicting Duplicate"",
""Exact Duplicate""))"),"Unique")</f>
        <v>Unique</v>
      </c>
      <c r="X775" s="10" t="b">
        <f t="shared" ca="1" si="1"/>
        <v>1</v>
      </c>
      <c r="Y775" s="10" t="str">
        <f t="shared" si="2"/>
        <v>Unique</v>
      </c>
      <c r="Z775" s="10"/>
      <c r="AA775" s="10" t="str">
        <f t="shared" si="3"/>
        <v>Warning</v>
      </c>
      <c r="AB775" s="15" t="str">
        <f t="shared" si="4"/>
        <v>Valid</v>
      </c>
      <c r="AC775" s="15">
        <v>0</v>
      </c>
      <c r="AD775" s="16" t="str">
        <f t="shared" si="5"/>
        <v>Valid</v>
      </c>
      <c r="AE775" s="16" t="str">
        <f t="shared" si="6"/>
        <v>Valid</v>
      </c>
      <c r="AF775" s="16" t="str">
        <f t="shared" ref="AF775:AG775" si="1561">IF(ISNUMBER(B775),"Valid","Invalid")</f>
        <v>Valid</v>
      </c>
      <c r="AG775" s="16" t="str">
        <f t="shared" si="1561"/>
        <v>Valid</v>
      </c>
      <c r="AH775" s="16" t="str">
        <f t="shared" ref="AH775:AI775" si="1562">IF(OR(B775="",ISBLANK(B775)),"Missing","Valid")</f>
        <v>Valid</v>
      </c>
      <c r="AI775" s="16" t="str">
        <f t="shared" si="1562"/>
        <v>Valid</v>
      </c>
      <c r="AJ775" s="16" t="b">
        <v>0</v>
      </c>
      <c r="AK775" s="16" t="b">
        <v>1</v>
      </c>
      <c r="AL775" s="16" t="b">
        <v>0</v>
      </c>
      <c r="AM775" s="16" t="b">
        <v>0</v>
      </c>
      <c r="AN775" s="16" t="b">
        <v>0</v>
      </c>
      <c r="AO775" s="16" t="b">
        <v>0</v>
      </c>
      <c r="AP775" s="16" t="b">
        <v>1</v>
      </c>
      <c r="AQ775" s="17">
        <f t="shared" si="9"/>
        <v>0.2</v>
      </c>
      <c r="AR775" s="12">
        <f t="shared" si="10"/>
        <v>9424.2240000000002</v>
      </c>
      <c r="AS775" s="18">
        <f t="shared" si="11"/>
        <v>-4.0000000008149073E-3</v>
      </c>
      <c r="AT775" s="12">
        <f t="shared" si="12"/>
        <v>3245.3040000000001</v>
      </c>
      <c r="AU775" s="18">
        <f t="shared" si="13"/>
        <v>-3.9999999999054126E-3</v>
      </c>
      <c r="AV775" s="19">
        <f t="shared" si="14"/>
        <v>0.3443576892909167</v>
      </c>
      <c r="AW775" s="20" t="str">
        <f t="shared" si="15"/>
        <v>February</v>
      </c>
      <c r="AX775" s="21">
        <f t="shared" si="16"/>
        <v>2025</v>
      </c>
    </row>
    <row r="776" spans="1:50" ht="15.75" customHeight="1">
      <c r="A776" s="10" t="s">
        <v>2427</v>
      </c>
      <c r="B776" s="11">
        <v>45876</v>
      </c>
      <c r="C776" s="11">
        <v>45876</v>
      </c>
      <c r="D776" s="10" t="s">
        <v>2428</v>
      </c>
      <c r="E776" s="10" t="s">
        <v>294</v>
      </c>
      <c r="F776" s="10" t="s">
        <v>53</v>
      </c>
      <c r="G776" s="10" t="s">
        <v>92</v>
      </c>
      <c r="H776" s="10" t="s">
        <v>55</v>
      </c>
      <c r="I776" s="10" t="s">
        <v>138</v>
      </c>
      <c r="J776" s="10" t="s">
        <v>103</v>
      </c>
      <c r="K776" s="10" t="s">
        <v>304</v>
      </c>
      <c r="L776" s="10" t="s">
        <v>2429</v>
      </c>
      <c r="M776" s="10" t="s">
        <v>234</v>
      </c>
      <c r="N776" s="12">
        <v>9</v>
      </c>
      <c r="O776" s="12">
        <v>1076.75</v>
      </c>
      <c r="P776" s="12">
        <v>0.2</v>
      </c>
      <c r="Q776" s="12">
        <v>7752.6</v>
      </c>
      <c r="R776" s="12">
        <v>4689.3</v>
      </c>
      <c r="S776" s="12">
        <v>3063.3</v>
      </c>
      <c r="T776" s="10" t="s">
        <v>61</v>
      </c>
      <c r="U776" s="13" t="s">
        <v>62</v>
      </c>
      <c r="V776" s="14" t="e">
        <f t="shared" ca="1" si="0"/>
        <v>#NAME?</v>
      </c>
      <c r="W776" s="10" t="str">
        <f ca="1">IFERROR(__xludf.DUMMYFUNCTION("IF(COUNTIF($A:$A,A770)=1,
""Unique"",
IF(COUNTUNIQUE(FILTER($V$2:$V$934,$A$2:$A$934=A770))&gt;1,
""Conflicting Duplicate"",
""Exact Duplicate""))"),"Unique")</f>
        <v>Unique</v>
      </c>
      <c r="X776" s="10" t="b">
        <f t="shared" ca="1" si="1"/>
        <v>1</v>
      </c>
      <c r="Y776" s="10" t="str">
        <f t="shared" si="2"/>
        <v>Unique</v>
      </c>
      <c r="Z776" s="10"/>
      <c r="AA776" s="10" t="str">
        <f t="shared" si="3"/>
        <v>Warning</v>
      </c>
      <c r="AB776" s="15" t="str">
        <f t="shared" si="4"/>
        <v>Valid</v>
      </c>
      <c r="AC776" s="15">
        <v>0</v>
      </c>
      <c r="AD776" s="16" t="str">
        <f t="shared" si="5"/>
        <v>Valid</v>
      </c>
      <c r="AE776" s="16" t="str">
        <f t="shared" si="6"/>
        <v>Valid</v>
      </c>
      <c r="AF776" s="16" t="str">
        <f t="shared" ref="AF776:AG776" si="1563">IF(ISNUMBER(B776),"Valid","Invalid")</f>
        <v>Valid</v>
      </c>
      <c r="AG776" s="16" t="str">
        <f t="shared" si="1563"/>
        <v>Valid</v>
      </c>
      <c r="AH776" s="16" t="str">
        <f t="shared" ref="AH776:AI776" si="1564">IF(OR(B776="",ISBLANK(B776)),"Missing","Valid")</f>
        <v>Valid</v>
      </c>
      <c r="AI776" s="16" t="str">
        <f t="shared" si="1564"/>
        <v>Valid</v>
      </c>
      <c r="AJ776" s="16" t="b">
        <v>0</v>
      </c>
      <c r="AK776" s="16" t="b">
        <v>1</v>
      </c>
      <c r="AL776" s="16" t="b">
        <v>0</v>
      </c>
      <c r="AM776" s="16" t="b">
        <v>0</v>
      </c>
      <c r="AN776" s="16" t="b">
        <v>0</v>
      </c>
      <c r="AO776" s="16" t="b">
        <v>0</v>
      </c>
      <c r="AP776" s="16" t="b">
        <v>1</v>
      </c>
      <c r="AQ776" s="17">
        <f t="shared" si="9"/>
        <v>0.2</v>
      </c>
      <c r="AR776" s="12">
        <f t="shared" si="10"/>
        <v>7752.6</v>
      </c>
      <c r="AS776" s="18">
        <f t="shared" si="11"/>
        <v>0</v>
      </c>
      <c r="AT776" s="12">
        <f t="shared" si="12"/>
        <v>3063.3</v>
      </c>
      <c r="AU776" s="18">
        <f t="shared" si="13"/>
        <v>0</v>
      </c>
      <c r="AV776" s="19">
        <f t="shared" si="14"/>
        <v>0.39513195573098059</v>
      </c>
      <c r="AW776" s="20" t="str">
        <f t="shared" si="15"/>
        <v>August</v>
      </c>
      <c r="AX776" s="21">
        <f t="shared" si="16"/>
        <v>2025</v>
      </c>
    </row>
    <row r="777" spans="1:50" ht="15.75" customHeight="1">
      <c r="A777" s="10" t="s">
        <v>2430</v>
      </c>
      <c r="B777" s="11">
        <v>45396</v>
      </c>
      <c r="C777" s="11">
        <v>45404</v>
      </c>
      <c r="D777" s="10" t="s">
        <v>2431</v>
      </c>
      <c r="E777" s="10" t="s">
        <v>82</v>
      </c>
      <c r="F777" s="10" t="s">
        <v>53</v>
      </c>
      <c r="G777" s="10" t="s">
        <v>54</v>
      </c>
      <c r="H777" s="10" t="s">
        <v>266</v>
      </c>
      <c r="I777" s="10" t="s">
        <v>267</v>
      </c>
      <c r="J777" s="10" t="s">
        <v>103</v>
      </c>
      <c r="K777" s="10" t="s">
        <v>104</v>
      </c>
      <c r="L777" s="10" t="s">
        <v>2432</v>
      </c>
      <c r="M777" s="10" t="s">
        <v>88</v>
      </c>
      <c r="N777" s="12">
        <v>8</v>
      </c>
      <c r="O777" s="12">
        <v>3956.12</v>
      </c>
      <c r="P777" s="12">
        <v>0.25</v>
      </c>
      <c r="Q777" s="12">
        <v>23736.720000000001</v>
      </c>
      <c r="R777" s="12">
        <v>13890.9</v>
      </c>
      <c r="S777" s="12">
        <v>9845.82</v>
      </c>
      <c r="T777" s="10" t="s">
        <v>61</v>
      </c>
      <c r="U777" s="13" t="s">
        <v>62</v>
      </c>
      <c r="V777" s="14" t="e">
        <f t="shared" ca="1" si="0"/>
        <v>#NAME?</v>
      </c>
      <c r="W777" s="10" t="str">
        <f ca="1">IFERROR(__xludf.DUMMYFUNCTION("IF(COUNTIF($A:$A,A771)=1,
""Unique"",
IF(COUNTUNIQUE(FILTER($V$2:$V$934,$A$2:$A$934=A771))&gt;1,
""Conflicting Duplicate"",
""Exact Duplicate""))"),"Unique")</f>
        <v>Unique</v>
      </c>
      <c r="X777" s="10" t="b">
        <f t="shared" ca="1" si="1"/>
        <v>1</v>
      </c>
      <c r="Y777" s="10" t="str">
        <f t="shared" si="2"/>
        <v>Unique</v>
      </c>
      <c r="Z777" s="10"/>
      <c r="AA777" s="10" t="str">
        <f t="shared" si="3"/>
        <v>Clean</v>
      </c>
      <c r="AB777" s="15" t="str">
        <f t="shared" si="4"/>
        <v>Valid</v>
      </c>
      <c r="AC777" s="15">
        <v>8</v>
      </c>
      <c r="AD777" s="16" t="str">
        <f t="shared" si="5"/>
        <v>Valid</v>
      </c>
      <c r="AE777" s="16" t="str">
        <f t="shared" si="6"/>
        <v>Valid</v>
      </c>
      <c r="AF777" s="16" t="str">
        <f t="shared" ref="AF777:AG777" si="1565">IF(ISNUMBER(B777),"Valid","Invalid")</f>
        <v>Valid</v>
      </c>
      <c r="AG777" s="16" t="str">
        <f t="shared" si="1565"/>
        <v>Valid</v>
      </c>
      <c r="AH777" s="16" t="str">
        <f t="shared" ref="AH777:AI777" si="1566">IF(OR(B777="",ISBLANK(B777)),"Missing","Valid")</f>
        <v>Valid</v>
      </c>
      <c r="AI777" s="16" t="str">
        <f t="shared" si="1566"/>
        <v>Valid</v>
      </c>
      <c r="AJ777" s="16" t="b">
        <v>0</v>
      </c>
      <c r="AK777" s="16" t="b">
        <v>0</v>
      </c>
      <c r="AL777" s="16" t="b">
        <v>0</v>
      </c>
      <c r="AM777" s="16" t="b">
        <v>0</v>
      </c>
      <c r="AN777" s="16" t="b">
        <v>0</v>
      </c>
      <c r="AO777" s="16" t="b">
        <v>0</v>
      </c>
      <c r="AP777" s="16" t="b">
        <v>0</v>
      </c>
      <c r="AQ777" s="17">
        <f t="shared" si="9"/>
        <v>0.25</v>
      </c>
      <c r="AR777" s="12">
        <f t="shared" si="10"/>
        <v>23736.720000000001</v>
      </c>
      <c r="AS777" s="18">
        <f t="shared" si="11"/>
        <v>0</v>
      </c>
      <c r="AT777" s="12">
        <f t="shared" si="12"/>
        <v>9845.8200000000015</v>
      </c>
      <c r="AU777" s="18">
        <f t="shared" si="13"/>
        <v>0</v>
      </c>
      <c r="AV777" s="19">
        <f t="shared" si="14"/>
        <v>0.41479277676106896</v>
      </c>
      <c r="AW777" s="20" t="str">
        <f t="shared" si="15"/>
        <v>April</v>
      </c>
      <c r="AX777" s="21">
        <f t="shared" si="16"/>
        <v>2024</v>
      </c>
    </row>
    <row r="778" spans="1:50" ht="15.75" customHeight="1">
      <c r="A778" s="10" t="s">
        <v>2433</v>
      </c>
      <c r="B778" s="11">
        <v>45816</v>
      </c>
      <c r="C778" s="11">
        <v>45821</v>
      </c>
      <c r="D778" s="10" t="s">
        <v>2434</v>
      </c>
      <c r="E778" s="10" t="s">
        <v>118</v>
      </c>
      <c r="F778" s="10" t="s">
        <v>66</v>
      </c>
      <c r="G778" s="10" t="s">
        <v>54</v>
      </c>
      <c r="H778" s="10" t="s">
        <v>55</v>
      </c>
      <c r="I778" s="10" t="s">
        <v>56</v>
      </c>
      <c r="J778" s="10" t="s">
        <v>103</v>
      </c>
      <c r="K778" s="10" t="s">
        <v>109</v>
      </c>
      <c r="L778" s="10" t="s">
        <v>2435</v>
      </c>
      <c r="M778" s="10" t="s">
        <v>60</v>
      </c>
      <c r="N778" s="12">
        <v>7</v>
      </c>
      <c r="O778" s="12">
        <v>3857.13</v>
      </c>
      <c r="P778" s="12">
        <v>0</v>
      </c>
      <c r="Q778" s="12">
        <v>26999.91</v>
      </c>
      <c r="R778" s="12">
        <v>17815.98</v>
      </c>
      <c r="S778" s="12">
        <v>9183.93</v>
      </c>
      <c r="T778" s="10" t="s">
        <v>61</v>
      </c>
      <c r="U778" s="13" t="s">
        <v>62</v>
      </c>
      <c r="V778" s="14" t="e">
        <f t="shared" ca="1" si="0"/>
        <v>#NAME?</v>
      </c>
      <c r="W778" s="10" t="str">
        <f ca="1">IFERROR(__xludf.DUMMYFUNCTION("IF(COUNTIF($A:$A,A772)=1,
""Unique"",
IF(COUNTUNIQUE(FILTER($V$2:$V$934,$A$2:$A$934=A772))&gt;1,
""Conflicting Duplicate"",
""Exact Duplicate""))"),"Unique")</f>
        <v>Unique</v>
      </c>
      <c r="X778" s="10" t="b">
        <f t="shared" ca="1" si="1"/>
        <v>1</v>
      </c>
      <c r="Y778" s="10" t="str">
        <f t="shared" si="2"/>
        <v>Unique</v>
      </c>
      <c r="Z778" s="10"/>
      <c r="AA778" s="10" t="str">
        <f t="shared" si="3"/>
        <v>Clean</v>
      </c>
      <c r="AB778" s="15" t="str">
        <f t="shared" si="4"/>
        <v>Valid</v>
      </c>
      <c r="AC778" s="15">
        <v>5</v>
      </c>
      <c r="AD778" s="16" t="str">
        <f t="shared" si="5"/>
        <v>Valid</v>
      </c>
      <c r="AE778" s="16" t="str">
        <f t="shared" si="6"/>
        <v>Valid</v>
      </c>
      <c r="AF778" s="16" t="str">
        <f t="shared" ref="AF778:AG778" si="1567">IF(ISNUMBER(B778),"Valid","Invalid")</f>
        <v>Valid</v>
      </c>
      <c r="AG778" s="16" t="str">
        <f t="shared" si="1567"/>
        <v>Valid</v>
      </c>
      <c r="AH778" s="16" t="str">
        <f t="shared" ref="AH778:AI778" si="1568">IF(OR(B778="",ISBLANK(B778)),"Missing","Valid")</f>
        <v>Valid</v>
      </c>
      <c r="AI778" s="16" t="str">
        <f t="shared" si="1568"/>
        <v>Valid</v>
      </c>
      <c r="AJ778" s="16" t="b">
        <v>0</v>
      </c>
      <c r="AK778" s="16" t="b">
        <v>0</v>
      </c>
      <c r="AL778" s="16" t="b">
        <v>0</v>
      </c>
      <c r="AM778" s="16" t="b">
        <v>0</v>
      </c>
      <c r="AN778" s="16" t="b">
        <v>0</v>
      </c>
      <c r="AO778" s="16" t="b">
        <v>0</v>
      </c>
      <c r="AP778" s="16" t="b">
        <v>0</v>
      </c>
      <c r="AQ778" s="17">
        <f t="shared" si="9"/>
        <v>0</v>
      </c>
      <c r="AR778" s="12">
        <f t="shared" si="10"/>
        <v>26999.91</v>
      </c>
      <c r="AS778" s="18">
        <f t="shared" si="11"/>
        <v>0</v>
      </c>
      <c r="AT778" s="12">
        <f t="shared" si="12"/>
        <v>9183.93</v>
      </c>
      <c r="AU778" s="18">
        <f t="shared" si="13"/>
        <v>0</v>
      </c>
      <c r="AV778" s="19">
        <f t="shared" si="14"/>
        <v>0.34014668937785347</v>
      </c>
      <c r="AW778" s="20" t="str">
        <f t="shared" si="15"/>
        <v>June</v>
      </c>
      <c r="AX778" s="21">
        <f t="shared" si="16"/>
        <v>2025</v>
      </c>
    </row>
    <row r="779" spans="1:50" ht="15.75" customHeight="1">
      <c r="A779" s="10" t="s">
        <v>2436</v>
      </c>
      <c r="B779" s="11">
        <v>45326</v>
      </c>
      <c r="C779" s="11">
        <v>45328</v>
      </c>
      <c r="D779" s="10" t="s">
        <v>2437</v>
      </c>
      <c r="E779" s="10" t="s">
        <v>294</v>
      </c>
      <c r="F779" s="10" t="s">
        <v>66</v>
      </c>
      <c r="G779" s="10" t="s">
        <v>92</v>
      </c>
      <c r="H779" s="10" t="s">
        <v>101</v>
      </c>
      <c r="I779" s="10" t="s">
        <v>102</v>
      </c>
      <c r="J779" s="10" t="s">
        <v>103</v>
      </c>
      <c r="K779" s="10" t="s">
        <v>104</v>
      </c>
      <c r="L779" s="10" t="s">
        <v>2438</v>
      </c>
      <c r="M779" s="10" t="s">
        <v>60</v>
      </c>
      <c r="N779" s="12">
        <v>4</v>
      </c>
      <c r="O779" s="12">
        <v>1489.74</v>
      </c>
      <c r="P779" s="12">
        <v>0.15</v>
      </c>
      <c r="Q779" s="12">
        <v>5065.12</v>
      </c>
      <c r="R779" s="12">
        <v>3530.12</v>
      </c>
      <c r="S779" s="12">
        <v>1535</v>
      </c>
      <c r="T779" s="10" t="s">
        <v>184</v>
      </c>
      <c r="U779" s="13" t="s">
        <v>97</v>
      </c>
      <c r="V779" s="14" t="e">
        <f t="shared" ca="1" si="0"/>
        <v>#NAME?</v>
      </c>
      <c r="W779" s="10" t="str">
        <f ca="1">IFERROR(__xludf.DUMMYFUNCTION("IF(COUNTIF($A:$A,A773)=1,
""Unique"",
IF(COUNTUNIQUE(FILTER($V$2:$V$934,$A$2:$A$934=A773))&gt;1,
""Conflicting Duplicate"",
""Exact Duplicate""))"),"Unique")</f>
        <v>Unique</v>
      </c>
      <c r="X779" s="10" t="b">
        <f t="shared" ca="1" si="1"/>
        <v>1</v>
      </c>
      <c r="Y779" s="10" t="str">
        <f t="shared" si="2"/>
        <v>Unique</v>
      </c>
      <c r="Z779" s="10"/>
      <c r="AA779" s="10" t="str">
        <f t="shared" si="3"/>
        <v>Clean</v>
      </c>
      <c r="AB779" s="15" t="str">
        <f t="shared" si="4"/>
        <v>Valid</v>
      </c>
      <c r="AC779" s="15">
        <v>2</v>
      </c>
      <c r="AD779" s="16" t="str">
        <f t="shared" si="5"/>
        <v>Valid</v>
      </c>
      <c r="AE779" s="16" t="str">
        <f t="shared" si="6"/>
        <v>Valid</v>
      </c>
      <c r="AF779" s="16" t="str">
        <f t="shared" ref="AF779:AG779" si="1569">IF(ISNUMBER(B779),"Valid","Invalid")</f>
        <v>Valid</v>
      </c>
      <c r="AG779" s="16" t="str">
        <f t="shared" si="1569"/>
        <v>Valid</v>
      </c>
      <c r="AH779" s="16" t="str">
        <f t="shared" ref="AH779:AI779" si="1570">IF(OR(B779="",ISBLANK(B779)),"Missing","Valid")</f>
        <v>Valid</v>
      </c>
      <c r="AI779" s="16" t="str">
        <f t="shared" si="1570"/>
        <v>Valid</v>
      </c>
      <c r="AJ779" s="16" t="b">
        <v>0</v>
      </c>
      <c r="AK779" s="16" t="b">
        <v>0</v>
      </c>
      <c r="AL779" s="16" t="b">
        <v>0</v>
      </c>
      <c r="AM779" s="16" t="b">
        <v>0</v>
      </c>
      <c r="AN779" s="16" t="b">
        <v>0</v>
      </c>
      <c r="AO779" s="16" t="b">
        <v>0</v>
      </c>
      <c r="AP779" s="16" t="b">
        <v>0</v>
      </c>
      <c r="AQ779" s="17">
        <f t="shared" si="9"/>
        <v>0.15</v>
      </c>
      <c r="AR779" s="12">
        <f t="shared" si="10"/>
        <v>5065.116</v>
      </c>
      <c r="AS779" s="18">
        <f t="shared" si="11"/>
        <v>3.9999999999054126E-3</v>
      </c>
      <c r="AT779" s="12">
        <f t="shared" si="12"/>
        <v>1534.9960000000001</v>
      </c>
      <c r="AU779" s="18">
        <f t="shared" si="13"/>
        <v>3.9999999999054126E-3</v>
      </c>
      <c r="AV779" s="19">
        <f t="shared" si="14"/>
        <v>0.30305248685321323</v>
      </c>
      <c r="AW779" s="20" t="str">
        <f t="shared" si="15"/>
        <v>February</v>
      </c>
      <c r="AX779" s="21">
        <f t="shared" si="16"/>
        <v>2024</v>
      </c>
    </row>
    <row r="780" spans="1:50" ht="15.75" customHeight="1">
      <c r="A780" s="10" t="s">
        <v>2439</v>
      </c>
      <c r="B780" s="11">
        <v>45497</v>
      </c>
      <c r="C780" s="11">
        <v>45497</v>
      </c>
      <c r="D780" s="10" t="s">
        <v>2440</v>
      </c>
      <c r="E780" s="10" t="s">
        <v>52</v>
      </c>
      <c r="F780" s="10" t="s">
        <v>66</v>
      </c>
      <c r="G780" s="10" t="s">
        <v>54</v>
      </c>
      <c r="H780" s="10" t="s">
        <v>266</v>
      </c>
      <c r="I780" s="10" t="s">
        <v>267</v>
      </c>
      <c r="J780" s="10" t="s">
        <v>103</v>
      </c>
      <c r="K780" s="10" t="s">
        <v>109</v>
      </c>
      <c r="L780" s="10" t="s">
        <v>2441</v>
      </c>
      <c r="M780" s="10" t="s">
        <v>60</v>
      </c>
      <c r="N780" s="12">
        <v>4</v>
      </c>
      <c r="O780" s="12">
        <v>1676.88</v>
      </c>
      <c r="P780" s="12">
        <v>0</v>
      </c>
      <c r="Q780" s="12">
        <v>6707.52</v>
      </c>
      <c r="R780" s="12">
        <v>5672.57</v>
      </c>
      <c r="S780" s="12">
        <v>1034.95</v>
      </c>
      <c r="T780" s="10" t="s">
        <v>61</v>
      </c>
      <c r="U780" s="13" t="s">
        <v>62</v>
      </c>
      <c r="V780" s="14" t="e">
        <f t="shared" ca="1" si="0"/>
        <v>#NAME?</v>
      </c>
      <c r="W780" s="10" t="str">
        <f ca="1">IFERROR(__xludf.DUMMYFUNCTION("IF(COUNTIF($A:$A,A774)=1,
""Unique"",
IF(COUNTUNIQUE(FILTER($V$2:$V$934,$A$2:$A$934=A774))&gt;1,
""Conflicting Duplicate"",
""Exact Duplicate""))"),"Unique")</f>
        <v>Unique</v>
      </c>
      <c r="X780" s="10" t="b">
        <f t="shared" ca="1" si="1"/>
        <v>1</v>
      </c>
      <c r="Y780" s="10" t="str">
        <f t="shared" si="2"/>
        <v>Unique</v>
      </c>
      <c r="Z780" s="10"/>
      <c r="AA780" s="10" t="str">
        <f t="shared" si="3"/>
        <v>Clean</v>
      </c>
      <c r="AB780" s="15" t="str">
        <f t="shared" si="4"/>
        <v>Valid</v>
      </c>
      <c r="AC780" s="15">
        <v>0</v>
      </c>
      <c r="AD780" s="16" t="str">
        <f t="shared" si="5"/>
        <v>Valid</v>
      </c>
      <c r="AE780" s="16" t="str">
        <f t="shared" si="6"/>
        <v>Valid</v>
      </c>
      <c r="AF780" s="16" t="str">
        <f t="shared" ref="AF780:AG780" si="1571">IF(ISNUMBER(B780),"Valid","Invalid")</f>
        <v>Valid</v>
      </c>
      <c r="AG780" s="16" t="str">
        <f t="shared" si="1571"/>
        <v>Valid</v>
      </c>
      <c r="AH780" s="16" t="str">
        <f t="shared" ref="AH780:AI780" si="1572">IF(OR(B780="",ISBLANK(B780)),"Missing","Valid")</f>
        <v>Valid</v>
      </c>
      <c r="AI780" s="16" t="str">
        <f t="shared" si="1572"/>
        <v>Valid</v>
      </c>
      <c r="AJ780" s="16" t="b">
        <v>0</v>
      </c>
      <c r="AK780" s="16" t="b">
        <v>0</v>
      </c>
      <c r="AL780" s="16" t="b">
        <v>0</v>
      </c>
      <c r="AM780" s="16" t="b">
        <v>0</v>
      </c>
      <c r="AN780" s="16" t="b">
        <v>0</v>
      </c>
      <c r="AO780" s="16" t="b">
        <v>0</v>
      </c>
      <c r="AP780" s="16" t="b">
        <v>0</v>
      </c>
      <c r="AQ780" s="17">
        <f t="shared" si="9"/>
        <v>0</v>
      </c>
      <c r="AR780" s="12">
        <f t="shared" si="10"/>
        <v>6707.52</v>
      </c>
      <c r="AS780" s="18">
        <f t="shared" si="11"/>
        <v>0</v>
      </c>
      <c r="AT780" s="12">
        <f t="shared" si="12"/>
        <v>1034.9500000000007</v>
      </c>
      <c r="AU780" s="18">
        <f t="shared" si="13"/>
        <v>0</v>
      </c>
      <c r="AV780" s="19">
        <f t="shared" si="14"/>
        <v>0.15429696817899918</v>
      </c>
      <c r="AW780" s="20" t="str">
        <f t="shared" si="15"/>
        <v>July</v>
      </c>
      <c r="AX780" s="21">
        <f t="shared" si="16"/>
        <v>2024</v>
      </c>
    </row>
    <row r="781" spans="1:50" ht="15.75" customHeight="1">
      <c r="A781" s="10" t="s">
        <v>2442</v>
      </c>
      <c r="B781" s="11">
        <v>45306</v>
      </c>
      <c r="C781" s="11">
        <v>45311</v>
      </c>
      <c r="D781" s="10" t="s">
        <v>2443</v>
      </c>
      <c r="E781" s="10" t="s">
        <v>143</v>
      </c>
      <c r="F781" s="10" t="s">
        <v>66</v>
      </c>
      <c r="G781" s="10" t="s">
        <v>83</v>
      </c>
      <c r="H781" s="10" t="s">
        <v>113</v>
      </c>
      <c r="I781" s="10" t="s">
        <v>114</v>
      </c>
      <c r="J781" s="10" t="s">
        <v>70</v>
      </c>
      <c r="K781" s="10" t="s">
        <v>95</v>
      </c>
      <c r="L781" s="10" t="s">
        <v>2444</v>
      </c>
      <c r="M781" s="10" t="s">
        <v>88</v>
      </c>
      <c r="N781" s="12">
        <v>4</v>
      </c>
      <c r="O781" s="12">
        <v>3153.54</v>
      </c>
      <c r="P781" s="12">
        <v>0.05</v>
      </c>
      <c r="Q781" s="12">
        <v>11983.45</v>
      </c>
      <c r="R781" s="12">
        <v>8572.9</v>
      </c>
      <c r="S781" s="12">
        <v>3410.55</v>
      </c>
      <c r="T781" s="10" t="s">
        <v>61</v>
      </c>
      <c r="U781" s="13" t="s">
        <v>62</v>
      </c>
      <c r="V781" s="14" t="e">
        <f t="shared" ca="1" si="0"/>
        <v>#NAME?</v>
      </c>
      <c r="W781" s="10" t="str">
        <f ca="1">IFERROR(__xludf.DUMMYFUNCTION("IF(COUNTIF($A:$A,A775)=1,
""Unique"",
IF(COUNTUNIQUE(FILTER($V$2:$V$934,$A$2:$A$934=A775))&gt;1,
""Conflicting Duplicate"",
""Exact Duplicate""))"),"Unique")</f>
        <v>Unique</v>
      </c>
      <c r="X781" s="10" t="b">
        <f t="shared" ca="1" si="1"/>
        <v>1</v>
      </c>
      <c r="Y781" s="10" t="str">
        <f t="shared" si="2"/>
        <v>Unique</v>
      </c>
      <c r="Z781" s="10"/>
      <c r="AA781" s="10" t="str">
        <f t="shared" si="3"/>
        <v>Clean</v>
      </c>
      <c r="AB781" s="15" t="str">
        <f t="shared" si="4"/>
        <v>Valid</v>
      </c>
      <c r="AC781" s="15">
        <v>5</v>
      </c>
      <c r="AD781" s="16" t="str">
        <f t="shared" si="5"/>
        <v>Valid</v>
      </c>
      <c r="AE781" s="16" t="str">
        <f t="shared" si="6"/>
        <v>Valid</v>
      </c>
      <c r="AF781" s="16" t="str">
        <f t="shared" ref="AF781:AG781" si="1573">IF(ISNUMBER(B781),"Valid","Invalid")</f>
        <v>Valid</v>
      </c>
      <c r="AG781" s="16" t="str">
        <f t="shared" si="1573"/>
        <v>Valid</v>
      </c>
      <c r="AH781" s="16" t="str">
        <f t="shared" ref="AH781:AI781" si="1574">IF(OR(B781="",ISBLANK(B781)),"Missing","Valid")</f>
        <v>Valid</v>
      </c>
      <c r="AI781" s="16" t="str">
        <f t="shared" si="1574"/>
        <v>Valid</v>
      </c>
      <c r="AJ781" s="16" t="b">
        <v>0</v>
      </c>
      <c r="AK781" s="16" t="b">
        <v>0</v>
      </c>
      <c r="AL781" s="16" t="b">
        <v>0</v>
      </c>
      <c r="AM781" s="16" t="b">
        <v>0</v>
      </c>
      <c r="AN781" s="16" t="b">
        <v>0</v>
      </c>
      <c r="AO781" s="16" t="b">
        <v>0</v>
      </c>
      <c r="AP781" s="16" t="b">
        <v>0</v>
      </c>
      <c r="AQ781" s="17">
        <f t="shared" si="9"/>
        <v>0.05</v>
      </c>
      <c r="AR781" s="12">
        <f t="shared" si="10"/>
        <v>11983.451999999999</v>
      </c>
      <c r="AS781" s="18">
        <f t="shared" si="11"/>
        <v>-1.9999999985884642E-3</v>
      </c>
      <c r="AT781" s="12">
        <f t="shared" si="12"/>
        <v>3410.5519999999997</v>
      </c>
      <c r="AU781" s="18">
        <f t="shared" si="13"/>
        <v>-1.9999999994979589E-3</v>
      </c>
      <c r="AV781" s="19">
        <f t="shared" si="14"/>
        <v>0.2846051371507976</v>
      </c>
      <c r="AW781" s="20" t="str">
        <f t="shared" si="15"/>
        <v>January</v>
      </c>
      <c r="AX781" s="21">
        <f t="shared" si="16"/>
        <v>2024</v>
      </c>
    </row>
    <row r="782" spans="1:50" ht="15.75" customHeight="1">
      <c r="A782" s="10" t="s">
        <v>2445</v>
      </c>
      <c r="B782" s="11">
        <v>45508</v>
      </c>
      <c r="C782" s="11">
        <v>45514</v>
      </c>
      <c r="D782" s="10" t="s">
        <v>2446</v>
      </c>
      <c r="E782" s="10" t="s">
        <v>191</v>
      </c>
      <c r="F782" s="10" t="s">
        <v>66</v>
      </c>
      <c r="G782" s="10" t="s">
        <v>92</v>
      </c>
      <c r="H782" s="10" t="s">
        <v>55</v>
      </c>
      <c r="I782" s="10" t="s">
        <v>138</v>
      </c>
      <c r="J782" s="10" t="s">
        <v>70</v>
      </c>
      <c r="K782" s="10" t="s">
        <v>95</v>
      </c>
      <c r="L782" s="10" t="s">
        <v>2447</v>
      </c>
      <c r="M782" s="10" t="s">
        <v>73</v>
      </c>
      <c r="N782" s="12">
        <v>4</v>
      </c>
      <c r="O782" s="12">
        <v>426.43</v>
      </c>
      <c r="P782" s="12">
        <v>0.2</v>
      </c>
      <c r="Q782" s="12">
        <v>1364.58</v>
      </c>
      <c r="R782" s="12">
        <v>978.16</v>
      </c>
      <c r="S782" s="12">
        <v>386.42</v>
      </c>
      <c r="T782" s="10" t="s">
        <v>61</v>
      </c>
      <c r="U782" s="13" t="s">
        <v>62</v>
      </c>
      <c r="V782" s="14" t="e">
        <f t="shared" ca="1" si="0"/>
        <v>#NAME?</v>
      </c>
      <c r="W782" s="10" t="str">
        <f ca="1">IFERROR(__xludf.DUMMYFUNCTION("IF(COUNTIF($A:$A,A776)=1,
""Unique"",
IF(COUNTUNIQUE(FILTER($V$2:$V$934,$A$2:$A$934=A776))&gt;1,
""Conflicting Duplicate"",
""Exact Duplicate""))"),"Unique")</f>
        <v>Unique</v>
      </c>
      <c r="X782" s="10" t="b">
        <f t="shared" ca="1" si="1"/>
        <v>1</v>
      </c>
      <c r="Y782" s="10" t="str">
        <f t="shared" si="2"/>
        <v>Unique</v>
      </c>
      <c r="Z782" s="10"/>
      <c r="AA782" s="10" t="str">
        <f t="shared" si="3"/>
        <v>Clean</v>
      </c>
      <c r="AB782" s="15" t="str">
        <f t="shared" si="4"/>
        <v>Valid</v>
      </c>
      <c r="AC782" s="15">
        <v>6</v>
      </c>
      <c r="AD782" s="16" t="str">
        <f t="shared" si="5"/>
        <v>Valid</v>
      </c>
      <c r="AE782" s="16" t="str">
        <f t="shared" si="6"/>
        <v>Valid</v>
      </c>
      <c r="AF782" s="16" t="str">
        <f t="shared" ref="AF782:AG782" si="1575">IF(ISNUMBER(B782),"Valid","Invalid")</f>
        <v>Valid</v>
      </c>
      <c r="AG782" s="16" t="str">
        <f t="shared" si="1575"/>
        <v>Valid</v>
      </c>
      <c r="AH782" s="16" t="str">
        <f t="shared" ref="AH782:AI782" si="1576">IF(OR(B782="",ISBLANK(B782)),"Missing","Valid")</f>
        <v>Valid</v>
      </c>
      <c r="AI782" s="16" t="str">
        <f t="shared" si="1576"/>
        <v>Valid</v>
      </c>
      <c r="AJ782" s="16" t="b">
        <v>0</v>
      </c>
      <c r="AK782" s="16" t="b">
        <v>0</v>
      </c>
      <c r="AL782" s="16" t="b">
        <v>0</v>
      </c>
      <c r="AM782" s="16" t="b">
        <v>0</v>
      </c>
      <c r="AN782" s="16" t="b">
        <v>0</v>
      </c>
      <c r="AO782" s="16" t="b">
        <v>0</v>
      </c>
      <c r="AP782" s="16" t="b">
        <v>0</v>
      </c>
      <c r="AQ782" s="17">
        <f t="shared" si="9"/>
        <v>0.2</v>
      </c>
      <c r="AR782" s="12">
        <f t="shared" si="10"/>
        <v>1364.576</v>
      </c>
      <c r="AS782" s="18">
        <f t="shared" si="11"/>
        <v>3.9999999999054126E-3</v>
      </c>
      <c r="AT782" s="12">
        <f t="shared" si="12"/>
        <v>386.41600000000005</v>
      </c>
      <c r="AU782" s="18">
        <f t="shared" si="13"/>
        <v>3.999999999962256E-3</v>
      </c>
      <c r="AV782" s="19">
        <f t="shared" si="14"/>
        <v>0.28317660577351506</v>
      </c>
      <c r="AW782" s="20" t="str">
        <f t="shared" si="15"/>
        <v>August</v>
      </c>
      <c r="AX782" s="21">
        <f t="shared" si="16"/>
        <v>2024</v>
      </c>
    </row>
    <row r="783" spans="1:50" ht="15.75" customHeight="1">
      <c r="A783" s="10" t="s">
        <v>2448</v>
      </c>
      <c r="B783" s="11">
        <v>45324</v>
      </c>
      <c r="C783" s="11">
        <v>45332</v>
      </c>
      <c r="D783" s="10" t="s">
        <v>2449</v>
      </c>
      <c r="E783" s="10" t="s">
        <v>52</v>
      </c>
      <c r="F783" s="10" t="s">
        <v>124</v>
      </c>
      <c r="G783" s="10" t="s">
        <v>92</v>
      </c>
      <c r="H783" s="10" t="s">
        <v>55</v>
      </c>
      <c r="I783" s="10" t="s">
        <v>138</v>
      </c>
      <c r="J783" s="10" t="s">
        <v>57</v>
      </c>
      <c r="K783" s="10" t="s">
        <v>120</v>
      </c>
      <c r="L783" s="10" t="s">
        <v>2450</v>
      </c>
      <c r="M783" s="10" t="s">
        <v>79</v>
      </c>
      <c r="N783" s="12">
        <v>3</v>
      </c>
      <c r="O783" s="12">
        <v>383.4</v>
      </c>
      <c r="P783" s="12">
        <v>0.25</v>
      </c>
      <c r="Q783" s="12">
        <v>862.65</v>
      </c>
      <c r="R783" s="12">
        <v>603.73</v>
      </c>
      <c r="S783" s="12">
        <v>258.92</v>
      </c>
      <c r="T783" s="10" t="s">
        <v>140</v>
      </c>
      <c r="U783" s="13" t="s">
        <v>132</v>
      </c>
      <c r="V783" s="14" t="e">
        <f t="shared" ca="1" si="0"/>
        <v>#NAME?</v>
      </c>
      <c r="W783" s="10" t="str">
        <f ca="1">IFERROR(__xludf.DUMMYFUNCTION("IF(COUNTIF($A:$A,A777)=1,
""Unique"",
IF(COUNTUNIQUE(FILTER($V$2:$V$934,$A$2:$A$934=A777))&gt;1,
""Conflicting Duplicate"",
""Exact Duplicate""))"),"Unique")</f>
        <v>Unique</v>
      </c>
      <c r="X783" s="10" t="b">
        <f t="shared" ca="1" si="1"/>
        <v>1</v>
      </c>
      <c r="Y783" s="10" t="str">
        <f t="shared" si="2"/>
        <v>Unique</v>
      </c>
      <c r="Z783" s="10"/>
      <c r="AA783" s="10" t="str">
        <f t="shared" si="3"/>
        <v>Clean</v>
      </c>
      <c r="AB783" s="15" t="str">
        <f t="shared" si="4"/>
        <v>Valid</v>
      </c>
      <c r="AC783" s="15">
        <v>8</v>
      </c>
      <c r="AD783" s="16" t="str">
        <f t="shared" si="5"/>
        <v>Valid</v>
      </c>
      <c r="AE783" s="16" t="str">
        <f t="shared" si="6"/>
        <v>Valid</v>
      </c>
      <c r="AF783" s="16" t="str">
        <f t="shared" ref="AF783:AG783" si="1577">IF(ISNUMBER(B783),"Valid","Invalid")</f>
        <v>Valid</v>
      </c>
      <c r="AG783" s="16" t="str">
        <f t="shared" si="1577"/>
        <v>Valid</v>
      </c>
      <c r="AH783" s="16" t="str">
        <f t="shared" ref="AH783:AI783" si="1578">IF(OR(B783="",ISBLANK(B783)),"Missing","Valid")</f>
        <v>Valid</v>
      </c>
      <c r="AI783" s="16" t="str">
        <f t="shared" si="1578"/>
        <v>Valid</v>
      </c>
      <c r="AJ783" s="16" t="b">
        <v>0</v>
      </c>
      <c r="AK783" s="16" t="b">
        <v>0</v>
      </c>
      <c r="AL783" s="16" t="b">
        <v>0</v>
      </c>
      <c r="AM783" s="16" t="b">
        <v>0</v>
      </c>
      <c r="AN783" s="16" t="b">
        <v>0</v>
      </c>
      <c r="AO783" s="16" t="b">
        <v>0</v>
      </c>
      <c r="AP783" s="16" t="b">
        <v>0</v>
      </c>
      <c r="AQ783" s="17">
        <f t="shared" si="9"/>
        <v>0.25</v>
      </c>
      <c r="AR783" s="12">
        <f t="shared" si="10"/>
        <v>862.64999999999986</v>
      </c>
      <c r="AS783" s="18">
        <f t="shared" si="11"/>
        <v>0</v>
      </c>
      <c r="AT783" s="12">
        <f t="shared" si="12"/>
        <v>258.91999999999985</v>
      </c>
      <c r="AU783" s="18">
        <f t="shared" si="13"/>
        <v>0</v>
      </c>
      <c r="AV783" s="19">
        <f t="shared" si="14"/>
        <v>0.30014490233582553</v>
      </c>
      <c r="AW783" s="20" t="str">
        <f t="shared" si="15"/>
        <v>February</v>
      </c>
      <c r="AX783" s="21">
        <f t="shared" si="16"/>
        <v>2024</v>
      </c>
    </row>
    <row r="784" spans="1:50" ht="15.75" customHeight="1">
      <c r="A784" s="10" t="s">
        <v>2451</v>
      </c>
      <c r="B784" s="11">
        <v>45730</v>
      </c>
      <c r="C784" s="11">
        <v>45738</v>
      </c>
      <c r="D784" s="10" t="s">
        <v>2452</v>
      </c>
      <c r="E784" s="10" t="s">
        <v>65</v>
      </c>
      <c r="F784" s="10" t="s">
        <v>119</v>
      </c>
      <c r="G784" s="10" t="s">
        <v>67</v>
      </c>
      <c r="H784" s="10" t="s">
        <v>128</v>
      </c>
      <c r="I784" s="10" t="s">
        <v>129</v>
      </c>
      <c r="J784" s="10" t="s">
        <v>103</v>
      </c>
      <c r="K784" s="10" t="s">
        <v>109</v>
      </c>
      <c r="L784" s="10" t="s">
        <v>2453</v>
      </c>
      <c r="M784" s="10" t="s">
        <v>88</v>
      </c>
      <c r="N784" s="12">
        <v>2</v>
      </c>
      <c r="O784" s="12">
        <v>669.63</v>
      </c>
      <c r="P784" s="12">
        <v>0.15</v>
      </c>
      <c r="Q784" s="12">
        <v>1138.3699999999999</v>
      </c>
      <c r="R784" s="12">
        <v>797.34</v>
      </c>
      <c r="S784" s="12">
        <v>341.03</v>
      </c>
      <c r="T784" s="10" t="s">
        <v>61</v>
      </c>
      <c r="U784" s="13" t="s">
        <v>62</v>
      </c>
      <c r="V784" s="14" t="e">
        <f t="shared" ca="1" si="0"/>
        <v>#NAME?</v>
      </c>
      <c r="W784" s="10" t="str">
        <f ca="1">IFERROR(__xludf.DUMMYFUNCTION("IF(COUNTIF($A:$A,A778)=1,
""Unique"",
IF(COUNTUNIQUE(FILTER($V$2:$V$934,$A$2:$A$934=A778))&gt;1,
""Conflicting Duplicate"",
""Exact Duplicate""))"),"Unique")</f>
        <v>Unique</v>
      </c>
      <c r="X784" s="10" t="b">
        <f t="shared" ca="1" si="1"/>
        <v>1</v>
      </c>
      <c r="Y784" s="10" t="str">
        <f t="shared" si="2"/>
        <v>Unique</v>
      </c>
      <c r="Z784" s="10"/>
      <c r="AA784" s="10" t="str">
        <f t="shared" si="3"/>
        <v>Clean</v>
      </c>
      <c r="AB784" s="15" t="str">
        <f t="shared" si="4"/>
        <v>Valid</v>
      </c>
      <c r="AC784" s="15">
        <v>8</v>
      </c>
      <c r="AD784" s="16" t="str">
        <f t="shared" si="5"/>
        <v>Valid</v>
      </c>
      <c r="AE784" s="16" t="str">
        <f t="shared" si="6"/>
        <v>Valid</v>
      </c>
      <c r="AF784" s="16" t="str">
        <f t="shared" ref="AF784:AG784" si="1579">IF(ISNUMBER(B784),"Valid","Invalid")</f>
        <v>Valid</v>
      </c>
      <c r="AG784" s="16" t="str">
        <f t="shared" si="1579"/>
        <v>Valid</v>
      </c>
      <c r="AH784" s="16" t="str">
        <f t="shared" ref="AH784:AI784" si="1580">IF(OR(B784="",ISBLANK(B784)),"Missing","Valid")</f>
        <v>Valid</v>
      </c>
      <c r="AI784" s="16" t="str">
        <f t="shared" si="1580"/>
        <v>Valid</v>
      </c>
      <c r="AJ784" s="16" t="b">
        <v>0</v>
      </c>
      <c r="AK784" s="16" t="b">
        <v>0</v>
      </c>
      <c r="AL784" s="16" t="b">
        <v>0</v>
      </c>
      <c r="AM784" s="16" t="b">
        <v>0</v>
      </c>
      <c r="AN784" s="16" t="b">
        <v>0</v>
      </c>
      <c r="AO784" s="16" t="b">
        <v>0</v>
      </c>
      <c r="AP784" s="16" t="b">
        <v>0</v>
      </c>
      <c r="AQ784" s="17">
        <f t="shared" si="9"/>
        <v>0.15</v>
      </c>
      <c r="AR784" s="12">
        <f t="shared" si="10"/>
        <v>1138.3709999999999</v>
      </c>
      <c r="AS784" s="18">
        <f t="shared" si="11"/>
        <v>-9.9999999997635314E-4</v>
      </c>
      <c r="AT784" s="12">
        <f t="shared" si="12"/>
        <v>341.03099999999984</v>
      </c>
      <c r="AU784" s="18">
        <f t="shared" si="13"/>
        <v>-9.999999998626663E-4</v>
      </c>
      <c r="AV784" s="19">
        <f t="shared" si="14"/>
        <v>0.29957808131092578</v>
      </c>
      <c r="AW784" s="20" t="str">
        <f t="shared" si="15"/>
        <v>March</v>
      </c>
      <c r="AX784" s="21">
        <f t="shared" si="16"/>
        <v>2025</v>
      </c>
    </row>
    <row r="785" spans="1:50" ht="15.75" customHeight="1">
      <c r="A785" s="10" t="s">
        <v>2454</v>
      </c>
      <c r="B785" s="11">
        <v>45450</v>
      </c>
      <c r="C785" s="11">
        <v>45450</v>
      </c>
      <c r="D785" s="10" t="s">
        <v>2455</v>
      </c>
      <c r="E785" s="10" t="s">
        <v>157</v>
      </c>
      <c r="F785" s="10" t="s">
        <v>66</v>
      </c>
      <c r="G785" s="10" t="s">
        <v>67</v>
      </c>
      <c r="H785" s="10" t="s">
        <v>174</v>
      </c>
      <c r="I785" s="10" t="s">
        <v>175</v>
      </c>
      <c r="J785" s="10" t="s">
        <v>57</v>
      </c>
      <c r="K785" s="10" t="s">
        <v>77</v>
      </c>
      <c r="L785" s="10" t="s">
        <v>2456</v>
      </c>
      <c r="M785" s="10" t="s">
        <v>60</v>
      </c>
      <c r="N785" s="12">
        <v>1</v>
      </c>
      <c r="O785" s="12">
        <v>2581.9299999999998</v>
      </c>
      <c r="P785" s="12">
        <v>0.05</v>
      </c>
      <c r="Q785" s="12">
        <v>2452.83</v>
      </c>
      <c r="R785" s="12">
        <v>1906.7</v>
      </c>
      <c r="S785" s="12">
        <v>546.13</v>
      </c>
      <c r="T785" s="10" t="s">
        <v>61</v>
      </c>
      <c r="U785" s="13" t="s">
        <v>62</v>
      </c>
      <c r="V785" s="14" t="e">
        <f t="shared" ca="1" si="0"/>
        <v>#NAME?</v>
      </c>
      <c r="W785" s="10" t="str">
        <f ca="1">IFERROR(__xludf.DUMMYFUNCTION("IF(COUNTIF($A:$A,A779)=1,
""Unique"",
IF(COUNTUNIQUE(FILTER($V$2:$V$934,$A$2:$A$934=A779))&gt;1,
""Conflicting Duplicate"",
""Exact Duplicate""))"),"Unique")</f>
        <v>Unique</v>
      </c>
      <c r="X785" s="10" t="b">
        <f t="shared" ca="1" si="1"/>
        <v>1</v>
      </c>
      <c r="Y785" s="10" t="str">
        <f t="shared" si="2"/>
        <v>Unique</v>
      </c>
      <c r="Z785" s="10"/>
      <c r="AA785" s="10" t="str">
        <f t="shared" si="3"/>
        <v>Clean</v>
      </c>
      <c r="AB785" s="15" t="str">
        <f t="shared" si="4"/>
        <v>Valid</v>
      </c>
      <c r="AC785" s="15">
        <v>0</v>
      </c>
      <c r="AD785" s="16" t="str">
        <f t="shared" si="5"/>
        <v>Valid</v>
      </c>
      <c r="AE785" s="16" t="str">
        <f t="shared" si="6"/>
        <v>Valid</v>
      </c>
      <c r="AF785" s="16" t="str">
        <f t="shared" ref="AF785:AG785" si="1581">IF(ISNUMBER(B785),"Valid","Invalid")</f>
        <v>Valid</v>
      </c>
      <c r="AG785" s="16" t="str">
        <f t="shared" si="1581"/>
        <v>Valid</v>
      </c>
      <c r="AH785" s="16" t="str">
        <f t="shared" ref="AH785:AI785" si="1582">IF(OR(B785="",ISBLANK(B785)),"Missing","Valid")</f>
        <v>Valid</v>
      </c>
      <c r="AI785" s="16" t="str">
        <f t="shared" si="1582"/>
        <v>Valid</v>
      </c>
      <c r="AJ785" s="16" t="b">
        <v>0</v>
      </c>
      <c r="AK785" s="16" t="b">
        <v>0</v>
      </c>
      <c r="AL785" s="16" t="b">
        <v>0</v>
      </c>
      <c r="AM785" s="16" t="b">
        <v>0</v>
      </c>
      <c r="AN785" s="16" t="b">
        <v>0</v>
      </c>
      <c r="AO785" s="16" t="b">
        <v>0</v>
      </c>
      <c r="AP785" s="16" t="b">
        <v>0</v>
      </c>
      <c r="AQ785" s="17">
        <f t="shared" si="9"/>
        <v>0.05</v>
      </c>
      <c r="AR785" s="12">
        <f t="shared" si="10"/>
        <v>2452.8334999999997</v>
      </c>
      <c r="AS785" s="18">
        <f t="shared" si="11"/>
        <v>-3.4999999998035491E-3</v>
      </c>
      <c r="AT785" s="12">
        <f t="shared" si="12"/>
        <v>546.13349999999969</v>
      </c>
      <c r="AU785" s="18">
        <f t="shared" si="13"/>
        <v>-3.4999999996898623E-3</v>
      </c>
      <c r="AV785" s="19">
        <f t="shared" si="14"/>
        <v>0.22265412634000625</v>
      </c>
      <c r="AW785" s="20" t="str">
        <f t="shared" si="15"/>
        <v>June</v>
      </c>
      <c r="AX785" s="21">
        <f t="shared" si="16"/>
        <v>2024</v>
      </c>
    </row>
    <row r="786" spans="1:50" ht="15.75" customHeight="1">
      <c r="A786" s="10" t="s">
        <v>2457</v>
      </c>
      <c r="B786" s="11">
        <v>45934</v>
      </c>
      <c r="C786" s="11">
        <v>45935</v>
      </c>
      <c r="D786" s="10" t="s">
        <v>2458</v>
      </c>
      <c r="E786" s="10" t="s">
        <v>143</v>
      </c>
      <c r="F786" s="10" t="s">
        <v>119</v>
      </c>
      <c r="G786" s="10" t="s">
        <v>54</v>
      </c>
      <c r="H786" s="10" t="s">
        <v>151</v>
      </c>
      <c r="I786" s="10" t="s">
        <v>152</v>
      </c>
      <c r="J786" s="10" t="s">
        <v>103</v>
      </c>
      <c r="K786" s="10" t="s">
        <v>109</v>
      </c>
      <c r="L786" s="10" t="s">
        <v>2459</v>
      </c>
      <c r="M786" s="10" t="s">
        <v>79</v>
      </c>
      <c r="N786" s="12">
        <v>4</v>
      </c>
      <c r="O786" s="12">
        <v>418.18</v>
      </c>
      <c r="P786" s="12">
        <v>0.05</v>
      </c>
      <c r="Q786" s="12">
        <v>1589.08</v>
      </c>
      <c r="R786" s="12">
        <v>1084.6600000000001</v>
      </c>
      <c r="S786" s="12">
        <v>504.42</v>
      </c>
      <c r="T786" s="10" t="s">
        <v>61</v>
      </c>
      <c r="U786" s="13" t="s">
        <v>62</v>
      </c>
      <c r="V786" s="14" t="e">
        <f t="shared" ca="1" si="0"/>
        <v>#NAME?</v>
      </c>
      <c r="W786" s="10" t="str">
        <f ca="1">IFERROR(__xludf.DUMMYFUNCTION("IF(COUNTIF($A:$A,A780)=1,
""Unique"",
IF(COUNTUNIQUE(FILTER($V$2:$V$934,$A$2:$A$934=A780))&gt;1,
""Conflicting Duplicate"",
""Exact Duplicate""))"),"Unique")</f>
        <v>Unique</v>
      </c>
      <c r="X786" s="10" t="b">
        <f t="shared" ca="1" si="1"/>
        <v>1</v>
      </c>
      <c r="Y786" s="10" t="str">
        <f t="shared" si="2"/>
        <v>Unique</v>
      </c>
      <c r="Z786" s="10"/>
      <c r="AA786" s="10" t="str">
        <f t="shared" si="3"/>
        <v>Clean</v>
      </c>
      <c r="AB786" s="15" t="str">
        <f t="shared" si="4"/>
        <v>Valid</v>
      </c>
      <c r="AC786" s="15">
        <v>1</v>
      </c>
      <c r="AD786" s="16" t="str">
        <f t="shared" si="5"/>
        <v>Valid</v>
      </c>
      <c r="AE786" s="16" t="str">
        <f t="shared" si="6"/>
        <v>Valid</v>
      </c>
      <c r="AF786" s="16" t="str">
        <f t="shared" ref="AF786:AG786" si="1583">IF(ISNUMBER(B786),"Valid","Invalid")</f>
        <v>Valid</v>
      </c>
      <c r="AG786" s="16" t="str">
        <f t="shared" si="1583"/>
        <v>Valid</v>
      </c>
      <c r="AH786" s="16" t="str">
        <f t="shared" ref="AH786:AI786" si="1584">IF(OR(B786="",ISBLANK(B786)),"Missing","Valid")</f>
        <v>Valid</v>
      </c>
      <c r="AI786" s="16" t="str">
        <f t="shared" si="1584"/>
        <v>Valid</v>
      </c>
      <c r="AJ786" s="16" t="b">
        <v>0</v>
      </c>
      <c r="AK786" s="16" t="b">
        <v>0</v>
      </c>
      <c r="AL786" s="16" t="b">
        <v>0</v>
      </c>
      <c r="AM786" s="16" t="b">
        <v>0</v>
      </c>
      <c r="AN786" s="16" t="b">
        <v>0</v>
      </c>
      <c r="AO786" s="16" t="b">
        <v>0</v>
      </c>
      <c r="AP786" s="16" t="b">
        <v>0</v>
      </c>
      <c r="AQ786" s="17">
        <f t="shared" si="9"/>
        <v>0.05</v>
      </c>
      <c r="AR786" s="12">
        <f t="shared" si="10"/>
        <v>1589.0840000000001</v>
      </c>
      <c r="AS786" s="18">
        <f t="shared" si="11"/>
        <v>-4.0000000001327862E-3</v>
      </c>
      <c r="AT786" s="12">
        <f t="shared" si="12"/>
        <v>504.42399999999998</v>
      </c>
      <c r="AU786" s="18">
        <f t="shared" si="13"/>
        <v>-3.999999999962256E-3</v>
      </c>
      <c r="AV786" s="19">
        <f t="shared" si="14"/>
        <v>0.31743067075120002</v>
      </c>
      <c r="AW786" s="20" t="str">
        <f t="shared" si="15"/>
        <v>October</v>
      </c>
      <c r="AX786" s="21">
        <f t="shared" si="16"/>
        <v>2025</v>
      </c>
    </row>
    <row r="787" spans="1:50" ht="15.75" customHeight="1">
      <c r="A787" s="10" t="s">
        <v>2460</v>
      </c>
      <c r="B787" s="11">
        <v>45435</v>
      </c>
      <c r="C787" s="11">
        <v>45441</v>
      </c>
      <c r="D787" s="10" t="s">
        <v>2461</v>
      </c>
      <c r="E787" s="10" t="s">
        <v>191</v>
      </c>
      <c r="F787" s="10" t="s">
        <v>66</v>
      </c>
      <c r="G787" s="10" t="s">
        <v>54</v>
      </c>
      <c r="H787" s="10" t="s">
        <v>266</v>
      </c>
      <c r="I787" s="10" t="s">
        <v>267</v>
      </c>
      <c r="J787" s="10" t="s">
        <v>57</v>
      </c>
      <c r="K787" s="10" t="s">
        <v>153</v>
      </c>
      <c r="L787" s="10" t="s">
        <v>2462</v>
      </c>
      <c r="M787" s="10" t="s">
        <v>73</v>
      </c>
      <c r="N787" s="12">
        <v>2</v>
      </c>
      <c r="O787" s="12">
        <v>3012.94</v>
      </c>
      <c r="P787" s="12">
        <v>0.25</v>
      </c>
      <c r="Q787" s="12">
        <v>4519.41</v>
      </c>
      <c r="R787" s="12">
        <v>3504.16</v>
      </c>
      <c r="S787" s="12">
        <v>1275.55</v>
      </c>
      <c r="T787" s="10" t="s">
        <v>184</v>
      </c>
      <c r="U787" s="13" t="s">
        <v>97</v>
      </c>
      <c r="V787" s="14" t="e">
        <f t="shared" ca="1" si="0"/>
        <v>#NAME?</v>
      </c>
      <c r="W787" s="10" t="str">
        <f ca="1">IFERROR(__xludf.DUMMYFUNCTION("IF(COUNTIF($A:$A,A781)=1,
""Unique"",
IF(COUNTUNIQUE(FILTER($V$2:$V$934,$A$2:$A$934=A781))&gt;1,
""Conflicting Duplicate"",
""Exact Duplicate""))"),"Unique")</f>
        <v>Unique</v>
      </c>
      <c r="X787" s="10" t="b">
        <f t="shared" ca="1" si="1"/>
        <v>1</v>
      </c>
      <c r="Y787" s="10" t="str">
        <f t="shared" si="2"/>
        <v>Unique</v>
      </c>
      <c r="Z787" s="10"/>
      <c r="AA787" s="10" t="str">
        <f t="shared" si="3"/>
        <v>Clean</v>
      </c>
      <c r="AB787" s="15" t="str">
        <f t="shared" si="4"/>
        <v>Valid</v>
      </c>
      <c r="AC787" s="15">
        <v>6</v>
      </c>
      <c r="AD787" s="16" t="str">
        <f t="shared" si="5"/>
        <v>Valid</v>
      </c>
      <c r="AE787" s="16" t="str">
        <f t="shared" si="6"/>
        <v>Valid</v>
      </c>
      <c r="AF787" s="16" t="str">
        <f t="shared" ref="AF787:AG787" si="1585">IF(ISNUMBER(B787),"Valid","Invalid")</f>
        <v>Valid</v>
      </c>
      <c r="AG787" s="16" t="str">
        <f t="shared" si="1585"/>
        <v>Valid</v>
      </c>
      <c r="AH787" s="16" t="str">
        <f t="shared" ref="AH787:AI787" si="1586">IF(OR(B787="",ISBLANK(B787)),"Missing","Valid")</f>
        <v>Valid</v>
      </c>
      <c r="AI787" s="16" t="str">
        <f t="shared" si="1586"/>
        <v>Valid</v>
      </c>
      <c r="AJ787" s="16" t="b">
        <v>0</v>
      </c>
      <c r="AK787" s="16" t="b">
        <v>0</v>
      </c>
      <c r="AL787" s="16" t="b">
        <v>0</v>
      </c>
      <c r="AM787" s="16" t="b">
        <v>0</v>
      </c>
      <c r="AN787" s="16" t="b">
        <v>0</v>
      </c>
      <c r="AO787" s="16" t="b">
        <v>0</v>
      </c>
      <c r="AP787" s="16" t="b">
        <v>0</v>
      </c>
      <c r="AQ787" s="17">
        <f t="shared" si="9"/>
        <v>0.25</v>
      </c>
      <c r="AR787" s="12">
        <f t="shared" si="10"/>
        <v>4519.41</v>
      </c>
      <c r="AS787" s="18">
        <f t="shared" si="11"/>
        <v>0</v>
      </c>
      <c r="AT787" s="12">
        <f t="shared" si="12"/>
        <v>1015.25</v>
      </c>
      <c r="AU787" s="18">
        <f t="shared" si="13"/>
        <v>260.29999999999995</v>
      </c>
      <c r="AV787" s="19">
        <f t="shared" si="14"/>
        <v>0.22464215461752751</v>
      </c>
      <c r="AW787" s="20" t="str">
        <f t="shared" si="15"/>
        <v>May</v>
      </c>
      <c r="AX787" s="21">
        <f t="shared" si="16"/>
        <v>2024</v>
      </c>
    </row>
    <row r="788" spans="1:50" ht="15.75" customHeight="1">
      <c r="A788" s="10" t="s">
        <v>2463</v>
      </c>
      <c r="B788" s="11">
        <v>45844</v>
      </c>
      <c r="C788" s="11">
        <v>45846</v>
      </c>
      <c r="D788" s="10" t="s">
        <v>2464</v>
      </c>
      <c r="E788" s="10" t="s">
        <v>91</v>
      </c>
      <c r="F788" s="10" t="s">
        <v>119</v>
      </c>
      <c r="G788" s="10" t="s">
        <v>54</v>
      </c>
      <c r="H788" s="10" t="s">
        <v>55</v>
      </c>
      <c r="I788" s="10" t="s">
        <v>56</v>
      </c>
      <c r="J788" s="10" t="s">
        <v>70</v>
      </c>
      <c r="K788" s="10" t="s">
        <v>86</v>
      </c>
      <c r="L788" s="10" t="s">
        <v>2465</v>
      </c>
      <c r="M788" s="10" t="s">
        <v>234</v>
      </c>
      <c r="N788" s="12">
        <v>4</v>
      </c>
      <c r="O788" s="12">
        <v>715.45</v>
      </c>
      <c r="P788" s="12">
        <v>0.05</v>
      </c>
      <c r="Q788" s="12">
        <v>2718.71</v>
      </c>
      <c r="R788" s="12">
        <v>2065.0500000000002</v>
      </c>
      <c r="S788" s="12">
        <v>653.66</v>
      </c>
      <c r="T788" s="10" t="s">
        <v>131</v>
      </c>
      <c r="U788" s="13" t="s">
        <v>132</v>
      </c>
      <c r="V788" s="14" t="e">
        <f t="shared" ca="1" si="0"/>
        <v>#NAME?</v>
      </c>
      <c r="W788" s="10" t="str">
        <f ca="1">IFERROR(__xludf.DUMMYFUNCTION("IF(COUNTIF($A:$A,A782)=1,
""Unique"",
IF(COUNTUNIQUE(FILTER($V$2:$V$934,$A$2:$A$934=A782))&gt;1,
""Conflicting Duplicate"",
""Exact Duplicate""))"),"Unique")</f>
        <v>Unique</v>
      </c>
      <c r="X788" s="10" t="b">
        <f t="shared" ca="1" si="1"/>
        <v>1</v>
      </c>
      <c r="Y788" s="10" t="str">
        <f t="shared" si="2"/>
        <v>Unique</v>
      </c>
      <c r="Z788" s="10"/>
      <c r="AA788" s="10" t="str">
        <f t="shared" si="3"/>
        <v>Warning</v>
      </c>
      <c r="AB788" s="15" t="str">
        <f t="shared" si="4"/>
        <v>Valid</v>
      </c>
      <c r="AC788" s="15">
        <v>2</v>
      </c>
      <c r="AD788" s="16" t="str">
        <f t="shared" si="5"/>
        <v>Valid</v>
      </c>
      <c r="AE788" s="16" t="str">
        <f t="shared" si="6"/>
        <v>Valid</v>
      </c>
      <c r="AF788" s="16" t="str">
        <f t="shared" ref="AF788:AG788" si="1587">IF(ISNUMBER(B788),"Valid","Invalid")</f>
        <v>Valid</v>
      </c>
      <c r="AG788" s="16" t="str">
        <f t="shared" si="1587"/>
        <v>Valid</v>
      </c>
      <c r="AH788" s="16" t="str">
        <f t="shared" ref="AH788:AI788" si="1588">IF(OR(B788="",ISBLANK(B788)),"Missing","Valid")</f>
        <v>Valid</v>
      </c>
      <c r="AI788" s="16" t="str">
        <f t="shared" si="1588"/>
        <v>Valid</v>
      </c>
      <c r="AJ788" s="16" t="b">
        <v>0</v>
      </c>
      <c r="AK788" s="16" t="b">
        <v>1</v>
      </c>
      <c r="AL788" s="16" t="b">
        <v>0</v>
      </c>
      <c r="AM788" s="16" t="b">
        <v>0</v>
      </c>
      <c r="AN788" s="16" t="b">
        <v>0</v>
      </c>
      <c r="AO788" s="16" t="b">
        <v>0</v>
      </c>
      <c r="AP788" s="16" t="b">
        <v>1</v>
      </c>
      <c r="AQ788" s="17">
        <f t="shared" si="9"/>
        <v>0.05</v>
      </c>
      <c r="AR788" s="12">
        <f t="shared" si="10"/>
        <v>2718.71</v>
      </c>
      <c r="AS788" s="18">
        <f t="shared" si="11"/>
        <v>0</v>
      </c>
      <c r="AT788" s="12">
        <f t="shared" si="12"/>
        <v>653.65999999999985</v>
      </c>
      <c r="AU788" s="18">
        <f t="shared" si="13"/>
        <v>0</v>
      </c>
      <c r="AV788" s="19">
        <f t="shared" si="14"/>
        <v>0.24043020403058799</v>
      </c>
      <c r="AW788" s="20" t="str">
        <f t="shared" si="15"/>
        <v>July</v>
      </c>
      <c r="AX788" s="21">
        <f t="shared" si="16"/>
        <v>2025</v>
      </c>
    </row>
    <row r="789" spans="1:50" ht="15.75" customHeight="1">
      <c r="A789" s="10" t="s">
        <v>2466</v>
      </c>
      <c r="B789" s="11">
        <v>45547</v>
      </c>
      <c r="C789" s="11">
        <v>45553</v>
      </c>
      <c r="D789" s="10" t="s">
        <v>2467</v>
      </c>
      <c r="E789" s="10" t="s">
        <v>91</v>
      </c>
      <c r="F789" s="10" t="s">
        <v>124</v>
      </c>
      <c r="G789" s="10" t="s">
        <v>67</v>
      </c>
      <c r="H789" s="10" t="s">
        <v>174</v>
      </c>
      <c r="I789" s="10" t="s">
        <v>175</v>
      </c>
      <c r="J789" s="10" t="s">
        <v>57</v>
      </c>
      <c r="K789" s="10" t="s">
        <v>58</v>
      </c>
      <c r="L789" s="10" t="s">
        <v>2468</v>
      </c>
      <c r="M789" s="10" t="s">
        <v>60</v>
      </c>
      <c r="N789" s="12">
        <v>2</v>
      </c>
      <c r="O789" s="12">
        <v>3718.77</v>
      </c>
      <c r="P789" s="12">
        <v>0.05</v>
      </c>
      <c r="Q789" s="12">
        <v>7065.66</v>
      </c>
      <c r="R789" s="12">
        <v>4915.2700000000004</v>
      </c>
      <c r="S789" s="12">
        <v>2150.39</v>
      </c>
      <c r="T789" s="10" t="s">
        <v>61</v>
      </c>
      <c r="U789" s="13" t="s">
        <v>62</v>
      </c>
      <c r="V789" s="14" t="e">
        <f t="shared" ca="1" si="0"/>
        <v>#NAME?</v>
      </c>
      <c r="W789" s="10" t="str">
        <f ca="1">IFERROR(__xludf.DUMMYFUNCTION("IF(COUNTIF($A:$A,A783)=1,
""Unique"",
IF(COUNTUNIQUE(FILTER($V$2:$V$934,$A$2:$A$934=A783))&gt;1,
""Conflicting Duplicate"",
""Exact Duplicate""))"),"Unique")</f>
        <v>Unique</v>
      </c>
      <c r="X789" s="10" t="b">
        <f t="shared" ca="1" si="1"/>
        <v>1</v>
      </c>
      <c r="Y789" s="10" t="str">
        <f t="shared" si="2"/>
        <v>Unique</v>
      </c>
      <c r="Z789" s="10"/>
      <c r="AA789" s="10" t="str">
        <f t="shared" si="3"/>
        <v>Clean</v>
      </c>
      <c r="AB789" s="15" t="str">
        <f t="shared" si="4"/>
        <v>Valid</v>
      </c>
      <c r="AC789" s="15">
        <v>6</v>
      </c>
      <c r="AD789" s="16" t="str">
        <f t="shared" si="5"/>
        <v>Valid</v>
      </c>
      <c r="AE789" s="16" t="str">
        <f t="shared" si="6"/>
        <v>Valid</v>
      </c>
      <c r="AF789" s="16" t="str">
        <f t="shared" ref="AF789:AG789" si="1589">IF(ISNUMBER(B789),"Valid","Invalid")</f>
        <v>Valid</v>
      </c>
      <c r="AG789" s="16" t="str">
        <f t="shared" si="1589"/>
        <v>Valid</v>
      </c>
      <c r="AH789" s="16" t="str">
        <f t="shared" ref="AH789:AI789" si="1590">IF(OR(B789="",ISBLANK(B789)),"Missing","Valid")</f>
        <v>Valid</v>
      </c>
      <c r="AI789" s="16" t="str">
        <f t="shared" si="1590"/>
        <v>Valid</v>
      </c>
      <c r="AJ789" s="16" t="b">
        <v>0</v>
      </c>
      <c r="AK789" s="16" t="b">
        <v>0</v>
      </c>
      <c r="AL789" s="16" t="b">
        <v>0</v>
      </c>
      <c r="AM789" s="16" t="b">
        <v>0</v>
      </c>
      <c r="AN789" s="16" t="b">
        <v>0</v>
      </c>
      <c r="AO789" s="16" t="b">
        <v>0</v>
      </c>
      <c r="AP789" s="16" t="b">
        <v>0</v>
      </c>
      <c r="AQ789" s="17">
        <f t="shared" si="9"/>
        <v>0.05</v>
      </c>
      <c r="AR789" s="12">
        <f t="shared" si="10"/>
        <v>7065.6629999999996</v>
      </c>
      <c r="AS789" s="18">
        <f t="shared" si="11"/>
        <v>-2.9999999997016857E-3</v>
      </c>
      <c r="AT789" s="12">
        <f t="shared" si="12"/>
        <v>2150.3929999999991</v>
      </c>
      <c r="AU789" s="18">
        <f t="shared" si="13"/>
        <v>-2.9999999992469384E-3</v>
      </c>
      <c r="AV789" s="19">
        <f t="shared" si="14"/>
        <v>0.30434412170521002</v>
      </c>
      <c r="AW789" s="20" t="str">
        <f t="shared" si="15"/>
        <v>September</v>
      </c>
      <c r="AX789" s="21">
        <f t="shared" si="16"/>
        <v>2024</v>
      </c>
    </row>
    <row r="790" spans="1:50" ht="15.75" customHeight="1">
      <c r="A790" s="10" t="s">
        <v>2469</v>
      </c>
      <c r="B790" s="11">
        <v>45505</v>
      </c>
      <c r="C790" s="11">
        <v>45506</v>
      </c>
      <c r="D790" s="10" t="s">
        <v>2470</v>
      </c>
      <c r="E790" s="10" t="s">
        <v>76</v>
      </c>
      <c r="F790" s="10" t="s">
        <v>119</v>
      </c>
      <c r="G790" s="10" t="s">
        <v>54</v>
      </c>
      <c r="H790" s="10" t="s">
        <v>165</v>
      </c>
      <c r="I790" s="10" t="s">
        <v>166</v>
      </c>
      <c r="J790" s="10" t="s">
        <v>70</v>
      </c>
      <c r="K790" s="10" t="s">
        <v>95</v>
      </c>
      <c r="L790" s="10" t="s">
        <v>2471</v>
      </c>
      <c r="M790" s="10" t="s">
        <v>88</v>
      </c>
      <c r="N790" s="12">
        <v>8</v>
      </c>
      <c r="O790" s="12">
        <v>2487.64</v>
      </c>
      <c r="P790" s="12">
        <v>0.1</v>
      </c>
      <c r="Q790" s="12">
        <v>17911.009999999998</v>
      </c>
      <c r="R790" s="12">
        <v>11546.05</v>
      </c>
      <c r="S790" s="12">
        <v>6364.96</v>
      </c>
      <c r="T790" s="10" t="s">
        <v>184</v>
      </c>
      <c r="U790" s="13" t="s">
        <v>132</v>
      </c>
      <c r="V790" s="14" t="e">
        <f t="shared" ca="1" si="0"/>
        <v>#NAME?</v>
      </c>
      <c r="W790" s="10" t="str">
        <f ca="1">IFERROR(__xludf.DUMMYFUNCTION("IF(COUNTIF($A:$A,A784)=1,
""Unique"",
IF(COUNTUNIQUE(FILTER($V$2:$V$934,$A$2:$A$934=A784))&gt;1,
""Conflicting Duplicate"",
""Exact Duplicate""))"),"Unique")</f>
        <v>Unique</v>
      </c>
      <c r="X790" s="10" t="b">
        <f t="shared" ca="1" si="1"/>
        <v>1</v>
      </c>
      <c r="Y790" s="10" t="str">
        <f t="shared" si="2"/>
        <v>Unique</v>
      </c>
      <c r="Z790" s="10"/>
      <c r="AA790" s="10" t="str">
        <f t="shared" si="3"/>
        <v>Clean</v>
      </c>
      <c r="AB790" s="15" t="str">
        <f t="shared" si="4"/>
        <v>Valid</v>
      </c>
      <c r="AC790" s="15">
        <v>1</v>
      </c>
      <c r="AD790" s="16" t="str">
        <f t="shared" si="5"/>
        <v>Valid</v>
      </c>
      <c r="AE790" s="16" t="str">
        <f t="shared" si="6"/>
        <v>Valid</v>
      </c>
      <c r="AF790" s="16" t="str">
        <f t="shared" ref="AF790:AG790" si="1591">IF(ISNUMBER(B790),"Valid","Invalid")</f>
        <v>Valid</v>
      </c>
      <c r="AG790" s="16" t="str">
        <f t="shared" si="1591"/>
        <v>Valid</v>
      </c>
      <c r="AH790" s="16" t="str">
        <f t="shared" ref="AH790:AI790" si="1592">IF(OR(B790="",ISBLANK(B790)),"Missing","Valid")</f>
        <v>Valid</v>
      </c>
      <c r="AI790" s="16" t="str">
        <f t="shared" si="1592"/>
        <v>Valid</v>
      </c>
      <c r="AJ790" s="16" t="b">
        <v>0</v>
      </c>
      <c r="AK790" s="16" t="b">
        <v>0</v>
      </c>
      <c r="AL790" s="16" t="b">
        <v>0</v>
      </c>
      <c r="AM790" s="16" t="b">
        <v>0</v>
      </c>
      <c r="AN790" s="16" t="b">
        <v>0</v>
      </c>
      <c r="AO790" s="16" t="b">
        <v>0</v>
      </c>
      <c r="AP790" s="16" t="b">
        <v>0</v>
      </c>
      <c r="AQ790" s="17">
        <f t="shared" si="9"/>
        <v>0.1</v>
      </c>
      <c r="AR790" s="12">
        <f t="shared" si="10"/>
        <v>17911.007999999998</v>
      </c>
      <c r="AS790" s="18">
        <f t="shared" si="11"/>
        <v>2.0000000004074536E-3</v>
      </c>
      <c r="AT790" s="12">
        <f t="shared" si="12"/>
        <v>6364.9579999999987</v>
      </c>
      <c r="AU790" s="18">
        <f t="shared" si="13"/>
        <v>2.0000000013169483E-3</v>
      </c>
      <c r="AV790" s="19">
        <f t="shared" si="14"/>
        <v>0.35536570582738836</v>
      </c>
      <c r="AW790" s="20" t="str">
        <f t="shared" si="15"/>
        <v>August</v>
      </c>
      <c r="AX790" s="21">
        <f t="shared" si="16"/>
        <v>2024</v>
      </c>
    </row>
    <row r="791" spans="1:50" ht="15.75" customHeight="1">
      <c r="A791" s="10" t="s">
        <v>2472</v>
      </c>
      <c r="B791" s="11">
        <v>45723</v>
      </c>
      <c r="C791" s="11">
        <v>45724</v>
      </c>
      <c r="D791" s="10" t="s">
        <v>2473</v>
      </c>
      <c r="E791" s="10" t="s">
        <v>143</v>
      </c>
      <c r="F791" s="10" t="s">
        <v>124</v>
      </c>
      <c r="G791" s="10" t="s">
        <v>234</v>
      </c>
      <c r="H791" s="10" t="s">
        <v>55</v>
      </c>
      <c r="I791" s="10" t="s">
        <v>138</v>
      </c>
      <c r="J791" s="10" t="s">
        <v>103</v>
      </c>
      <c r="K791" s="10" t="s">
        <v>109</v>
      </c>
      <c r="L791" s="10" t="s">
        <v>2474</v>
      </c>
      <c r="M791" s="10" t="s">
        <v>73</v>
      </c>
      <c r="N791" s="12">
        <v>4</v>
      </c>
      <c r="O791" s="12">
        <v>3537.48</v>
      </c>
      <c r="P791" s="12">
        <v>0</v>
      </c>
      <c r="Q791" s="12">
        <v>14149.92</v>
      </c>
      <c r="R791" s="12">
        <v>9466.51</v>
      </c>
      <c r="S791" s="12">
        <v>4683.41</v>
      </c>
      <c r="T791" s="10" t="s">
        <v>61</v>
      </c>
      <c r="U791" s="13" t="s">
        <v>62</v>
      </c>
      <c r="V791" s="14" t="e">
        <f t="shared" ca="1" si="0"/>
        <v>#NAME?</v>
      </c>
      <c r="W791" s="10" t="str">
        <f ca="1">IFERROR(__xludf.DUMMYFUNCTION("IF(COUNTIF($A:$A,A785)=1,
""Unique"",
IF(COUNTUNIQUE(FILTER($V$2:$V$934,$A$2:$A$934=A785))&gt;1,
""Conflicting Duplicate"",
""Exact Duplicate""))"),"Unique")</f>
        <v>Unique</v>
      </c>
      <c r="X791" s="10" t="b">
        <f t="shared" ca="1" si="1"/>
        <v>1</v>
      </c>
      <c r="Y791" s="10" t="str">
        <f t="shared" si="2"/>
        <v>Unique</v>
      </c>
      <c r="Z791" s="10"/>
      <c r="AA791" s="10" t="str">
        <f t="shared" si="3"/>
        <v>Warning</v>
      </c>
      <c r="AB791" s="15" t="str">
        <f t="shared" si="4"/>
        <v>Valid</v>
      </c>
      <c r="AC791" s="15">
        <v>1</v>
      </c>
      <c r="AD791" s="16" t="str">
        <f t="shared" si="5"/>
        <v>Valid</v>
      </c>
      <c r="AE791" s="16" t="str">
        <f t="shared" si="6"/>
        <v>Valid</v>
      </c>
      <c r="AF791" s="16" t="str">
        <f t="shared" ref="AF791:AG791" si="1593">IF(ISNUMBER(B791),"Valid","Invalid")</f>
        <v>Valid</v>
      </c>
      <c r="AG791" s="16" t="str">
        <f t="shared" si="1593"/>
        <v>Valid</v>
      </c>
      <c r="AH791" s="16" t="str">
        <f t="shared" ref="AH791:AI791" si="1594">IF(OR(B791="",ISBLANK(B791)),"Missing","Valid")</f>
        <v>Valid</v>
      </c>
      <c r="AI791" s="16" t="str">
        <f t="shared" si="1594"/>
        <v>Valid</v>
      </c>
      <c r="AJ791" s="16" t="b">
        <v>1</v>
      </c>
      <c r="AK791" s="16" t="b">
        <v>0</v>
      </c>
      <c r="AL791" s="16" t="b">
        <v>0</v>
      </c>
      <c r="AM791" s="16" t="b">
        <v>0</v>
      </c>
      <c r="AN791" s="16" t="b">
        <v>0</v>
      </c>
      <c r="AO791" s="16" t="b">
        <v>0</v>
      </c>
      <c r="AP791" s="16" t="b">
        <v>1</v>
      </c>
      <c r="AQ791" s="17">
        <f t="shared" si="9"/>
        <v>0</v>
      </c>
      <c r="AR791" s="12">
        <f t="shared" si="10"/>
        <v>14149.92</v>
      </c>
      <c r="AS791" s="18">
        <f t="shared" si="11"/>
        <v>0</v>
      </c>
      <c r="AT791" s="12">
        <f t="shared" si="12"/>
        <v>4683.41</v>
      </c>
      <c r="AU791" s="18">
        <f t="shared" si="13"/>
        <v>0</v>
      </c>
      <c r="AV791" s="19">
        <f t="shared" si="14"/>
        <v>0.33098491016203624</v>
      </c>
      <c r="AW791" s="20" t="str">
        <f t="shared" si="15"/>
        <v>March</v>
      </c>
      <c r="AX791" s="21">
        <f t="shared" si="16"/>
        <v>2025</v>
      </c>
    </row>
    <row r="792" spans="1:50" ht="15.75" customHeight="1">
      <c r="A792" s="10" t="s">
        <v>2475</v>
      </c>
      <c r="B792" s="11">
        <v>45443</v>
      </c>
      <c r="C792" s="11">
        <v>45445</v>
      </c>
      <c r="D792" s="10" t="s">
        <v>2476</v>
      </c>
      <c r="E792" s="10" t="s">
        <v>147</v>
      </c>
      <c r="F792" s="10" t="s">
        <v>119</v>
      </c>
      <c r="G792" s="10" t="s">
        <v>83</v>
      </c>
      <c r="H792" s="10" t="s">
        <v>113</v>
      </c>
      <c r="I792" s="10" t="s">
        <v>114</v>
      </c>
      <c r="J792" s="10" t="s">
        <v>57</v>
      </c>
      <c r="K792" s="10" t="s">
        <v>77</v>
      </c>
      <c r="L792" s="10" t="s">
        <v>2477</v>
      </c>
      <c r="M792" s="10" t="s">
        <v>88</v>
      </c>
      <c r="N792" s="12">
        <v>8</v>
      </c>
      <c r="O792" s="12">
        <v>667.59</v>
      </c>
      <c r="P792" s="12">
        <v>0.2</v>
      </c>
      <c r="Q792" s="12">
        <v>4272.58</v>
      </c>
      <c r="R792" s="12">
        <v>3328.92</v>
      </c>
      <c r="S792" s="12">
        <v>943.66</v>
      </c>
      <c r="T792" s="10" t="s">
        <v>61</v>
      </c>
      <c r="U792" s="13" t="s">
        <v>62</v>
      </c>
      <c r="V792" s="14" t="e">
        <f t="shared" ca="1" si="0"/>
        <v>#NAME?</v>
      </c>
      <c r="W792" s="10" t="str">
        <f ca="1">IFERROR(__xludf.DUMMYFUNCTION("IF(COUNTIF($A:$A,A786)=1,
""Unique"",
IF(COUNTUNIQUE(FILTER($V$2:$V$934,$A$2:$A$934=A786))&gt;1,
""Conflicting Duplicate"",
""Exact Duplicate""))"),"Unique")</f>
        <v>Unique</v>
      </c>
      <c r="X792" s="10" t="b">
        <f t="shared" ca="1" si="1"/>
        <v>1</v>
      </c>
      <c r="Y792" s="10" t="str">
        <f t="shared" si="2"/>
        <v>Unique</v>
      </c>
      <c r="Z792" s="10"/>
      <c r="AA792" s="10" t="str">
        <f t="shared" si="3"/>
        <v>Clean</v>
      </c>
      <c r="AB792" s="15" t="str">
        <f t="shared" si="4"/>
        <v>Valid</v>
      </c>
      <c r="AC792" s="15">
        <v>2</v>
      </c>
      <c r="AD792" s="16" t="str">
        <f t="shared" si="5"/>
        <v>Valid</v>
      </c>
      <c r="AE792" s="16" t="str">
        <f t="shared" si="6"/>
        <v>Valid</v>
      </c>
      <c r="AF792" s="16" t="str">
        <f t="shared" ref="AF792:AG792" si="1595">IF(ISNUMBER(B792),"Valid","Invalid")</f>
        <v>Valid</v>
      </c>
      <c r="AG792" s="16" t="str">
        <f t="shared" si="1595"/>
        <v>Valid</v>
      </c>
      <c r="AH792" s="16" t="str">
        <f t="shared" ref="AH792:AI792" si="1596">IF(OR(B792="",ISBLANK(B792)),"Missing","Valid")</f>
        <v>Valid</v>
      </c>
      <c r="AI792" s="16" t="str">
        <f t="shared" si="1596"/>
        <v>Valid</v>
      </c>
      <c r="AJ792" s="16" t="b">
        <v>0</v>
      </c>
      <c r="AK792" s="16" t="b">
        <v>0</v>
      </c>
      <c r="AL792" s="16" t="b">
        <v>0</v>
      </c>
      <c r="AM792" s="16" t="b">
        <v>0</v>
      </c>
      <c r="AN792" s="16" t="b">
        <v>0</v>
      </c>
      <c r="AO792" s="16" t="b">
        <v>0</v>
      </c>
      <c r="AP792" s="16" t="b">
        <v>0</v>
      </c>
      <c r="AQ792" s="17">
        <f t="shared" si="9"/>
        <v>0.2</v>
      </c>
      <c r="AR792" s="12">
        <f t="shared" si="10"/>
        <v>4272.576</v>
      </c>
      <c r="AS792" s="18">
        <f t="shared" si="11"/>
        <v>3.9999999999054126E-3</v>
      </c>
      <c r="AT792" s="12">
        <f t="shared" si="12"/>
        <v>943.65599999999995</v>
      </c>
      <c r="AU792" s="18">
        <f t="shared" si="13"/>
        <v>4.0000000000190994E-3</v>
      </c>
      <c r="AV792" s="19">
        <f t="shared" si="14"/>
        <v>0.22086347908147214</v>
      </c>
      <c r="AW792" s="20" t="str">
        <f t="shared" si="15"/>
        <v>May</v>
      </c>
      <c r="AX792" s="21">
        <f t="shared" si="16"/>
        <v>2024</v>
      </c>
    </row>
    <row r="793" spans="1:50" ht="15.75" customHeight="1">
      <c r="A793" s="10" t="s">
        <v>2478</v>
      </c>
      <c r="B793" s="11">
        <v>45567</v>
      </c>
      <c r="C793" s="11">
        <v>45571</v>
      </c>
      <c r="D793" s="10" t="s">
        <v>2479</v>
      </c>
      <c r="E793" s="10" t="s">
        <v>147</v>
      </c>
      <c r="F793" s="10" t="s">
        <v>124</v>
      </c>
      <c r="G793" s="10" t="s">
        <v>83</v>
      </c>
      <c r="H793" s="10" t="s">
        <v>204</v>
      </c>
      <c r="I793" s="10" t="s">
        <v>205</v>
      </c>
      <c r="J793" s="10" t="s">
        <v>70</v>
      </c>
      <c r="K793" s="10" t="s">
        <v>187</v>
      </c>
      <c r="L793" s="10" t="s">
        <v>2480</v>
      </c>
      <c r="M793" s="10" t="s">
        <v>73</v>
      </c>
      <c r="N793" s="12">
        <v>8</v>
      </c>
      <c r="O793" s="12">
        <v>1558.77</v>
      </c>
      <c r="P793" s="12">
        <v>0.25</v>
      </c>
      <c r="Q793" s="12">
        <v>9352.6200000000008</v>
      </c>
      <c r="R793" s="12">
        <v>5269.41</v>
      </c>
      <c r="S793" s="12">
        <v>4083.21</v>
      </c>
      <c r="T793" s="10" t="s">
        <v>61</v>
      </c>
      <c r="U793" s="13" t="s">
        <v>62</v>
      </c>
      <c r="V793" s="14" t="e">
        <f t="shared" ca="1" si="0"/>
        <v>#NAME?</v>
      </c>
      <c r="W793" s="10" t="str">
        <f ca="1">IFERROR(__xludf.DUMMYFUNCTION("IF(COUNTIF($A:$A,A787)=1,
""Unique"",
IF(COUNTUNIQUE(FILTER($V$2:$V$934,$A$2:$A$934=A787))&gt;1,
""Conflicting Duplicate"",
""Exact Duplicate""))"),"Unique")</f>
        <v>Unique</v>
      </c>
      <c r="X793" s="10" t="b">
        <f t="shared" ca="1" si="1"/>
        <v>1</v>
      </c>
      <c r="Y793" s="10" t="str">
        <f t="shared" si="2"/>
        <v>Unique</v>
      </c>
      <c r="Z793" s="10"/>
      <c r="AA793" s="10" t="str">
        <f t="shared" si="3"/>
        <v>Clean</v>
      </c>
      <c r="AB793" s="15" t="str">
        <f t="shared" si="4"/>
        <v>Valid</v>
      </c>
      <c r="AC793" s="15">
        <v>4</v>
      </c>
      <c r="AD793" s="16" t="str">
        <f t="shared" si="5"/>
        <v>Valid</v>
      </c>
      <c r="AE793" s="16" t="str">
        <f t="shared" si="6"/>
        <v>Valid</v>
      </c>
      <c r="AF793" s="16" t="str">
        <f t="shared" ref="AF793:AG793" si="1597">IF(ISNUMBER(B793),"Valid","Invalid")</f>
        <v>Valid</v>
      </c>
      <c r="AG793" s="16" t="str">
        <f t="shared" si="1597"/>
        <v>Valid</v>
      </c>
      <c r="AH793" s="16" t="str">
        <f t="shared" ref="AH793:AI793" si="1598">IF(OR(B793="",ISBLANK(B793)),"Missing","Valid")</f>
        <v>Valid</v>
      </c>
      <c r="AI793" s="16" t="str">
        <f t="shared" si="1598"/>
        <v>Valid</v>
      </c>
      <c r="AJ793" s="16" t="b">
        <v>0</v>
      </c>
      <c r="AK793" s="16" t="b">
        <v>0</v>
      </c>
      <c r="AL793" s="16" t="b">
        <v>0</v>
      </c>
      <c r="AM793" s="16" t="b">
        <v>0</v>
      </c>
      <c r="AN793" s="16" t="b">
        <v>0</v>
      </c>
      <c r="AO793" s="16" t="b">
        <v>0</v>
      </c>
      <c r="AP793" s="16" t="b">
        <v>0</v>
      </c>
      <c r="AQ793" s="17">
        <f t="shared" si="9"/>
        <v>0.25</v>
      </c>
      <c r="AR793" s="12">
        <f t="shared" si="10"/>
        <v>9352.619999999999</v>
      </c>
      <c r="AS793" s="18">
        <f t="shared" si="11"/>
        <v>0</v>
      </c>
      <c r="AT793" s="12">
        <f t="shared" si="12"/>
        <v>4083.2099999999991</v>
      </c>
      <c r="AU793" s="18">
        <f t="shared" si="13"/>
        <v>0</v>
      </c>
      <c r="AV793" s="19">
        <f t="shared" si="14"/>
        <v>0.43658461479243243</v>
      </c>
      <c r="AW793" s="20" t="str">
        <f t="shared" si="15"/>
        <v>October</v>
      </c>
      <c r="AX793" s="21">
        <f t="shared" si="16"/>
        <v>2024</v>
      </c>
    </row>
    <row r="794" spans="1:50" ht="15.75" customHeight="1">
      <c r="A794" s="10" t="s">
        <v>2481</v>
      </c>
      <c r="B794" s="11">
        <v>45812</v>
      </c>
      <c r="C794" s="11">
        <v>45816</v>
      </c>
      <c r="D794" s="10" t="s">
        <v>2482</v>
      </c>
      <c r="E794" s="10" t="s">
        <v>82</v>
      </c>
      <c r="F794" s="10" t="s">
        <v>66</v>
      </c>
      <c r="G794" s="10" t="s">
        <v>67</v>
      </c>
      <c r="H794" s="10" t="s">
        <v>195</v>
      </c>
      <c r="I794" s="10" t="s">
        <v>196</v>
      </c>
      <c r="J794" s="10" t="s">
        <v>70</v>
      </c>
      <c r="K794" s="10" t="s">
        <v>86</v>
      </c>
      <c r="L794" s="10" t="s">
        <v>2483</v>
      </c>
      <c r="M794" s="10" t="s">
        <v>60</v>
      </c>
      <c r="N794" s="12">
        <v>1</v>
      </c>
      <c r="O794" s="12">
        <v>3501.12</v>
      </c>
      <c r="P794" s="12">
        <v>0.2</v>
      </c>
      <c r="Q794" s="12">
        <v>2800.9</v>
      </c>
      <c r="R794" s="12">
        <v>1735.98</v>
      </c>
      <c r="S794" s="12">
        <v>1064.92</v>
      </c>
      <c r="T794" s="10" t="s">
        <v>61</v>
      </c>
      <c r="U794" s="13" t="s">
        <v>132</v>
      </c>
      <c r="V794" s="14" t="e">
        <f t="shared" ca="1" si="0"/>
        <v>#NAME?</v>
      </c>
      <c r="W794" s="10" t="str">
        <f ca="1">IFERROR(__xludf.DUMMYFUNCTION("IF(COUNTIF($A:$A,A788)=1,
""Unique"",
IF(COUNTUNIQUE(FILTER($V$2:$V$934,$A$2:$A$934=A788))&gt;1,
""Conflicting Duplicate"",
""Exact Duplicate""))"),"Unique")</f>
        <v>Unique</v>
      </c>
      <c r="X794" s="10" t="b">
        <f t="shared" ca="1" si="1"/>
        <v>1</v>
      </c>
      <c r="Y794" s="10" t="str">
        <f t="shared" si="2"/>
        <v>Unique</v>
      </c>
      <c r="Z794" s="10"/>
      <c r="AA794" s="10" t="str">
        <f t="shared" si="3"/>
        <v>Clean</v>
      </c>
      <c r="AB794" s="15" t="str">
        <f t="shared" si="4"/>
        <v>Valid</v>
      </c>
      <c r="AC794" s="15">
        <v>4</v>
      </c>
      <c r="AD794" s="16" t="str">
        <f t="shared" si="5"/>
        <v>Valid</v>
      </c>
      <c r="AE794" s="16" t="str">
        <f t="shared" si="6"/>
        <v>Valid</v>
      </c>
      <c r="AF794" s="16" t="str">
        <f t="shared" ref="AF794:AG794" si="1599">IF(ISNUMBER(B794),"Valid","Invalid")</f>
        <v>Valid</v>
      </c>
      <c r="AG794" s="16" t="str">
        <f t="shared" si="1599"/>
        <v>Valid</v>
      </c>
      <c r="AH794" s="16" t="str">
        <f t="shared" ref="AH794:AI794" si="1600">IF(OR(B794="",ISBLANK(B794)),"Missing","Valid")</f>
        <v>Valid</v>
      </c>
      <c r="AI794" s="16" t="str">
        <f t="shared" si="1600"/>
        <v>Valid</v>
      </c>
      <c r="AJ794" s="16" t="b">
        <v>0</v>
      </c>
      <c r="AK794" s="16" t="b">
        <v>0</v>
      </c>
      <c r="AL794" s="16" t="b">
        <v>0</v>
      </c>
      <c r="AM794" s="16" t="b">
        <v>0</v>
      </c>
      <c r="AN794" s="16" t="b">
        <v>0</v>
      </c>
      <c r="AO794" s="16" t="b">
        <v>0</v>
      </c>
      <c r="AP794" s="16" t="b">
        <v>0</v>
      </c>
      <c r="AQ794" s="17">
        <f t="shared" si="9"/>
        <v>0.2</v>
      </c>
      <c r="AR794" s="12">
        <f t="shared" si="10"/>
        <v>2800.8960000000002</v>
      </c>
      <c r="AS794" s="18">
        <f t="shared" si="11"/>
        <v>3.9999999999054126E-3</v>
      </c>
      <c r="AT794" s="12">
        <f t="shared" si="12"/>
        <v>1064.9160000000002</v>
      </c>
      <c r="AU794" s="18">
        <f t="shared" si="13"/>
        <v>3.9999999999054126E-3</v>
      </c>
      <c r="AV794" s="19">
        <f t="shared" si="14"/>
        <v>0.38020547710446945</v>
      </c>
      <c r="AW794" s="20" t="str">
        <f t="shared" si="15"/>
        <v>June</v>
      </c>
      <c r="AX794" s="21">
        <f t="shared" si="16"/>
        <v>2025</v>
      </c>
    </row>
    <row r="795" spans="1:50" ht="15.75" customHeight="1">
      <c r="A795" s="10" t="s">
        <v>2484</v>
      </c>
      <c r="B795" s="11">
        <v>45440</v>
      </c>
      <c r="C795" s="11">
        <v>45446</v>
      </c>
      <c r="D795" s="10" t="s">
        <v>2485</v>
      </c>
      <c r="E795" s="10" t="s">
        <v>100</v>
      </c>
      <c r="F795" s="10" t="s">
        <v>119</v>
      </c>
      <c r="G795" s="10" t="s">
        <v>54</v>
      </c>
      <c r="H795" s="10" t="s">
        <v>55</v>
      </c>
      <c r="I795" s="10" t="s">
        <v>56</v>
      </c>
      <c r="J795" s="10" t="s">
        <v>103</v>
      </c>
      <c r="K795" s="10" t="s">
        <v>109</v>
      </c>
      <c r="L795" s="10" t="s">
        <v>2486</v>
      </c>
      <c r="M795" s="10" t="s">
        <v>60</v>
      </c>
      <c r="N795" s="12">
        <v>5</v>
      </c>
      <c r="O795" s="12">
        <v>4302.32</v>
      </c>
      <c r="P795" s="12">
        <v>0</v>
      </c>
      <c r="Q795" s="12">
        <v>21511.599999999999</v>
      </c>
      <c r="R795" s="12">
        <v>15408.47</v>
      </c>
      <c r="S795" s="12">
        <v>6103.13</v>
      </c>
      <c r="T795" s="10" t="s">
        <v>61</v>
      </c>
      <c r="U795" s="13" t="s">
        <v>62</v>
      </c>
      <c r="V795" s="14" t="e">
        <f t="shared" ca="1" si="0"/>
        <v>#NAME?</v>
      </c>
      <c r="W795" s="10" t="str">
        <f ca="1">IFERROR(__xludf.DUMMYFUNCTION("IF(COUNTIF($A:$A,A789)=1,
""Unique"",
IF(COUNTUNIQUE(FILTER($V$2:$V$934,$A$2:$A$934=A789))&gt;1,
""Conflicting Duplicate"",
""Exact Duplicate""))"),"Unique")</f>
        <v>Unique</v>
      </c>
      <c r="X795" s="10" t="b">
        <f t="shared" ca="1" si="1"/>
        <v>1</v>
      </c>
      <c r="Y795" s="10" t="str">
        <f t="shared" si="2"/>
        <v>Unique</v>
      </c>
      <c r="Z795" s="10"/>
      <c r="AA795" s="10" t="str">
        <f t="shared" si="3"/>
        <v>Clean</v>
      </c>
      <c r="AB795" s="15" t="str">
        <f t="shared" si="4"/>
        <v>Valid</v>
      </c>
      <c r="AC795" s="15">
        <v>6</v>
      </c>
      <c r="AD795" s="16" t="str">
        <f t="shared" si="5"/>
        <v>Valid</v>
      </c>
      <c r="AE795" s="16" t="str">
        <f t="shared" si="6"/>
        <v>Valid</v>
      </c>
      <c r="AF795" s="16" t="str">
        <f t="shared" ref="AF795:AG795" si="1601">IF(ISNUMBER(B795),"Valid","Invalid")</f>
        <v>Valid</v>
      </c>
      <c r="AG795" s="16" t="str">
        <f t="shared" si="1601"/>
        <v>Valid</v>
      </c>
      <c r="AH795" s="16" t="str">
        <f t="shared" ref="AH795:AI795" si="1602">IF(OR(B795="",ISBLANK(B795)),"Missing","Valid")</f>
        <v>Valid</v>
      </c>
      <c r="AI795" s="16" t="str">
        <f t="shared" si="1602"/>
        <v>Valid</v>
      </c>
      <c r="AJ795" s="16" t="b">
        <v>0</v>
      </c>
      <c r="AK795" s="16" t="b">
        <v>0</v>
      </c>
      <c r="AL795" s="16" t="b">
        <v>0</v>
      </c>
      <c r="AM795" s="16" t="b">
        <v>0</v>
      </c>
      <c r="AN795" s="16" t="b">
        <v>0</v>
      </c>
      <c r="AO795" s="16" t="b">
        <v>0</v>
      </c>
      <c r="AP795" s="16" t="b">
        <v>0</v>
      </c>
      <c r="AQ795" s="17">
        <f t="shared" si="9"/>
        <v>0</v>
      </c>
      <c r="AR795" s="12">
        <f t="shared" si="10"/>
        <v>21511.599999999999</v>
      </c>
      <c r="AS795" s="18">
        <f t="shared" si="11"/>
        <v>0</v>
      </c>
      <c r="AT795" s="12">
        <f t="shared" si="12"/>
        <v>6103.1299999999992</v>
      </c>
      <c r="AU795" s="18">
        <f t="shared" si="13"/>
        <v>0</v>
      </c>
      <c r="AV795" s="19">
        <f t="shared" si="14"/>
        <v>0.28371343833094703</v>
      </c>
      <c r="AW795" s="20" t="str">
        <f t="shared" si="15"/>
        <v>May</v>
      </c>
      <c r="AX795" s="21">
        <f t="shared" si="16"/>
        <v>2024</v>
      </c>
    </row>
    <row r="796" spans="1:50" ht="15.75" customHeight="1">
      <c r="A796" s="10" t="s">
        <v>2487</v>
      </c>
      <c r="B796" s="11">
        <v>45830</v>
      </c>
      <c r="C796" s="11">
        <v>45832</v>
      </c>
      <c r="D796" s="10" t="s">
        <v>2488</v>
      </c>
      <c r="E796" s="10" t="s">
        <v>161</v>
      </c>
      <c r="F796" s="10" t="s">
        <v>119</v>
      </c>
      <c r="G796" s="10" t="s">
        <v>67</v>
      </c>
      <c r="H796" s="10" t="s">
        <v>195</v>
      </c>
      <c r="I796" s="10" t="s">
        <v>196</v>
      </c>
      <c r="J796" s="10" t="s">
        <v>57</v>
      </c>
      <c r="K796" s="10" t="s">
        <v>58</v>
      </c>
      <c r="L796" s="10" t="s">
        <v>2489</v>
      </c>
      <c r="M796" s="10" t="s">
        <v>88</v>
      </c>
      <c r="N796" s="12">
        <v>9</v>
      </c>
      <c r="O796" s="12">
        <v>951.55</v>
      </c>
      <c r="P796" s="12">
        <v>0.15</v>
      </c>
      <c r="Q796" s="12">
        <v>7279.36</v>
      </c>
      <c r="R796" s="12">
        <v>4870.3900000000003</v>
      </c>
      <c r="S796" s="12">
        <v>2408.9699999999998</v>
      </c>
      <c r="T796" s="10" t="s">
        <v>61</v>
      </c>
      <c r="U796" s="13" t="s">
        <v>62</v>
      </c>
      <c r="V796" s="14" t="e">
        <f t="shared" ca="1" si="0"/>
        <v>#NAME?</v>
      </c>
      <c r="W796" s="10" t="str">
        <f ca="1">IFERROR(__xludf.DUMMYFUNCTION("IF(COUNTIF($A:$A,A790)=1,
""Unique"",
IF(COUNTUNIQUE(FILTER($V$2:$V$934,$A$2:$A$934=A790))&gt;1,
""Conflicting Duplicate"",
""Exact Duplicate""))"),"Unique")</f>
        <v>Unique</v>
      </c>
      <c r="X796" s="10" t="b">
        <f t="shared" ca="1" si="1"/>
        <v>1</v>
      </c>
      <c r="Y796" s="10" t="str">
        <f t="shared" si="2"/>
        <v>Unique</v>
      </c>
      <c r="Z796" s="10"/>
      <c r="AA796" s="10" t="str">
        <f t="shared" si="3"/>
        <v>Clean</v>
      </c>
      <c r="AB796" s="15" t="str">
        <f t="shared" si="4"/>
        <v>Valid</v>
      </c>
      <c r="AC796" s="15">
        <v>2</v>
      </c>
      <c r="AD796" s="16" t="str">
        <f t="shared" si="5"/>
        <v>Valid</v>
      </c>
      <c r="AE796" s="16" t="str">
        <f t="shared" si="6"/>
        <v>Valid</v>
      </c>
      <c r="AF796" s="16" t="str">
        <f t="shared" ref="AF796:AG796" si="1603">IF(ISNUMBER(B796),"Valid","Invalid")</f>
        <v>Valid</v>
      </c>
      <c r="AG796" s="16" t="str">
        <f t="shared" si="1603"/>
        <v>Valid</v>
      </c>
      <c r="AH796" s="16" t="str">
        <f t="shared" ref="AH796:AI796" si="1604">IF(OR(B796="",ISBLANK(B796)),"Missing","Valid")</f>
        <v>Valid</v>
      </c>
      <c r="AI796" s="16" t="str">
        <f t="shared" si="1604"/>
        <v>Valid</v>
      </c>
      <c r="AJ796" s="16" t="b">
        <v>0</v>
      </c>
      <c r="AK796" s="16" t="b">
        <v>0</v>
      </c>
      <c r="AL796" s="16" t="b">
        <v>0</v>
      </c>
      <c r="AM796" s="16" t="b">
        <v>0</v>
      </c>
      <c r="AN796" s="16" t="b">
        <v>0</v>
      </c>
      <c r="AO796" s="16" t="b">
        <v>0</v>
      </c>
      <c r="AP796" s="16" t="b">
        <v>0</v>
      </c>
      <c r="AQ796" s="17">
        <f t="shared" si="9"/>
        <v>0.15</v>
      </c>
      <c r="AR796" s="12">
        <f t="shared" si="10"/>
        <v>7279.3574999999992</v>
      </c>
      <c r="AS796" s="18">
        <f t="shared" si="11"/>
        <v>2.500000000509317E-3</v>
      </c>
      <c r="AT796" s="12">
        <f t="shared" si="12"/>
        <v>2408.9674999999988</v>
      </c>
      <c r="AU796" s="18">
        <f t="shared" si="13"/>
        <v>2.5000000009640644E-3</v>
      </c>
      <c r="AV796" s="19">
        <f t="shared" si="14"/>
        <v>0.33093133562955235</v>
      </c>
      <c r="AW796" s="20" t="str">
        <f t="shared" si="15"/>
        <v>June</v>
      </c>
      <c r="AX796" s="21">
        <f t="shared" si="16"/>
        <v>2025</v>
      </c>
    </row>
    <row r="797" spans="1:50" ht="15.75" customHeight="1">
      <c r="A797" s="10" t="s">
        <v>2490</v>
      </c>
      <c r="B797" s="11">
        <v>45503</v>
      </c>
      <c r="C797" s="11">
        <v>45503</v>
      </c>
      <c r="D797" s="10" t="s">
        <v>2491</v>
      </c>
      <c r="E797" s="10" t="s">
        <v>191</v>
      </c>
      <c r="F797" s="10" t="s">
        <v>124</v>
      </c>
      <c r="G797" s="10" t="s">
        <v>67</v>
      </c>
      <c r="H797" s="10" t="s">
        <v>68</v>
      </c>
      <c r="I797" s="10" t="s">
        <v>69</v>
      </c>
      <c r="J797" s="10" t="s">
        <v>103</v>
      </c>
      <c r="K797" s="10" t="s">
        <v>109</v>
      </c>
      <c r="L797" s="10" t="s">
        <v>2492</v>
      </c>
      <c r="M797" s="10" t="s">
        <v>73</v>
      </c>
      <c r="N797" s="12">
        <v>9</v>
      </c>
      <c r="O797" s="12">
        <v>2894.66</v>
      </c>
      <c r="P797" s="12">
        <v>0</v>
      </c>
      <c r="Q797" s="12">
        <v>26051.94</v>
      </c>
      <c r="R797" s="12">
        <v>16883.59</v>
      </c>
      <c r="S797" s="12">
        <v>9168.35</v>
      </c>
      <c r="T797" s="10" t="s">
        <v>131</v>
      </c>
      <c r="U797" s="13" t="s">
        <v>97</v>
      </c>
      <c r="V797" s="14" t="e">
        <f t="shared" ca="1" si="0"/>
        <v>#NAME?</v>
      </c>
      <c r="W797" s="10" t="str">
        <f ca="1">IFERROR(__xludf.DUMMYFUNCTION("IF(COUNTIF($A:$A,A791)=1,
""Unique"",
IF(COUNTUNIQUE(FILTER($V$2:$V$934,$A$2:$A$934=A791))&gt;1,
""Conflicting Duplicate"",
""Exact Duplicate""))"),"Unique")</f>
        <v>Unique</v>
      </c>
      <c r="X797" s="10" t="b">
        <f t="shared" ca="1" si="1"/>
        <v>1</v>
      </c>
      <c r="Y797" s="10" t="str">
        <f t="shared" si="2"/>
        <v>Unique</v>
      </c>
      <c r="Z797" s="10"/>
      <c r="AA797" s="10" t="str">
        <f t="shared" si="3"/>
        <v>Clean</v>
      </c>
      <c r="AB797" s="15" t="str">
        <f t="shared" si="4"/>
        <v>Valid</v>
      </c>
      <c r="AC797" s="15">
        <v>0</v>
      </c>
      <c r="AD797" s="16" t="str">
        <f t="shared" si="5"/>
        <v>Valid</v>
      </c>
      <c r="AE797" s="16" t="str">
        <f t="shared" si="6"/>
        <v>Valid</v>
      </c>
      <c r="AF797" s="16" t="str">
        <f t="shared" ref="AF797:AG797" si="1605">IF(ISNUMBER(B797),"Valid","Invalid")</f>
        <v>Valid</v>
      </c>
      <c r="AG797" s="16" t="str">
        <f t="shared" si="1605"/>
        <v>Valid</v>
      </c>
      <c r="AH797" s="16" t="str">
        <f t="shared" ref="AH797:AI797" si="1606">IF(OR(B797="",ISBLANK(B797)),"Missing","Valid")</f>
        <v>Valid</v>
      </c>
      <c r="AI797" s="16" t="str">
        <f t="shared" si="1606"/>
        <v>Valid</v>
      </c>
      <c r="AJ797" s="16" t="b">
        <v>0</v>
      </c>
      <c r="AK797" s="16" t="b">
        <v>0</v>
      </c>
      <c r="AL797" s="16" t="b">
        <v>0</v>
      </c>
      <c r="AM797" s="16" t="b">
        <v>0</v>
      </c>
      <c r="AN797" s="16" t="b">
        <v>0</v>
      </c>
      <c r="AO797" s="16" t="b">
        <v>0</v>
      </c>
      <c r="AP797" s="16" t="b">
        <v>0</v>
      </c>
      <c r="AQ797" s="17">
        <f t="shared" si="9"/>
        <v>0</v>
      </c>
      <c r="AR797" s="12">
        <f t="shared" si="10"/>
        <v>26051.94</v>
      </c>
      <c r="AS797" s="18">
        <f t="shared" si="11"/>
        <v>0</v>
      </c>
      <c r="AT797" s="12">
        <f t="shared" si="12"/>
        <v>9168.3499999999985</v>
      </c>
      <c r="AU797" s="18">
        <f t="shared" si="13"/>
        <v>0</v>
      </c>
      <c r="AV797" s="19">
        <f t="shared" si="14"/>
        <v>0.3519258066769691</v>
      </c>
      <c r="AW797" s="20" t="str">
        <f t="shared" si="15"/>
        <v>July</v>
      </c>
      <c r="AX797" s="21">
        <f t="shared" si="16"/>
        <v>2024</v>
      </c>
    </row>
    <row r="798" spans="1:50" ht="15.75" customHeight="1">
      <c r="A798" s="10" t="s">
        <v>2493</v>
      </c>
      <c r="B798" s="11">
        <v>45374</v>
      </c>
      <c r="C798" s="11">
        <v>45381</v>
      </c>
      <c r="D798" s="10" t="s">
        <v>2494</v>
      </c>
      <c r="E798" s="10" t="s">
        <v>170</v>
      </c>
      <c r="F798" s="10" t="s">
        <v>66</v>
      </c>
      <c r="G798" s="10" t="s">
        <v>83</v>
      </c>
      <c r="H798" s="10" t="s">
        <v>113</v>
      </c>
      <c r="I798" s="10" t="s">
        <v>114</v>
      </c>
      <c r="J798" s="10" t="s">
        <v>103</v>
      </c>
      <c r="K798" s="10" t="s">
        <v>304</v>
      </c>
      <c r="L798" s="10" t="s">
        <v>2495</v>
      </c>
      <c r="M798" s="10" t="s">
        <v>79</v>
      </c>
      <c r="N798" s="12">
        <v>6</v>
      </c>
      <c r="O798" s="12">
        <v>1894.44</v>
      </c>
      <c r="P798" s="12">
        <v>0.15</v>
      </c>
      <c r="Q798" s="12">
        <v>9661.64</v>
      </c>
      <c r="R798" s="12">
        <v>6303.77</v>
      </c>
      <c r="S798" s="12">
        <v>3357.87</v>
      </c>
      <c r="T798" s="10" t="s">
        <v>61</v>
      </c>
      <c r="U798" s="13" t="s">
        <v>62</v>
      </c>
      <c r="V798" s="14" t="e">
        <f t="shared" ca="1" si="0"/>
        <v>#NAME?</v>
      </c>
      <c r="W798" s="10" t="str">
        <f ca="1">IFERROR(__xludf.DUMMYFUNCTION("IF(COUNTIF($A:$A,A792)=1,
""Unique"",
IF(COUNTUNIQUE(FILTER($V$2:$V$934,$A$2:$A$934=A792))&gt;1,
""Conflicting Duplicate"",
""Exact Duplicate""))"),"Unique")</f>
        <v>Unique</v>
      </c>
      <c r="X798" s="10" t="b">
        <f t="shared" ca="1" si="1"/>
        <v>1</v>
      </c>
      <c r="Y798" s="10" t="str">
        <f t="shared" si="2"/>
        <v>Unique</v>
      </c>
      <c r="Z798" s="10"/>
      <c r="AA798" s="10" t="str">
        <f t="shared" si="3"/>
        <v>Clean</v>
      </c>
      <c r="AB798" s="15" t="str">
        <f t="shared" si="4"/>
        <v>Valid</v>
      </c>
      <c r="AC798" s="15">
        <v>7</v>
      </c>
      <c r="AD798" s="16" t="str">
        <f t="shared" si="5"/>
        <v>Valid</v>
      </c>
      <c r="AE798" s="16" t="str">
        <f t="shared" si="6"/>
        <v>Valid</v>
      </c>
      <c r="AF798" s="16" t="str">
        <f t="shared" ref="AF798:AG798" si="1607">IF(ISNUMBER(B798),"Valid","Invalid")</f>
        <v>Valid</v>
      </c>
      <c r="AG798" s="16" t="str">
        <f t="shared" si="1607"/>
        <v>Valid</v>
      </c>
      <c r="AH798" s="16" t="str">
        <f t="shared" ref="AH798:AI798" si="1608">IF(OR(B798="",ISBLANK(B798)),"Missing","Valid")</f>
        <v>Valid</v>
      </c>
      <c r="AI798" s="16" t="str">
        <f t="shared" si="1608"/>
        <v>Valid</v>
      </c>
      <c r="AJ798" s="16" t="b">
        <v>0</v>
      </c>
      <c r="AK798" s="16" t="b">
        <v>0</v>
      </c>
      <c r="AL798" s="16" t="b">
        <v>0</v>
      </c>
      <c r="AM798" s="16" t="b">
        <v>0</v>
      </c>
      <c r="AN798" s="16" t="b">
        <v>0</v>
      </c>
      <c r="AO798" s="16" t="b">
        <v>0</v>
      </c>
      <c r="AP798" s="16" t="b">
        <v>0</v>
      </c>
      <c r="AQ798" s="17">
        <f t="shared" si="9"/>
        <v>0.15</v>
      </c>
      <c r="AR798" s="12">
        <f t="shared" si="10"/>
        <v>9661.6439999999984</v>
      </c>
      <c r="AS798" s="18">
        <f t="shared" si="11"/>
        <v>-3.9999999989959178E-3</v>
      </c>
      <c r="AT798" s="12">
        <f t="shared" si="12"/>
        <v>3357.873999999998</v>
      </c>
      <c r="AU798" s="18">
        <f t="shared" si="13"/>
        <v>-3.9999999980864231E-3</v>
      </c>
      <c r="AV798" s="19">
        <f t="shared" si="14"/>
        <v>0.34754685641491223</v>
      </c>
      <c r="AW798" s="20" t="str">
        <f t="shared" si="15"/>
        <v>March</v>
      </c>
      <c r="AX798" s="21">
        <f t="shared" si="16"/>
        <v>2024</v>
      </c>
    </row>
    <row r="799" spans="1:50" ht="15.75" customHeight="1">
      <c r="A799" s="10" t="s">
        <v>2496</v>
      </c>
      <c r="B799" s="11">
        <v>45400</v>
      </c>
      <c r="C799" s="11">
        <v>45404</v>
      </c>
      <c r="D799" s="10" t="s">
        <v>2497</v>
      </c>
      <c r="E799" s="10" t="s">
        <v>157</v>
      </c>
      <c r="F799" s="10" t="s">
        <v>53</v>
      </c>
      <c r="G799" s="10" t="s">
        <v>67</v>
      </c>
      <c r="H799" s="10" t="s">
        <v>68</v>
      </c>
      <c r="I799" s="10" t="s">
        <v>69</v>
      </c>
      <c r="J799" s="10" t="s">
        <v>57</v>
      </c>
      <c r="K799" s="10" t="s">
        <v>182</v>
      </c>
      <c r="L799" s="10" t="s">
        <v>2498</v>
      </c>
      <c r="M799" s="10" t="s">
        <v>79</v>
      </c>
      <c r="N799" s="12">
        <v>8</v>
      </c>
      <c r="O799" s="12">
        <v>1714.37</v>
      </c>
      <c r="P799" s="12">
        <v>0</v>
      </c>
      <c r="Q799" s="12">
        <v>13714.96</v>
      </c>
      <c r="R799" s="12">
        <v>10550.47</v>
      </c>
      <c r="S799" s="12">
        <v>3164.49</v>
      </c>
      <c r="T799" s="10" t="s">
        <v>184</v>
      </c>
      <c r="U799" s="13" t="s">
        <v>97</v>
      </c>
      <c r="V799" s="14" t="e">
        <f t="shared" ca="1" si="0"/>
        <v>#NAME?</v>
      </c>
      <c r="W799" s="10" t="str">
        <f ca="1">IFERROR(__xludf.DUMMYFUNCTION("IF(COUNTIF($A:$A,A793)=1,
""Unique"",
IF(COUNTUNIQUE(FILTER($V$2:$V$934,$A$2:$A$934=A793))&gt;1,
""Conflicting Duplicate"",
""Exact Duplicate""))"),"Unique")</f>
        <v>Unique</v>
      </c>
      <c r="X799" s="10" t="b">
        <f t="shared" ca="1" si="1"/>
        <v>1</v>
      </c>
      <c r="Y799" s="10" t="str">
        <f t="shared" si="2"/>
        <v>Unique</v>
      </c>
      <c r="Z799" s="10"/>
      <c r="AA799" s="10" t="str">
        <f t="shared" si="3"/>
        <v>Clean</v>
      </c>
      <c r="AB799" s="15" t="str">
        <f t="shared" si="4"/>
        <v>Valid</v>
      </c>
      <c r="AC799" s="15">
        <v>4</v>
      </c>
      <c r="AD799" s="16" t="str">
        <f t="shared" si="5"/>
        <v>Valid</v>
      </c>
      <c r="AE799" s="16" t="str">
        <f t="shared" si="6"/>
        <v>Valid</v>
      </c>
      <c r="AF799" s="16" t="str">
        <f t="shared" ref="AF799:AG799" si="1609">IF(ISNUMBER(B799),"Valid","Invalid")</f>
        <v>Valid</v>
      </c>
      <c r="AG799" s="16" t="str">
        <f t="shared" si="1609"/>
        <v>Valid</v>
      </c>
      <c r="AH799" s="16" t="str">
        <f t="shared" ref="AH799:AI799" si="1610">IF(OR(B799="",ISBLANK(B799)),"Missing","Valid")</f>
        <v>Valid</v>
      </c>
      <c r="AI799" s="16" t="str">
        <f t="shared" si="1610"/>
        <v>Valid</v>
      </c>
      <c r="AJ799" s="16" t="b">
        <v>0</v>
      </c>
      <c r="AK799" s="16" t="b">
        <v>0</v>
      </c>
      <c r="AL799" s="16" t="b">
        <v>0</v>
      </c>
      <c r="AM799" s="16" t="b">
        <v>0</v>
      </c>
      <c r="AN799" s="16" t="b">
        <v>0</v>
      </c>
      <c r="AO799" s="16" t="b">
        <v>0</v>
      </c>
      <c r="AP799" s="16" t="b">
        <v>0</v>
      </c>
      <c r="AQ799" s="17">
        <f t="shared" si="9"/>
        <v>0</v>
      </c>
      <c r="AR799" s="12">
        <f t="shared" si="10"/>
        <v>13714.96</v>
      </c>
      <c r="AS799" s="18">
        <f t="shared" si="11"/>
        <v>0</v>
      </c>
      <c r="AT799" s="12">
        <f t="shared" si="12"/>
        <v>3164.49</v>
      </c>
      <c r="AU799" s="18">
        <f t="shared" si="13"/>
        <v>0</v>
      </c>
      <c r="AV799" s="19">
        <f t="shared" si="14"/>
        <v>0.23073271814135804</v>
      </c>
      <c r="AW799" s="20" t="str">
        <f t="shared" si="15"/>
        <v>April</v>
      </c>
      <c r="AX799" s="21">
        <f t="shared" si="16"/>
        <v>2024</v>
      </c>
    </row>
    <row r="800" spans="1:50" ht="15.75" customHeight="1">
      <c r="A800" s="10" t="s">
        <v>2499</v>
      </c>
      <c r="B800" s="11">
        <v>45849</v>
      </c>
      <c r="C800" s="11">
        <v>45847</v>
      </c>
      <c r="D800" s="10" t="s">
        <v>2500</v>
      </c>
      <c r="E800" s="10" t="s">
        <v>118</v>
      </c>
      <c r="F800" s="10" t="s">
        <v>119</v>
      </c>
      <c r="G800" s="10" t="s">
        <v>54</v>
      </c>
      <c r="H800" s="10" t="s">
        <v>380</v>
      </c>
      <c r="I800" s="10" t="s">
        <v>381</v>
      </c>
      <c r="J800" s="10" t="s">
        <v>70</v>
      </c>
      <c r="K800" s="10" t="s">
        <v>86</v>
      </c>
      <c r="L800" s="10" t="s">
        <v>2501</v>
      </c>
      <c r="M800" s="10" t="s">
        <v>88</v>
      </c>
      <c r="N800" s="12">
        <v>9</v>
      </c>
      <c r="O800" s="12">
        <v>1706.05</v>
      </c>
      <c r="P800" s="12">
        <v>0</v>
      </c>
      <c r="Q800" s="12">
        <v>15354.45</v>
      </c>
      <c r="R800" s="12">
        <v>9656.5</v>
      </c>
      <c r="S800" s="12">
        <v>5697.95</v>
      </c>
      <c r="T800" s="10" t="s">
        <v>61</v>
      </c>
      <c r="U800" s="13" t="s">
        <v>62</v>
      </c>
      <c r="V800" s="14" t="e">
        <f t="shared" ca="1" si="0"/>
        <v>#NAME?</v>
      </c>
      <c r="W800" s="10" t="str">
        <f ca="1">IFERROR(__xludf.DUMMYFUNCTION("IF(COUNTIF($A:$A,A794)=1,
""Unique"",
IF(COUNTUNIQUE(FILTER($V$2:$V$934,$A$2:$A$934=A794))&gt;1,
""Conflicting Duplicate"",
""Exact Duplicate""))"),"Unique")</f>
        <v>Unique</v>
      </c>
      <c r="X800" s="10" t="b">
        <f t="shared" ca="1" si="1"/>
        <v>1</v>
      </c>
      <c r="Y800" s="10" t="str">
        <f t="shared" si="2"/>
        <v>Unique</v>
      </c>
      <c r="Z800" s="10"/>
      <c r="AA800" s="10" t="str">
        <f t="shared" si="3"/>
        <v>Invalid</v>
      </c>
      <c r="AB800" s="15" t="str">
        <f t="shared" si="4"/>
        <v>Invalid</v>
      </c>
      <c r="AC800" s="15">
        <v>-2</v>
      </c>
      <c r="AD800" s="16" t="str">
        <f t="shared" si="5"/>
        <v>Invalid Shipping Date</v>
      </c>
      <c r="AE800" s="16" t="str">
        <f t="shared" si="6"/>
        <v>Valid</v>
      </c>
      <c r="AF800" s="16" t="str">
        <f t="shared" ref="AF800:AG800" si="1611">IF(ISNUMBER(B800),"Valid","Invalid")</f>
        <v>Valid</v>
      </c>
      <c r="AG800" s="16" t="str">
        <f t="shared" si="1611"/>
        <v>Valid</v>
      </c>
      <c r="AH800" s="16" t="str">
        <f t="shared" ref="AH800:AI800" si="1612">IF(OR(B800="",ISBLANK(B800)),"Missing","Valid")</f>
        <v>Valid</v>
      </c>
      <c r="AI800" s="16" t="str">
        <f t="shared" si="1612"/>
        <v>Valid</v>
      </c>
      <c r="AJ800" s="16" t="b">
        <v>0</v>
      </c>
      <c r="AK800" s="16" t="b">
        <v>0</v>
      </c>
      <c r="AL800" s="16" t="b">
        <v>0</v>
      </c>
      <c r="AM800" s="16" t="b">
        <v>0</v>
      </c>
      <c r="AN800" s="16" t="b">
        <v>0</v>
      </c>
      <c r="AO800" s="16" t="b">
        <v>1</v>
      </c>
      <c r="AP800" s="16" t="b">
        <v>1</v>
      </c>
      <c r="AQ800" s="17">
        <f t="shared" si="9"/>
        <v>0</v>
      </c>
      <c r="AR800" s="12">
        <f t="shared" si="10"/>
        <v>15354.449999999999</v>
      </c>
      <c r="AS800" s="18">
        <f t="shared" si="11"/>
        <v>0</v>
      </c>
      <c r="AT800" s="12">
        <f t="shared" si="12"/>
        <v>5697.9499999999989</v>
      </c>
      <c r="AU800" s="18">
        <f t="shared" si="13"/>
        <v>0</v>
      </c>
      <c r="AV800" s="19">
        <f t="shared" si="14"/>
        <v>0.37109437329243311</v>
      </c>
      <c r="AW800" s="20" t="str">
        <f t="shared" si="15"/>
        <v>July</v>
      </c>
      <c r="AX800" s="21">
        <f t="shared" si="16"/>
        <v>2025</v>
      </c>
    </row>
    <row r="801" spans="1:50" ht="15.75" customHeight="1">
      <c r="A801" s="10" t="s">
        <v>2502</v>
      </c>
      <c r="B801" s="11">
        <v>45575</v>
      </c>
      <c r="C801" s="11">
        <v>45582</v>
      </c>
      <c r="D801" s="10" t="s">
        <v>2503</v>
      </c>
      <c r="E801" s="10" t="s">
        <v>76</v>
      </c>
      <c r="F801" s="10" t="s">
        <v>124</v>
      </c>
      <c r="G801" s="10" t="s">
        <v>54</v>
      </c>
      <c r="H801" s="10" t="s">
        <v>266</v>
      </c>
      <c r="I801" s="10" t="s">
        <v>267</v>
      </c>
      <c r="J801" s="10" t="s">
        <v>103</v>
      </c>
      <c r="K801" s="10" t="s">
        <v>104</v>
      </c>
      <c r="L801" s="10" t="s">
        <v>2504</v>
      </c>
      <c r="M801" s="10" t="s">
        <v>234</v>
      </c>
      <c r="N801" s="12">
        <v>5</v>
      </c>
      <c r="O801" s="12">
        <v>967.41</v>
      </c>
      <c r="P801" s="12">
        <v>0.05</v>
      </c>
      <c r="Q801" s="12">
        <v>4595.2</v>
      </c>
      <c r="R801" s="12">
        <v>3887.41</v>
      </c>
      <c r="S801" s="12">
        <v>707.79</v>
      </c>
      <c r="T801" s="10" t="s">
        <v>61</v>
      </c>
      <c r="U801" s="13" t="s">
        <v>132</v>
      </c>
      <c r="V801" s="14" t="e">
        <f t="shared" ca="1" si="0"/>
        <v>#NAME?</v>
      </c>
      <c r="W801" s="10" t="str">
        <f ca="1">IFERROR(__xludf.DUMMYFUNCTION("IF(COUNTIF($A:$A,A795)=1,
""Unique"",
IF(COUNTUNIQUE(FILTER($V$2:$V$934,$A$2:$A$934=A795))&gt;1,
""Conflicting Duplicate"",
""Exact Duplicate""))"),"Unique")</f>
        <v>Unique</v>
      </c>
      <c r="X801" s="10" t="b">
        <f t="shared" ca="1" si="1"/>
        <v>1</v>
      </c>
      <c r="Y801" s="10" t="str">
        <f t="shared" si="2"/>
        <v>Unique</v>
      </c>
      <c r="Z801" s="10"/>
      <c r="AA801" s="10" t="str">
        <f t="shared" si="3"/>
        <v>Warning</v>
      </c>
      <c r="AB801" s="15" t="str">
        <f t="shared" si="4"/>
        <v>Valid</v>
      </c>
      <c r="AC801" s="15">
        <v>7</v>
      </c>
      <c r="AD801" s="16" t="str">
        <f t="shared" si="5"/>
        <v>Valid</v>
      </c>
      <c r="AE801" s="16" t="str">
        <f t="shared" si="6"/>
        <v>Valid</v>
      </c>
      <c r="AF801" s="16" t="str">
        <f t="shared" ref="AF801:AG801" si="1613">IF(ISNUMBER(B801),"Valid","Invalid")</f>
        <v>Valid</v>
      </c>
      <c r="AG801" s="16" t="str">
        <f t="shared" si="1613"/>
        <v>Valid</v>
      </c>
      <c r="AH801" s="16" t="str">
        <f t="shared" ref="AH801:AI801" si="1614">IF(OR(B801="",ISBLANK(B801)),"Missing","Valid")</f>
        <v>Valid</v>
      </c>
      <c r="AI801" s="16" t="str">
        <f t="shared" si="1614"/>
        <v>Valid</v>
      </c>
      <c r="AJ801" s="16" t="b">
        <v>0</v>
      </c>
      <c r="AK801" s="16" t="b">
        <v>1</v>
      </c>
      <c r="AL801" s="16" t="b">
        <v>0</v>
      </c>
      <c r="AM801" s="16" t="b">
        <v>0</v>
      </c>
      <c r="AN801" s="16" t="b">
        <v>0</v>
      </c>
      <c r="AO801" s="16" t="b">
        <v>0</v>
      </c>
      <c r="AP801" s="16" t="b">
        <v>1</v>
      </c>
      <c r="AQ801" s="17">
        <f t="shared" si="9"/>
        <v>0.05</v>
      </c>
      <c r="AR801" s="12">
        <f t="shared" si="10"/>
        <v>4595.1975000000002</v>
      </c>
      <c r="AS801" s="18">
        <f t="shared" si="11"/>
        <v>2.4999999995998223E-3</v>
      </c>
      <c r="AT801" s="12">
        <f t="shared" si="12"/>
        <v>707.78750000000036</v>
      </c>
      <c r="AU801" s="18">
        <f t="shared" si="13"/>
        <v>2.4999999995998223E-3</v>
      </c>
      <c r="AV801" s="19">
        <f t="shared" si="14"/>
        <v>0.15402765604742785</v>
      </c>
      <c r="AW801" s="20" t="str">
        <f t="shared" si="15"/>
        <v>October</v>
      </c>
      <c r="AX801" s="21">
        <f t="shared" si="16"/>
        <v>2024</v>
      </c>
    </row>
    <row r="802" spans="1:50" ht="15.75" customHeight="1">
      <c r="A802" s="10" t="s">
        <v>2505</v>
      </c>
      <c r="B802" s="11">
        <v>45352</v>
      </c>
      <c r="C802" s="11">
        <v>45358</v>
      </c>
      <c r="D802" s="10" t="s">
        <v>2506</v>
      </c>
      <c r="E802" s="10" t="s">
        <v>100</v>
      </c>
      <c r="F802" s="10" t="s">
        <v>66</v>
      </c>
      <c r="G802" s="10" t="s">
        <v>92</v>
      </c>
      <c r="H802" s="10" t="s">
        <v>93</v>
      </c>
      <c r="I802" s="10" t="s">
        <v>94</v>
      </c>
      <c r="J802" s="10" t="s">
        <v>57</v>
      </c>
      <c r="K802" s="10" t="s">
        <v>153</v>
      </c>
      <c r="L802" s="10" t="s">
        <v>2507</v>
      </c>
      <c r="M802" s="10" t="s">
        <v>60</v>
      </c>
      <c r="N802" s="12">
        <v>6</v>
      </c>
      <c r="O802" s="12">
        <v>4163.72</v>
      </c>
      <c r="P802" s="12">
        <v>0.15</v>
      </c>
      <c r="Q802" s="12">
        <v>21234.97</v>
      </c>
      <c r="R802" s="12">
        <v>16736.09</v>
      </c>
      <c r="S802" s="12">
        <v>4498.88</v>
      </c>
      <c r="T802" s="10" t="s">
        <v>61</v>
      </c>
      <c r="U802" s="13" t="s">
        <v>62</v>
      </c>
      <c r="V802" s="14" t="e">
        <f t="shared" ca="1" si="0"/>
        <v>#NAME?</v>
      </c>
      <c r="W802" s="10" t="str">
        <f ca="1">IFERROR(__xludf.DUMMYFUNCTION("IF(COUNTIF($A:$A,A796)=1,
""Unique"",
IF(COUNTUNIQUE(FILTER($V$2:$V$934,$A$2:$A$934=A796))&gt;1,
""Conflicting Duplicate"",
""Exact Duplicate""))"),"Unique")</f>
        <v>Unique</v>
      </c>
      <c r="X802" s="10" t="b">
        <f t="shared" ca="1" si="1"/>
        <v>1</v>
      </c>
      <c r="Y802" s="10" t="str">
        <f t="shared" si="2"/>
        <v>Unique</v>
      </c>
      <c r="Z802" s="10"/>
      <c r="AA802" s="10" t="str">
        <f t="shared" si="3"/>
        <v>Clean</v>
      </c>
      <c r="AB802" s="15" t="str">
        <f t="shared" si="4"/>
        <v>Valid</v>
      </c>
      <c r="AC802" s="15">
        <v>6</v>
      </c>
      <c r="AD802" s="16" t="str">
        <f t="shared" si="5"/>
        <v>Valid</v>
      </c>
      <c r="AE802" s="16" t="str">
        <f t="shared" si="6"/>
        <v>Valid</v>
      </c>
      <c r="AF802" s="16" t="str">
        <f t="shared" ref="AF802:AG802" si="1615">IF(ISNUMBER(B802),"Valid","Invalid")</f>
        <v>Valid</v>
      </c>
      <c r="AG802" s="16" t="str">
        <f t="shared" si="1615"/>
        <v>Valid</v>
      </c>
      <c r="AH802" s="16" t="str">
        <f t="shared" ref="AH802:AI802" si="1616">IF(OR(B802="",ISBLANK(B802)),"Missing","Valid")</f>
        <v>Valid</v>
      </c>
      <c r="AI802" s="16" t="str">
        <f t="shared" si="1616"/>
        <v>Valid</v>
      </c>
      <c r="AJ802" s="16" t="b">
        <v>0</v>
      </c>
      <c r="AK802" s="16" t="b">
        <v>0</v>
      </c>
      <c r="AL802" s="16" t="b">
        <v>0</v>
      </c>
      <c r="AM802" s="16" t="b">
        <v>0</v>
      </c>
      <c r="AN802" s="16" t="b">
        <v>0</v>
      </c>
      <c r="AO802" s="16" t="b">
        <v>0</v>
      </c>
      <c r="AP802" s="16" t="b">
        <v>0</v>
      </c>
      <c r="AQ802" s="17">
        <f t="shared" si="9"/>
        <v>0.15</v>
      </c>
      <c r="AR802" s="12">
        <f t="shared" si="10"/>
        <v>21234.971999999998</v>
      </c>
      <c r="AS802" s="18">
        <f t="shared" si="11"/>
        <v>-1.9999999967694748E-3</v>
      </c>
      <c r="AT802" s="12">
        <f t="shared" si="12"/>
        <v>4498.8819999999978</v>
      </c>
      <c r="AU802" s="18">
        <f t="shared" si="13"/>
        <v>-1.9999999976789695E-3</v>
      </c>
      <c r="AV802" s="19">
        <f t="shared" si="14"/>
        <v>0.21186192286950029</v>
      </c>
      <c r="AW802" s="20" t="str">
        <f t="shared" si="15"/>
        <v>March</v>
      </c>
      <c r="AX802" s="21">
        <f t="shared" si="16"/>
        <v>2024</v>
      </c>
    </row>
    <row r="803" spans="1:50" ht="15.75" customHeight="1">
      <c r="A803" s="10" t="s">
        <v>2508</v>
      </c>
      <c r="B803" s="11">
        <v>45938</v>
      </c>
      <c r="C803" s="11">
        <v>45945</v>
      </c>
      <c r="D803" s="10" t="s">
        <v>2509</v>
      </c>
      <c r="E803" s="10" t="s">
        <v>157</v>
      </c>
      <c r="F803" s="10" t="s">
        <v>124</v>
      </c>
      <c r="G803" s="10" t="s">
        <v>67</v>
      </c>
      <c r="H803" s="10" t="s">
        <v>68</v>
      </c>
      <c r="I803" s="10" t="s">
        <v>69</v>
      </c>
      <c r="J803" s="10" t="s">
        <v>103</v>
      </c>
      <c r="K803" s="10" t="s">
        <v>104</v>
      </c>
      <c r="L803" s="10" t="s">
        <v>2510</v>
      </c>
      <c r="M803" s="10" t="s">
        <v>60</v>
      </c>
      <c r="N803" s="12">
        <v>3</v>
      </c>
      <c r="O803" s="12">
        <v>3372.21</v>
      </c>
      <c r="P803" s="12">
        <v>0.2</v>
      </c>
      <c r="Q803" s="12">
        <v>8093.3</v>
      </c>
      <c r="R803" s="12">
        <v>6052.43</v>
      </c>
      <c r="S803" s="12">
        <v>2040.87</v>
      </c>
      <c r="T803" s="10" t="s">
        <v>140</v>
      </c>
      <c r="U803" s="13" t="s">
        <v>97</v>
      </c>
      <c r="V803" s="14" t="e">
        <f t="shared" ca="1" si="0"/>
        <v>#NAME?</v>
      </c>
      <c r="W803" s="10" t="str">
        <f ca="1">IFERROR(__xludf.DUMMYFUNCTION("IF(COUNTIF($A:$A,A797)=1,
""Unique"",
IF(COUNTUNIQUE(FILTER($V$2:$V$934,$A$2:$A$934=A797))&gt;1,
""Conflicting Duplicate"",
""Exact Duplicate""))"),"Unique")</f>
        <v>Unique</v>
      </c>
      <c r="X803" s="10" t="b">
        <f t="shared" ca="1" si="1"/>
        <v>1</v>
      </c>
      <c r="Y803" s="10" t="str">
        <f t="shared" si="2"/>
        <v>Unique</v>
      </c>
      <c r="Z803" s="10"/>
      <c r="AA803" s="10" t="str">
        <f t="shared" si="3"/>
        <v>Clean</v>
      </c>
      <c r="AB803" s="15" t="str">
        <f t="shared" si="4"/>
        <v>Valid</v>
      </c>
      <c r="AC803" s="15">
        <v>7</v>
      </c>
      <c r="AD803" s="16" t="str">
        <f t="shared" si="5"/>
        <v>Valid</v>
      </c>
      <c r="AE803" s="16" t="str">
        <f t="shared" si="6"/>
        <v>Valid</v>
      </c>
      <c r="AF803" s="16" t="str">
        <f t="shared" ref="AF803:AG803" si="1617">IF(ISNUMBER(B803),"Valid","Invalid")</f>
        <v>Valid</v>
      </c>
      <c r="AG803" s="16" t="str">
        <f t="shared" si="1617"/>
        <v>Valid</v>
      </c>
      <c r="AH803" s="16" t="str">
        <f t="shared" ref="AH803:AI803" si="1618">IF(OR(B803="",ISBLANK(B803)),"Missing","Valid")</f>
        <v>Valid</v>
      </c>
      <c r="AI803" s="16" t="str">
        <f t="shared" si="1618"/>
        <v>Valid</v>
      </c>
      <c r="AJ803" s="16" t="b">
        <v>0</v>
      </c>
      <c r="AK803" s="16" t="b">
        <v>0</v>
      </c>
      <c r="AL803" s="16" t="b">
        <v>0</v>
      </c>
      <c r="AM803" s="16" t="b">
        <v>0</v>
      </c>
      <c r="AN803" s="16" t="b">
        <v>0</v>
      </c>
      <c r="AO803" s="16" t="b">
        <v>0</v>
      </c>
      <c r="AP803" s="16" t="b">
        <v>0</v>
      </c>
      <c r="AQ803" s="17">
        <f t="shared" si="9"/>
        <v>0.2</v>
      </c>
      <c r="AR803" s="12">
        <f t="shared" si="10"/>
        <v>8093.304000000001</v>
      </c>
      <c r="AS803" s="18">
        <f t="shared" si="11"/>
        <v>-4.0000000008149073E-3</v>
      </c>
      <c r="AT803" s="12">
        <f t="shared" si="12"/>
        <v>2040.8740000000007</v>
      </c>
      <c r="AU803" s="18">
        <f t="shared" si="13"/>
        <v>-4.0000000008149073E-3</v>
      </c>
      <c r="AV803" s="19">
        <f t="shared" si="14"/>
        <v>0.25216821214179036</v>
      </c>
      <c r="AW803" s="20" t="str">
        <f t="shared" si="15"/>
        <v>October</v>
      </c>
      <c r="AX803" s="21">
        <f t="shared" si="16"/>
        <v>2025</v>
      </c>
    </row>
    <row r="804" spans="1:50" ht="15.75" customHeight="1">
      <c r="A804" s="10" t="s">
        <v>2511</v>
      </c>
      <c r="B804" s="11">
        <v>45704</v>
      </c>
      <c r="C804" s="11">
        <v>45704</v>
      </c>
      <c r="D804" s="10" t="s">
        <v>2512</v>
      </c>
      <c r="E804" s="10" t="s">
        <v>170</v>
      </c>
      <c r="F804" s="10" t="s">
        <v>66</v>
      </c>
      <c r="G804" s="10" t="s">
        <v>67</v>
      </c>
      <c r="H804" s="10" t="s">
        <v>195</v>
      </c>
      <c r="I804" s="10" t="s">
        <v>196</v>
      </c>
      <c r="J804" s="10" t="s">
        <v>70</v>
      </c>
      <c r="K804" s="10" t="s">
        <v>86</v>
      </c>
      <c r="L804" s="10" t="s">
        <v>2513</v>
      </c>
      <c r="M804" s="10" t="s">
        <v>60</v>
      </c>
      <c r="N804" s="12">
        <v>6</v>
      </c>
      <c r="O804" s="12">
        <v>1441.91</v>
      </c>
      <c r="P804" s="12">
        <v>0</v>
      </c>
      <c r="Q804" s="12">
        <v>8651.4599999999991</v>
      </c>
      <c r="R804" s="12">
        <v>5254.62</v>
      </c>
      <c r="S804" s="12">
        <v>3396.84</v>
      </c>
      <c r="T804" s="10" t="s">
        <v>184</v>
      </c>
      <c r="U804" s="13" t="s">
        <v>132</v>
      </c>
      <c r="V804" s="14" t="e">
        <f t="shared" ca="1" si="0"/>
        <v>#NAME?</v>
      </c>
      <c r="W804" s="10" t="str">
        <f ca="1">IFERROR(__xludf.DUMMYFUNCTION("IF(COUNTIF($A:$A,A798)=1,
""Unique"",
IF(COUNTUNIQUE(FILTER($V$2:$V$934,$A$2:$A$934=A798))&gt;1,
""Conflicting Duplicate"",
""Exact Duplicate""))"),"Unique")</f>
        <v>Unique</v>
      </c>
      <c r="X804" s="10" t="b">
        <f t="shared" ca="1" si="1"/>
        <v>1</v>
      </c>
      <c r="Y804" s="10" t="str">
        <f t="shared" si="2"/>
        <v>Unique</v>
      </c>
      <c r="Z804" s="10"/>
      <c r="AA804" s="10" t="str">
        <f t="shared" si="3"/>
        <v>Clean</v>
      </c>
      <c r="AB804" s="15" t="str">
        <f t="shared" si="4"/>
        <v>Valid</v>
      </c>
      <c r="AC804" s="15">
        <v>0</v>
      </c>
      <c r="AD804" s="16" t="str">
        <f t="shared" si="5"/>
        <v>Valid</v>
      </c>
      <c r="AE804" s="16" t="str">
        <f t="shared" si="6"/>
        <v>Valid</v>
      </c>
      <c r="AF804" s="16" t="str">
        <f t="shared" ref="AF804:AG804" si="1619">IF(ISNUMBER(B804),"Valid","Invalid")</f>
        <v>Valid</v>
      </c>
      <c r="AG804" s="16" t="str">
        <f t="shared" si="1619"/>
        <v>Valid</v>
      </c>
      <c r="AH804" s="16" t="str">
        <f t="shared" ref="AH804:AI804" si="1620">IF(OR(B804="",ISBLANK(B804)),"Missing","Valid")</f>
        <v>Valid</v>
      </c>
      <c r="AI804" s="16" t="str">
        <f t="shared" si="1620"/>
        <v>Valid</v>
      </c>
      <c r="AJ804" s="16" t="b">
        <v>0</v>
      </c>
      <c r="AK804" s="16" t="b">
        <v>0</v>
      </c>
      <c r="AL804" s="16" t="b">
        <v>0</v>
      </c>
      <c r="AM804" s="16" t="b">
        <v>0</v>
      </c>
      <c r="AN804" s="16" t="b">
        <v>0</v>
      </c>
      <c r="AO804" s="16" t="b">
        <v>0</v>
      </c>
      <c r="AP804" s="16" t="b">
        <v>0</v>
      </c>
      <c r="AQ804" s="17">
        <f t="shared" si="9"/>
        <v>0</v>
      </c>
      <c r="AR804" s="12">
        <f t="shared" si="10"/>
        <v>8651.4600000000009</v>
      </c>
      <c r="AS804" s="18">
        <f t="shared" si="11"/>
        <v>0</v>
      </c>
      <c r="AT804" s="12">
        <f t="shared" si="12"/>
        <v>3396.8400000000011</v>
      </c>
      <c r="AU804" s="18">
        <f t="shared" si="13"/>
        <v>0</v>
      </c>
      <c r="AV804" s="19">
        <f t="shared" si="14"/>
        <v>0.39263199506210522</v>
      </c>
      <c r="AW804" s="20" t="str">
        <f t="shared" si="15"/>
        <v>February</v>
      </c>
      <c r="AX804" s="21">
        <f t="shared" si="16"/>
        <v>2025</v>
      </c>
    </row>
    <row r="805" spans="1:50" ht="15.75" customHeight="1">
      <c r="A805" s="10" t="s">
        <v>2514</v>
      </c>
      <c r="B805" s="11">
        <v>45635</v>
      </c>
      <c r="C805" s="11">
        <v>45639</v>
      </c>
      <c r="D805" s="10" t="s">
        <v>2515</v>
      </c>
      <c r="E805" s="10" t="s">
        <v>170</v>
      </c>
      <c r="F805" s="10" t="s">
        <v>53</v>
      </c>
      <c r="G805" s="10" t="s">
        <v>234</v>
      </c>
      <c r="H805" s="10" t="s">
        <v>258</v>
      </c>
      <c r="I805" s="10" t="s">
        <v>259</v>
      </c>
      <c r="J805" s="10" t="s">
        <v>57</v>
      </c>
      <c r="K805" s="10" t="s">
        <v>120</v>
      </c>
      <c r="L805" s="10" t="s">
        <v>2516</v>
      </c>
      <c r="M805" s="10" t="s">
        <v>79</v>
      </c>
      <c r="N805" s="12">
        <v>1</v>
      </c>
      <c r="O805" s="12">
        <v>4306.6499999999996</v>
      </c>
      <c r="P805" s="12">
        <v>0</v>
      </c>
      <c r="Q805" s="12">
        <v>4306.6499999999996</v>
      </c>
      <c r="R805" s="12">
        <v>2568.8200000000002</v>
      </c>
      <c r="S805" s="12">
        <v>1737.83</v>
      </c>
      <c r="T805" s="10" t="s">
        <v>61</v>
      </c>
      <c r="U805" s="13" t="s">
        <v>62</v>
      </c>
      <c r="V805" s="14" t="e">
        <f t="shared" ca="1" si="0"/>
        <v>#NAME?</v>
      </c>
      <c r="W805" s="10" t="str">
        <f ca="1">IFERROR(__xludf.DUMMYFUNCTION("IF(COUNTIF($A:$A,A799)=1,
""Unique"",
IF(COUNTUNIQUE(FILTER($V$2:$V$934,$A$2:$A$934=A799))&gt;1,
""Conflicting Duplicate"",
""Exact Duplicate""))"),"Unique")</f>
        <v>Unique</v>
      </c>
      <c r="X805" s="10" t="b">
        <f t="shared" ca="1" si="1"/>
        <v>1</v>
      </c>
      <c r="Y805" s="10" t="str">
        <f t="shared" si="2"/>
        <v>Unique</v>
      </c>
      <c r="Z805" s="10"/>
      <c r="AA805" s="10" t="str">
        <f t="shared" si="3"/>
        <v>Warning</v>
      </c>
      <c r="AB805" s="15" t="str">
        <f t="shared" si="4"/>
        <v>Valid</v>
      </c>
      <c r="AC805" s="15">
        <v>4</v>
      </c>
      <c r="AD805" s="16" t="str">
        <f t="shared" si="5"/>
        <v>Valid</v>
      </c>
      <c r="AE805" s="16" t="str">
        <f t="shared" si="6"/>
        <v>Valid</v>
      </c>
      <c r="AF805" s="16" t="str">
        <f t="shared" ref="AF805:AG805" si="1621">IF(ISNUMBER(B805),"Valid","Invalid")</f>
        <v>Valid</v>
      </c>
      <c r="AG805" s="16" t="str">
        <f t="shared" si="1621"/>
        <v>Valid</v>
      </c>
      <c r="AH805" s="16" t="str">
        <f t="shared" ref="AH805:AI805" si="1622">IF(OR(B805="",ISBLANK(B805)),"Missing","Valid")</f>
        <v>Valid</v>
      </c>
      <c r="AI805" s="16" t="str">
        <f t="shared" si="1622"/>
        <v>Valid</v>
      </c>
      <c r="AJ805" s="16" t="b">
        <v>1</v>
      </c>
      <c r="AK805" s="16" t="b">
        <v>0</v>
      </c>
      <c r="AL805" s="16" t="b">
        <v>0</v>
      </c>
      <c r="AM805" s="16" t="b">
        <v>0</v>
      </c>
      <c r="AN805" s="16" t="b">
        <v>0</v>
      </c>
      <c r="AO805" s="16" t="b">
        <v>0</v>
      </c>
      <c r="AP805" s="16" t="b">
        <v>1</v>
      </c>
      <c r="AQ805" s="17">
        <f t="shared" si="9"/>
        <v>0</v>
      </c>
      <c r="AR805" s="12">
        <f t="shared" si="10"/>
        <v>4306.6499999999996</v>
      </c>
      <c r="AS805" s="18">
        <f t="shared" si="11"/>
        <v>0</v>
      </c>
      <c r="AT805" s="12">
        <f t="shared" si="12"/>
        <v>1737.8299999999995</v>
      </c>
      <c r="AU805" s="18">
        <f t="shared" si="13"/>
        <v>0</v>
      </c>
      <c r="AV805" s="19">
        <f t="shared" si="14"/>
        <v>0.40352245945224235</v>
      </c>
      <c r="AW805" s="20" t="str">
        <f t="shared" si="15"/>
        <v>December</v>
      </c>
      <c r="AX805" s="21">
        <f t="shared" si="16"/>
        <v>2024</v>
      </c>
    </row>
    <row r="806" spans="1:50" ht="15.75" customHeight="1">
      <c r="A806" s="10" t="s">
        <v>2517</v>
      </c>
      <c r="B806" s="11">
        <v>45910</v>
      </c>
      <c r="C806" s="11">
        <v>45918</v>
      </c>
      <c r="D806" s="10" t="s">
        <v>2518</v>
      </c>
      <c r="E806" s="10" t="s">
        <v>147</v>
      </c>
      <c r="F806" s="10" t="s">
        <v>124</v>
      </c>
      <c r="G806" s="10" t="s">
        <v>83</v>
      </c>
      <c r="H806" s="10" t="s">
        <v>84</v>
      </c>
      <c r="I806" s="10" t="s">
        <v>85</v>
      </c>
      <c r="J806" s="10" t="s">
        <v>70</v>
      </c>
      <c r="K806" s="10" t="s">
        <v>86</v>
      </c>
      <c r="L806" s="10" t="s">
        <v>2519</v>
      </c>
      <c r="M806" s="10" t="s">
        <v>88</v>
      </c>
      <c r="N806" s="12">
        <v>1</v>
      </c>
      <c r="O806" s="12">
        <v>2050.62</v>
      </c>
      <c r="P806" s="12">
        <v>0.05</v>
      </c>
      <c r="Q806" s="12">
        <v>1948.09</v>
      </c>
      <c r="R806" s="12">
        <v>1507.08</v>
      </c>
      <c r="S806" s="12">
        <v>441.01</v>
      </c>
      <c r="T806" s="10" t="s">
        <v>61</v>
      </c>
      <c r="U806" s="13" t="s">
        <v>62</v>
      </c>
      <c r="V806" s="14" t="e">
        <f t="shared" ca="1" si="0"/>
        <v>#NAME?</v>
      </c>
      <c r="W806" s="10" t="str">
        <f ca="1">IFERROR(__xludf.DUMMYFUNCTION("IF(COUNTIF($A:$A,A800)=1,
""Unique"",
IF(COUNTUNIQUE(FILTER($V$2:$V$934,$A$2:$A$934=A800))&gt;1,
""Conflicting Duplicate"",
""Exact Duplicate""))"),"Unique")</f>
        <v>Unique</v>
      </c>
      <c r="X806" s="10" t="b">
        <f t="shared" ca="1" si="1"/>
        <v>1</v>
      </c>
      <c r="Y806" s="10" t="str">
        <f t="shared" si="2"/>
        <v>Unique</v>
      </c>
      <c r="Z806" s="10"/>
      <c r="AA806" s="10" t="str">
        <f t="shared" si="3"/>
        <v>Clean</v>
      </c>
      <c r="AB806" s="15" t="str">
        <f t="shared" si="4"/>
        <v>Valid</v>
      </c>
      <c r="AC806" s="15">
        <v>8</v>
      </c>
      <c r="AD806" s="16" t="str">
        <f t="shared" si="5"/>
        <v>Valid</v>
      </c>
      <c r="AE806" s="16" t="str">
        <f t="shared" si="6"/>
        <v>Valid</v>
      </c>
      <c r="AF806" s="16" t="str">
        <f t="shared" ref="AF806:AG806" si="1623">IF(ISNUMBER(B806),"Valid","Invalid")</f>
        <v>Valid</v>
      </c>
      <c r="AG806" s="16" t="str">
        <f t="shared" si="1623"/>
        <v>Valid</v>
      </c>
      <c r="AH806" s="16" t="str">
        <f t="shared" ref="AH806:AI806" si="1624">IF(OR(B806="",ISBLANK(B806)),"Missing","Valid")</f>
        <v>Valid</v>
      </c>
      <c r="AI806" s="16" t="str">
        <f t="shared" si="1624"/>
        <v>Valid</v>
      </c>
      <c r="AJ806" s="16" t="b">
        <v>0</v>
      </c>
      <c r="AK806" s="16" t="b">
        <v>0</v>
      </c>
      <c r="AL806" s="16" t="b">
        <v>0</v>
      </c>
      <c r="AM806" s="16" t="b">
        <v>0</v>
      </c>
      <c r="AN806" s="16" t="b">
        <v>0</v>
      </c>
      <c r="AO806" s="16" t="b">
        <v>0</v>
      </c>
      <c r="AP806" s="16" t="b">
        <v>0</v>
      </c>
      <c r="AQ806" s="17">
        <f t="shared" si="9"/>
        <v>0.05</v>
      </c>
      <c r="AR806" s="12">
        <f t="shared" si="10"/>
        <v>1948.0889999999997</v>
      </c>
      <c r="AS806" s="18">
        <f t="shared" si="11"/>
        <v>1.0000000002037268E-3</v>
      </c>
      <c r="AT806" s="12">
        <f t="shared" si="12"/>
        <v>441.00899999999979</v>
      </c>
      <c r="AU806" s="18">
        <f t="shared" si="13"/>
        <v>1.0000000002037268E-3</v>
      </c>
      <c r="AV806" s="19">
        <f t="shared" si="14"/>
        <v>0.22638031424642296</v>
      </c>
      <c r="AW806" s="20" t="str">
        <f t="shared" si="15"/>
        <v>September</v>
      </c>
      <c r="AX806" s="21">
        <f t="shared" si="16"/>
        <v>2025</v>
      </c>
    </row>
    <row r="807" spans="1:50" ht="15.75" customHeight="1">
      <c r="A807" s="10" t="s">
        <v>2520</v>
      </c>
      <c r="B807" s="11">
        <v>45753</v>
      </c>
      <c r="C807" s="11">
        <v>45754</v>
      </c>
      <c r="D807" s="10" t="s">
        <v>2385</v>
      </c>
      <c r="E807" s="10" t="s">
        <v>143</v>
      </c>
      <c r="F807" s="10" t="s">
        <v>124</v>
      </c>
      <c r="G807" s="10" t="s">
        <v>67</v>
      </c>
      <c r="H807" s="10" t="s">
        <v>195</v>
      </c>
      <c r="I807" s="10" t="s">
        <v>196</v>
      </c>
      <c r="J807" s="10" t="s">
        <v>57</v>
      </c>
      <c r="K807" s="10" t="s">
        <v>182</v>
      </c>
      <c r="L807" s="10" t="s">
        <v>2521</v>
      </c>
      <c r="M807" s="10" t="s">
        <v>60</v>
      </c>
      <c r="N807" s="12">
        <v>2</v>
      </c>
      <c r="O807" s="12">
        <v>2030.06</v>
      </c>
      <c r="P807" s="12">
        <v>0.25</v>
      </c>
      <c r="Q807" s="12">
        <v>3045.09</v>
      </c>
      <c r="R807" s="12">
        <v>2601.09</v>
      </c>
      <c r="S807" s="12">
        <v>444</v>
      </c>
      <c r="T807" s="10" t="s">
        <v>61</v>
      </c>
      <c r="U807" s="13" t="s">
        <v>62</v>
      </c>
      <c r="V807" s="14" t="e">
        <f t="shared" ca="1" si="0"/>
        <v>#NAME?</v>
      </c>
      <c r="W807" s="10" t="str">
        <f ca="1">IFERROR(__xludf.DUMMYFUNCTION("IF(COUNTIF($A:$A,A801)=1,
""Unique"",
IF(COUNTUNIQUE(FILTER($V$2:$V$934,$A$2:$A$934=A801))&gt;1,
""Conflicting Duplicate"",
""Exact Duplicate""))"),"Unique")</f>
        <v>Unique</v>
      </c>
      <c r="X807" s="10" t="b">
        <f t="shared" ca="1" si="1"/>
        <v>1</v>
      </c>
      <c r="Y807" s="10" t="str">
        <f t="shared" si="2"/>
        <v>Unique</v>
      </c>
      <c r="Z807" s="10"/>
      <c r="AA807" s="10" t="str">
        <f t="shared" si="3"/>
        <v>Clean</v>
      </c>
      <c r="AB807" s="15" t="str">
        <f t="shared" si="4"/>
        <v>Valid</v>
      </c>
      <c r="AC807" s="15">
        <v>1</v>
      </c>
      <c r="AD807" s="16" t="str">
        <f t="shared" si="5"/>
        <v>Valid</v>
      </c>
      <c r="AE807" s="16" t="str">
        <f t="shared" si="6"/>
        <v>Valid</v>
      </c>
      <c r="AF807" s="16" t="str">
        <f t="shared" ref="AF807:AG807" si="1625">IF(ISNUMBER(B807),"Valid","Invalid")</f>
        <v>Valid</v>
      </c>
      <c r="AG807" s="16" t="str">
        <f t="shared" si="1625"/>
        <v>Valid</v>
      </c>
      <c r="AH807" s="16" t="str">
        <f t="shared" ref="AH807:AI807" si="1626">IF(OR(B807="",ISBLANK(B807)),"Missing","Valid")</f>
        <v>Valid</v>
      </c>
      <c r="AI807" s="16" t="str">
        <f t="shared" si="1626"/>
        <v>Valid</v>
      </c>
      <c r="AJ807" s="16" t="b">
        <v>0</v>
      </c>
      <c r="AK807" s="16" t="b">
        <v>0</v>
      </c>
      <c r="AL807" s="16" t="b">
        <v>0</v>
      </c>
      <c r="AM807" s="16" t="b">
        <v>0</v>
      </c>
      <c r="AN807" s="16" t="b">
        <v>0</v>
      </c>
      <c r="AO807" s="16" t="b">
        <v>0</v>
      </c>
      <c r="AP807" s="16" t="b">
        <v>0</v>
      </c>
      <c r="AQ807" s="17">
        <f t="shared" si="9"/>
        <v>0.25</v>
      </c>
      <c r="AR807" s="12">
        <f t="shared" si="10"/>
        <v>3045.09</v>
      </c>
      <c r="AS807" s="18">
        <f t="shared" si="11"/>
        <v>0</v>
      </c>
      <c r="AT807" s="12">
        <f t="shared" si="12"/>
        <v>444</v>
      </c>
      <c r="AU807" s="18">
        <f t="shared" si="13"/>
        <v>0</v>
      </c>
      <c r="AV807" s="19">
        <f t="shared" si="14"/>
        <v>0.14580849827098705</v>
      </c>
      <c r="AW807" s="20" t="str">
        <f t="shared" si="15"/>
        <v>April</v>
      </c>
      <c r="AX807" s="21">
        <f t="shared" si="16"/>
        <v>2025</v>
      </c>
    </row>
    <row r="808" spans="1:50" ht="15.75" customHeight="1">
      <c r="A808" s="10" t="s">
        <v>2522</v>
      </c>
      <c r="B808" s="11">
        <v>45605</v>
      </c>
      <c r="C808" s="11">
        <v>45611</v>
      </c>
      <c r="D808" s="10" t="s">
        <v>2523</v>
      </c>
      <c r="E808" s="10" t="s">
        <v>76</v>
      </c>
      <c r="F808" s="10" t="s">
        <v>124</v>
      </c>
      <c r="G808" s="10" t="s">
        <v>54</v>
      </c>
      <c r="H808" s="10" t="s">
        <v>55</v>
      </c>
      <c r="I808" s="10" t="s">
        <v>56</v>
      </c>
      <c r="J808" s="10" t="s">
        <v>103</v>
      </c>
      <c r="K808" s="10" t="s">
        <v>109</v>
      </c>
      <c r="L808" s="10" t="s">
        <v>2524</v>
      </c>
      <c r="M808" s="10" t="s">
        <v>88</v>
      </c>
      <c r="N808" s="12">
        <v>1</v>
      </c>
      <c r="O808" s="12">
        <v>3665.97</v>
      </c>
      <c r="P808" s="12">
        <v>0.2</v>
      </c>
      <c r="Q808" s="12">
        <v>2932.78</v>
      </c>
      <c r="R808" s="12">
        <v>1900.35</v>
      </c>
      <c r="S808" s="12">
        <v>1032.43</v>
      </c>
      <c r="T808" s="10" t="s">
        <v>184</v>
      </c>
      <c r="U808" s="13" t="s">
        <v>97</v>
      </c>
      <c r="V808" s="14" t="e">
        <f t="shared" ca="1" si="0"/>
        <v>#NAME?</v>
      </c>
      <c r="W808" s="10" t="str">
        <f ca="1">IFERROR(__xludf.DUMMYFUNCTION("IF(COUNTIF($A:$A,A802)=1,
""Unique"",
IF(COUNTUNIQUE(FILTER($V$2:$V$934,$A$2:$A$934=A802))&gt;1,
""Conflicting Duplicate"",
""Exact Duplicate""))"),"Unique")</f>
        <v>Unique</v>
      </c>
      <c r="X808" s="10" t="b">
        <f t="shared" ca="1" si="1"/>
        <v>1</v>
      </c>
      <c r="Y808" s="10" t="str">
        <f t="shared" si="2"/>
        <v>Unique</v>
      </c>
      <c r="Z808" s="10"/>
      <c r="AA808" s="10" t="str">
        <f t="shared" si="3"/>
        <v>Clean</v>
      </c>
      <c r="AB808" s="15" t="str">
        <f t="shared" si="4"/>
        <v>Valid</v>
      </c>
      <c r="AC808" s="15">
        <v>6</v>
      </c>
      <c r="AD808" s="16" t="str">
        <f t="shared" si="5"/>
        <v>Valid</v>
      </c>
      <c r="AE808" s="16" t="str">
        <f t="shared" si="6"/>
        <v>Valid</v>
      </c>
      <c r="AF808" s="16" t="str">
        <f t="shared" ref="AF808:AG808" si="1627">IF(ISNUMBER(B808),"Valid","Invalid")</f>
        <v>Valid</v>
      </c>
      <c r="AG808" s="16" t="str">
        <f t="shared" si="1627"/>
        <v>Valid</v>
      </c>
      <c r="AH808" s="16" t="str">
        <f t="shared" ref="AH808:AI808" si="1628">IF(OR(B808="",ISBLANK(B808)),"Missing","Valid")</f>
        <v>Valid</v>
      </c>
      <c r="AI808" s="16" t="str">
        <f t="shared" si="1628"/>
        <v>Valid</v>
      </c>
      <c r="AJ808" s="16" t="b">
        <v>0</v>
      </c>
      <c r="AK808" s="16" t="b">
        <v>0</v>
      </c>
      <c r="AL808" s="16" t="b">
        <v>0</v>
      </c>
      <c r="AM808" s="16" t="b">
        <v>0</v>
      </c>
      <c r="AN808" s="16" t="b">
        <v>0</v>
      </c>
      <c r="AO808" s="16" t="b">
        <v>0</v>
      </c>
      <c r="AP808" s="16" t="b">
        <v>0</v>
      </c>
      <c r="AQ808" s="17">
        <f t="shared" si="9"/>
        <v>0.2</v>
      </c>
      <c r="AR808" s="12">
        <f t="shared" si="10"/>
        <v>2932.7759999999998</v>
      </c>
      <c r="AS808" s="18">
        <f t="shared" si="11"/>
        <v>4.0000000003601599E-3</v>
      </c>
      <c r="AT808" s="12">
        <f t="shared" si="12"/>
        <v>1032.4259999999999</v>
      </c>
      <c r="AU808" s="18">
        <f t="shared" si="13"/>
        <v>4.0000000001327862E-3</v>
      </c>
      <c r="AV808" s="19">
        <f t="shared" si="14"/>
        <v>0.35203029484692999</v>
      </c>
      <c r="AW808" s="20" t="str">
        <f t="shared" si="15"/>
        <v>November</v>
      </c>
      <c r="AX808" s="21">
        <f t="shared" si="16"/>
        <v>2024</v>
      </c>
    </row>
    <row r="809" spans="1:50" ht="15.75" customHeight="1">
      <c r="A809" s="10" t="s">
        <v>2525</v>
      </c>
      <c r="B809" s="11">
        <v>45695</v>
      </c>
      <c r="C809" s="11">
        <v>45696</v>
      </c>
      <c r="D809" s="10" t="s">
        <v>2526</v>
      </c>
      <c r="E809" s="10" t="s">
        <v>52</v>
      </c>
      <c r="F809" s="10" t="s">
        <v>66</v>
      </c>
      <c r="G809" s="10" t="s">
        <v>83</v>
      </c>
      <c r="H809" s="10" t="s">
        <v>84</v>
      </c>
      <c r="I809" s="10" t="s">
        <v>85</v>
      </c>
      <c r="J809" s="10" t="s">
        <v>57</v>
      </c>
      <c r="K809" s="10" t="s">
        <v>120</v>
      </c>
      <c r="L809" s="10" t="s">
        <v>2527</v>
      </c>
      <c r="M809" s="10" t="s">
        <v>88</v>
      </c>
      <c r="N809" s="12">
        <v>2</v>
      </c>
      <c r="O809" s="12">
        <v>2432.98</v>
      </c>
      <c r="P809" s="12">
        <v>0.1</v>
      </c>
      <c r="Q809" s="12">
        <v>4379.3599999999997</v>
      </c>
      <c r="R809" s="12">
        <v>3723.93</v>
      </c>
      <c r="S809" s="12">
        <v>655.43</v>
      </c>
      <c r="T809" s="10" t="s">
        <v>61</v>
      </c>
      <c r="U809" s="13" t="s">
        <v>62</v>
      </c>
      <c r="V809" s="14" t="e">
        <f t="shared" ca="1" si="0"/>
        <v>#NAME?</v>
      </c>
      <c r="W809" s="10" t="str">
        <f ca="1">IFERROR(__xludf.DUMMYFUNCTION("IF(COUNTIF($A:$A,A803)=1,
""Unique"",
IF(COUNTUNIQUE(FILTER($V$2:$V$934,$A$2:$A$934=A803))&gt;1,
""Conflicting Duplicate"",
""Exact Duplicate""))"),"Unique")</f>
        <v>Unique</v>
      </c>
      <c r="X809" s="10" t="b">
        <f t="shared" ca="1" si="1"/>
        <v>1</v>
      </c>
      <c r="Y809" s="10" t="str">
        <f t="shared" si="2"/>
        <v>Unique</v>
      </c>
      <c r="Z809" s="10"/>
      <c r="AA809" s="10" t="str">
        <f t="shared" si="3"/>
        <v>Clean</v>
      </c>
      <c r="AB809" s="15" t="str">
        <f t="shared" si="4"/>
        <v>Valid</v>
      </c>
      <c r="AC809" s="15">
        <v>1</v>
      </c>
      <c r="AD809" s="16" t="str">
        <f t="shared" si="5"/>
        <v>Valid</v>
      </c>
      <c r="AE809" s="16" t="str">
        <f t="shared" si="6"/>
        <v>Valid</v>
      </c>
      <c r="AF809" s="16" t="str">
        <f t="shared" ref="AF809:AG809" si="1629">IF(ISNUMBER(B809),"Valid","Invalid")</f>
        <v>Valid</v>
      </c>
      <c r="AG809" s="16" t="str">
        <f t="shared" si="1629"/>
        <v>Valid</v>
      </c>
      <c r="AH809" s="16" t="str">
        <f t="shared" ref="AH809:AI809" si="1630">IF(OR(B809="",ISBLANK(B809)),"Missing","Valid")</f>
        <v>Valid</v>
      </c>
      <c r="AI809" s="16" t="str">
        <f t="shared" si="1630"/>
        <v>Valid</v>
      </c>
      <c r="AJ809" s="16" t="b">
        <v>0</v>
      </c>
      <c r="AK809" s="16" t="b">
        <v>0</v>
      </c>
      <c r="AL809" s="16" t="b">
        <v>0</v>
      </c>
      <c r="AM809" s="16" t="b">
        <v>0</v>
      </c>
      <c r="AN809" s="16" t="b">
        <v>0</v>
      </c>
      <c r="AO809" s="16" t="b">
        <v>0</v>
      </c>
      <c r="AP809" s="16" t="b">
        <v>0</v>
      </c>
      <c r="AQ809" s="17">
        <f t="shared" si="9"/>
        <v>0.1</v>
      </c>
      <c r="AR809" s="12">
        <f t="shared" si="10"/>
        <v>4379.3640000000005</v>
      </c>
      <c r="AS809" s="18">
        <f t="shared" si="11"/>
        <v>-4.0000000008149073E-3</v>
      </c>
      <c r="AT809" s="12">
        <f t="shared" si="12"/>
        <v>655.43400000000065</v>
      </c>
      <c r="AU809" s="18">
        <f t="shared" si="13"/>
        <v>-4.0000000007012204E-3</v>
      </c>
      <c r="AV809" s="19">
        <f t="shared" si="14"/>
        <v>0.14966419781502532</v>
      </c>
      <c r="AW809" s="20" t="str">
        <f t="shared" si="15"/>
        <v>February</v>
      </c>
      <c r="AX809" s="21">
        <f t="shared" si="16"/>
        <v>2025</v>
      </c>
    </row>
    <row r="810" spans="1:50" ht="15.75" customHeight="1">
      <c r="A810" s="10" t="s">
        <v>2528</v>
      </c>
      <c r="B810" s="11">
        <v>45900</v>
      </c>
      <c r="C810" s="11">
        <v>45897</v>
      </c>
      <c r="D810" s="10" t="s">
        <v>2529</v>
      </c>
      <c r="E810" s="10" t="s">
        <v>157</v>
      </c>
      <c r="F810" s="10" t="s">
        <v>66</v>
      </c>
      <c r="G810" s="10" t="s">
        <v>83</v>
      </c>
      <c r="H810" s="10" t="s">
        <v>277</v>
      </c>
      <c r="I810" s="10" t="s">
        <v>278</v>
      </c>
      <c r="J810" s="10" t="s">
        <v>70</v>
      </c>
      <c r="K810" s="10" t="s">
        <v>86</v>
      </c>
      <c r="L810" s="10" t="s">
        <v>2530</v>
      </c>
      <c r="M810" s="10" t="s">
        <v>79</v>
      </c>
      <c r="N810" s="12">
        <v>7</v>
      </c>
      <c r="O810" s="12">
        <v>977.28</v>
      </c>
      <c r="P810" s="12">
        <v>0.2</v>
      </c>
      <c r="Q810" s="12">
        <v>5472.77</v>
      </c>
      <c r="R810" s="12">
        <v>4477.33</v>
      </c>
      <c r="S810" s="12">
        <v>995.44</v>
      </c>
      <c r="T810" s="10" t="s">
        <v>61</v>
      </c>
      <c r="U810" s="13" t="s">
        <v>62</v>
      </c>
      <c r="V810" s="14" t="e">
        <f t="shared" ca="1" si="0"/>
        <v>#NAME?</v>
      </c>
      <c r="W810" s="10" t="str">
        <f ca="1">IFERROR(__xludf.DUMMYFUNCTION("IF(COUNTIF($A:$A,A804)=1,
""Unique"",
IF(COUNTUNIQUE(FILTER($V$2:$V$934,$A$2:$A$934=A804))&gt;1,
""Conflicting Duplicate"",
""Exact Duplicate""))"),"Unique")</f>
        <v>Unique</v>
      </c>
      <c r="X810" s="10" t="b">
        <f t="shared" ca="1" si="1"/>
        <v>1</v>
      </c>
      <c r="Y810" s="10" t="str">
        <f t="shared" si="2"/>
        <v>Unique</v>
      </c>
      <c r="Z810" s="10"/>
      <c r="AA810" s="10" t="str">
        <f t="shared" si="3"/>
        <v>Invalid</v>
      </c>
      <c r="AB810" s="15" t="str">
        <f t="shared" si="4"/>
        <v>Invalid</v>
      </c>
      <c r="AC810" s="15">
        <v>-3</v>
      </c>
      <c r="AD810" s="16" t="str">
        <f t="shared" si="5"/>
        <v>Invalid Shipping Date</v>
      </c>
      <c r="AE810" s="16" t="str">
        <f t="shared" si="6"/>
        <v>Valid</v>
      </c>
      <c r="AF810" s="16" t="str">
        <f t="shared" ref="AF810:AG810" si="1631">IF(ISNUMBER(B810),"Valid","Invalid")</f>
        <v>Valid</v>
      </c>
      <c r="AG810" s="16" t="str">
        <f t="shared" si="1631"/>
        <v>Valid</v>
      </c>
      <c r="AH810" s="16" t="str">
        <f t="shared" ref="AH810:AI810" si="1632">IF(OR(B810="",ISBLANK(B810)),"Missing","Valid")</f>
        <v>Valid</v>
      </c>
      <c r="AI810" s="16" t="str">
        <f t="shared" si="1632"/>
        <v>Valid</v>
      </c>
      <c r="AJ810" s="16" t="b">
        <v>0</v>
      </c>
      <c r="AK810" s="16" t="b">
        <v>0</v>
      </c>
      <c r="AL810" s="16" t="b">
        <v>0</v>
      </c>
      <c r="AM810" s="16" t="b">
        <v>0</v>
      </c>
      <c r="AN810" s="16" t="b">
        <v>0</v>
      </c>
      <c r="AO810" s="16" t="b">
        <v>1</v>
      </c>
      <c r="AP810" s="16" t="b">
        <v>1</v>
      </c>
      <c r="AQ810" s="17">
        <f t="shared" si="9"/>
        <v>0.2</v>
      </c>
      <c r="AR810" s="12">
        <f t="shared" si="10"/>
        <v>5472.768</v>
      </c>
      <c r="AS810" s="18">
        <f t="shared" si="11"/>
        <v>2.0000000004074536E-3</v>
      </c>
      <c r="AT810" s="12">
        <f t="shared" si="12"/>
        <v>995.4380000000001</v>
      </c>
      <c r="AU810" s="18">
        <f t="shared" si="13"/>
        <v>1.9999999999527063E-3</v>
      </c>
      <c r="AV810" s="19">
        <f t="shared" si="14"/>
        <v>0.18188931085695575</v>
      </c>
      <c r="AW810" s="20" t="str">
        <f t="shared" si="15"/>
        <v>August</v>
      </c>
      <c r="AX810" s="21">
        <f t="shared" si="16"/>
        <v>2025</v>
      </c>
    </row>
    <row r="811" spans="1:50" ht="15.75" customHeight="1">
      <c r="A811" s="10" t="s">
        <v>2531</v>
      </c>
      <c r="B811" s="11">
        <v>45833</v>
      </c>
      <c r="C811" s="11">
        <v>45833</v>
      </c>
      <c r="D811" s="10" t="s">
        <v>2532</v>
      </c>
      <c r="E811" s="10" t="s">
        <v>82</v>
      </c>
      <c r="F811" s="10" t="s">
        <v>66</v>
      </c>
      <c r="G811" s="10" t="s">
        <v>234</v>
      </c>
      <c r="H811" s="10" t="s">
        <v>151</v>
      </c>
      <c r="I811" s="10" t="s">
        <v>152</v>
      </c>
      <c r="J811" s="10" t="s">
        <v>57</v>
      </c>
      <c r="K811" s="10" t="s">
        <v>182</v>
      </c>
      <c r="L811" s="10" t="s">
        <v>2533</v>
      </c>
      <c r="M811" s="10" t="s">
        <v>60</v>
      </c>
      <c r="N811" s="12">
        <v>6</v>
      </c>
      <c r="O811" s="12">
        <v>1366.13</v>
      </c>
      <c r="P811" s="12">
        <v>0.1</v>
      </c>
      <c r="Q811" s="12">
        <v>7377.1</v>
      </c>
      <c r="R811" s="12">
        <v>5085.21</v>
      </c>
      <c r="S811" s="12">
        <v>2291.89</v>
      </c>
      <c r="T811" s="10" t="s">
        <v>61</v>
      </c>
      <c r="U811" s="13" t="s">
        <v>62</v>
      </c>
      <c r="V811" s="14" t="e">
        <f t="shared" ca="1" si="0"/>
        <v>#NAME?</v>
      </c>
      <c r="W811" s="10" t="str">
        <f ca="1">IFERROR(__xludf.DUMMYFUNCTION("IF(COUNTIF($A:$A,A805)=1,
""Unique"",
IF(COUNTUNIQUE(FILTER($V$2:$V$934,$A$2:$A$934=A805))&gt;1,
""Conflicting Duplicate"",
""Exact Duplicate""))"),"Unique")</f>
        <v>Unique</v>
      </c>
      <c r="X811" s="10" t="b">
        <f t="shared" ca="1" si="1"/>
        <v>1</v>
      </c>
      <c r="Y811" s="10" t="str">
        <f t="shared" si="2"/>
        <v>Unique</v>
      </c>
      <c r="Z811" s="10"/>
      <c r="AA811" s="10" t="str">
        <f t="shared" si="3"/>
        <v>Warning</v>
      </c>
      <c r="AB811" s="15" t="str">
        <f t="shared" si="4"/>
        <v>Valid</v>
      </c>
      <c r="AC811" s="15">
        <v>0</v>
      </c>
      <c r="AD811" s="16" t="str">
        <f t="shared" si="5"/>
        <v>Valid</v>
      </c>
      <c r="AE811" s="16" t="str">
        <f t="shared" si="6"/>
        <v>Valid</v>
      </c>
      <c r="AF811" s="16" t="str">
        <f t="shared" ref="AF811:AG811" si="1633">IF(ISNUMBER(B811),"Valid","Invalid")</f>
        <v>Valid</v>
      </c>
      <c r="AG811" s="16" t="str">
        <f t="shared" si="1633"/>
        <v>Valid</v>
      </c>
      <c r="AH811" s="16" t="str">
        <f t="shared" ref="AH811:AI811" si="1634">IF(OR(B811="",ISBLANK(B811)),"Missing","Valid")</f>
        <v>Valid</v>
      </c>
      <c r="AI811" s="16" t="str">
        <f t="shared" si="1634"/>
        <v>Valid</v>
      </c>
      <c r="AJ811" s="16" t="b">
        <v>1</v>
      </c>
      <c r="AK811" s="16" t="b">
        <v>0</v>
      </c>
      <c r="AL811" s="16" t="b">
        <v>0</v>
      </c>
      <c r="AM811" s="16" t="b">
        <v>0</v>
      </c>
      <c r="AN811" s="16" t="b">
        <v>0</v>
      </c>
      <c r="AO811" s="16" t="b">
        <v>0</v>
      </c>
      <c r="AP811" s="16" t="b">
        <v>1</v>
      </c>
      <c r="AQ811" s="17">
        <f t="shared" si="9"/>
        <v>0.1</v>
      </c>
      <c r="AR811" s="12">
        <f t="shared" si="10"/>
        <v>7377.1020000000008</v>
      </c>
      <c r="AS811" s="18">
        <f t="shared" si="11"/>
        <v>-2.0000000004074536E-3</v>
      </c>
      <c r="AT811" s="12">
        <f t="shared" si="12"/>
        <v>2291.8920000000007</v>
      </c>
      <c r="AU811" s="18">
        <f t="shared" si="13"/>
        <v>-2.000000000862201E-3</v>
      </c>
      <c r="AV811" s="19">
        <f t="shared" si="14"/>
        <v>0.31067646888981615</v>
      </c>
      <c r="AW811" s="20" t="str">
        <f t="shared" si="15"/>
        <v>June</v>
      </c>
      <c r="AX811" s="21">
        <f t="shared" si="16"/>
        <v>2025</v>
      </c>
    </row>
    <row r="812" spans="1:50" ht="15.75" customHeight="1">
      <c r="A812" s="10" t="s">
        <v>2534</v>
      </c>
      <c r="B812" s="11">
        <v>45385</v>
      </c>
      <c r="C812" s="11">
        <v>45390</v>
      </c>
      <c r="D812" s="10" t="s">
        <v>1698</v>
      </c>
      <c r="E812" s="10" t="s">
        <v>294</v>
      </c>
      <c r="F812" s="10" t="s">
        <v>124</v>
      </c>
      <c r="G812" s="10" t="s">
        <v>92</v>
      </c>
      <c r="H812" s="10" t="s">
        <v>209</v>
      </c>
      <c r="I812" s="10" t="s">
        <v>210</v>
      </c>
      <c r="J812" s="10" t="s">
        <v>103</v>
      </c>
      <c r="K812" s="10" t="s">
        <v>109</v>
      </c>
      <c r="L812" s="10" t="s">
        <v>2535</v>
      </c>
      <c r="M812" s="10" t="s">
        <v>79</v>
      </c>
      <c r="N812" s="12">
        <v>1</v>
      </c>
      <c r="O812" s="12">
        <v>3151.85</v>
      </c>
      <c r="P812" s="12">
        <v>0.25</v>
      </c>
      <c r="Q812" s="12">
        <v>2363.89</v>
      </c>
      <c r="R812" s="12">
        <v>1471.51</v>
      </c>
      <c r="S812" s="12">
        <v>892.38</v>
      </c>
      <c r="T812" s="10" t="s">
        <v>61</v>
      </c>
      <c r="U812" s="13" t="s">
        <v>62</v>
      </c>
      <c r="V812" s="14" t="e">
        <f t="shared" ca="1" si="0"/>
        <v>#NAME?</v>
      </c>
      <c r="W812" s="10" t="str">
        <f ca="1">IFERROR(__xludf.DUMMYFUNCTION("IF(COUNTIF($A:$A,A806)=1,
""Unique"",
IF(COUNTUNIQUE(FILTER($V$2:$V$934,$A$2:$A$934=A806))&gt;1,
""Conflicting Duplicate"",
""Exact Duplicate""))"),"Unique")</f>
        <v>Unique</v>
      </c>
      <c r="X812" s="10" t="b">
        <f t="shared" ca="1" si="1"/>
        <v>1</v>
      </c>
      <c r="Y812" s="10" t="str">
        <f t="shared" si="2"/>
        <v>Unique</v>
      </c>
      <c r="Z812" s="10"/>
      <c r="AA812" s="10" t="str">
        <f t="shared" si="3"/>
        <v>Clean</v>
      </c>
      <c r="AB812" s="15" t="str">
        <f t="shared" si="4"/>
        <v>Valid</v>
      </c>
      <c r="AC812" s="15">
        <v>5</v>
      </c>
      <c r="AD812" s="16" t="str">
        <f t="shared" si="5"/>
        <v>Valid</v>
      </c>
      <c r="AE812" s="16" t="str">
        <f t="shared" si="6"/>
        <v>Valid</v>
      </c>
      <c r="AF812" s="16" t="str">
        <f t="shared" ref="AF812:AG812" si="1635">IF(ISNUMBER(B812),"Valid","Invalid")</f>
        <v>Valid</v>
      </c>
      <c r="AG812" s="16" t="str">
        <f t="shared" si="1635"/>
        <v>Valid</v>
      </c>
      <c r="AH812" s="16" t="str">
        <f t="shared" ref="AH812:AI812" si="1636">IF(OR(B812="",ISBLANK(B812)),"Missing","Valid")</f>
        <v>Valid</v>
      </c>
      <c r="AI812" s="16" t="str">
        <f t="shared" si="1636"/>
        <v>Valid</v>
      </c>
      <c r="AJ812" s="16" t="b">
        <v>0</v>
      </c>
      <c r="AK812" s="16" t="b">
        <v>0</v>
      </c>
      <c r="AL812" s="16" t="b">
        <v>0</v>
      </c>
      <c r="AM812" s="16" t="b">
        <v>0</v>
      </c>
      <c r="AN812" s="16" t="b">
        <v>0</v>
      </c>
      <c r="AO812" s="16" t="b">
        <v>0</v>
      </c>
      <c r="AP812" s="16" t="b">
        <v>0</v>
      </c>
      <c r="AQ812" s="17">
        <f t="shared" si="9"/>
        <v>0.25</v>
      </c>
      <c r="AR812" s="12">
        <f t="shared" si="10"/>
        <v>2363.8874999999998</v>
      </c>
      <c r="AS812" s="18">
        <f t="shared" si="11"/>
        <v>2.5000000000545697E-3</v>
      </c>
      <c r="AT812" s="12">
        <f t="shared" si="12"/>
        <v>892.37749999999983</v>
      </c>
      <c r="AU812" s="18">
        <f t="shared" si="13"/>
        <v>2.5000000001682565E-3</v>
      </c>
      <c r="AV812" s="19">
        <f t="shared" si="14"/>
        <v>0.37750421710000998</v>
      </c>
      <c r="AW812" s="20" t="str">
        <f t="shared" si="15"/>
        <v>April</v>
      </c>
      <c r="AX812" s="21">
        <f t="shared" si="16"/>
        <v>2024</v>
      </c>
    </row>
    <row r="813" spans="1:50" ht="15.75" customHeight="1">
      <c r="A813" s="10" t="s">
        <v>2536</v>
      </c>
      <c r="B813" s="11">
        <v>45638</v>
      </c>
      <c r="C813" s="11">
        <v>45645</v>
      </c>
      <c r="D813" s="10" t="s">
        <v>2537</v>
      </c>
      <c r="E813" s="10" t="s">
        <v>170</v>
      </c>
      <c r="F813" s="10" t="s">
        <v>124</v>
      </c>
      <c r="G813" s="10" t="s">
        <v>54</v>
      </c>
      <c r="H813" s="10" t="s">
        <v>266</v>
      </c>
      <c r="I813" s="10" t="s">
        <v>267</v>
      </c>
      <c r="J813" s="10" t="s">
        <v>103</v>
      </c>
      <c r="K813" s="10" t="s">
        <v>104</v>
      </c>
      <c r="L813" s="10" t="s">
        <v>2538</v>
      </c>
      <c r="M813" s="10" t="s">
        <v>79</v>
      </c>
      <c r="N813" s="12">
        <v>2</v>
      </c>
      <c r="O813" s="12">
        <v>1610.75</v>
      </c>
      <c r="P813" s="12">
        <v>0.2</v>
      </c>
      <c r="Q813" s="12">
        <v>2577.1999999999998</v>
      </c>
      <c r="R813" s="12">
        <v>1475.87</v>
      </c>
      <c r="S813" s="12">
        <v>1101.33</v>
      </c>
      <c r="T813" s="10" t="s">
        <v>61</v>
      </c>
      <c r="U813" s="13" t="s">
        <v>62</v>
      </c>
      <c r="V813" s="14" t="e">
        <f t="shared" ca="1" si="0"/>
        <v>#NAME?</v>
      </c>
      <c r="W813" s="10" t="str">
        <f ca="1">IFERROR(__xludf.DUMMYFUNCTION("IF(COUNTIF($A:$A,A807)=1,
""Unique"",
IF(COUNTUNIQUE(FILTER($V$2:$V$934,$A$2:$A$934=A807))&gt;1,
""Conflicting Duplicate"",
""Exact Duplicate""))"),"Unique")</f>
        <v>Unique</v>
      </c>
      <c r="X813" s="10" t="b">
        <f t="shared" ca="1" si="1"/>
        <v>1</v>
      </c>
      <c r="Y813" s="10" t="str">
        <f t="shared" si="2"/>
        <v>Unique</v>
      </c>
      <c r="Z813" s="10"/>
      <c r="AA813" s="10" t="str">
        <f t="shared" si="3"/>
        <v>Clean</v>
      </c>
      <c r="AB813" s="15" t="str">
        <f t="shared" si="4"/>
        <v>Valid</v>
      </c>
      <c r="AC813" s="15">
        <v>7</v>
      </c>
      <c r="AD813" s="16" t="str">
        <f t="shared" si="5"/>
        <v>Valid</v>
      </c>
      <c r="AE813" s="16" t="str">
        <f t="shared" si="6"/>
        <v>Valid</v>
      </c>
      <c r="AF813" s="16" t="str">
        <f t="shared" ref="AF813:AG813" si="1637">IF(ISNUMBER(B813),"Valid","Invalid")</f>
        <v>Valid</v>
      </c>
      <c r="AG813" s="16" t="str">
        <f t="shared" si="1637"/>
        <v>Valid</v>
      </c>
      <c r="AH813" s="16" t="str">
        <f t="shared" ref="AH813:AI813" si="1638">IF(OR(B813="",ISBLANK(B813)),"Missing","Valid")</f>
        <v>Valid</v>
      </c>
      <c r="AI813" s="16" t="str">
        <f t="shared" si="1638"/>
        <v>Valid</v>
      </c>
      <c r="AJ813" s="16" t="b">
        <v>0</v>
      </c>
      <c r="AK813" s="16" t="b">
        <v>0</v>
      </c>
      <c r="AL813" s="16" t="b">
        <v>0</v>
      </c>
      <c r="AM813" s="16" t="b">
        <v>0</v>
      </c>
      <c r="AN813" s="16" t="b">
        <v>0</v>
      </c>
      <c r="AO813" s="16" t="b">
        <v>0</v>
      </c>
      <c r="AP813" s="16" t="b">
        <v>0</v>
      </c>
      <c r="AQ813" s="17">
        <f t="shared" si="9"/>
        <v>0.2</v>
      </c>
      <c r="AR813" s="12">
        <f t="shared" si="10"/>
        <v>2577.2000000000003</v>
      </c>
      <c r="AS813" s="18">
        <f t="shared" si="11"/>
        <v>0</v>
      </c>
      <c r="AT813" s="12">
        <f t="shared" si="12"/>
        <v>1101.3300000000004</v>
      </c>
      <c r="AU813" s="18">
        <f t="shared" si="13"/>
        <v>0</v>
      </c>
      <c r="AV813" s="19">
        <f t="shared" si="14"/>
        <v>0.42733586838429316</v>
      </c>
      <c r="AW813" s="20" t="str">
        <f t="shared" si="15"/>
        <v>December</v>
      </c>
      <c r="AX813" s="21">
        <f t="shared" si="16"/>
        <v>2024</v>
      </c>
    </row>
    <row r="814" spans="1:50" ht="15.75" customHeight="1">
      <c r="A814" s="10" t="s">
        <v>2539</v>
      </c>
      <c r="B814" s="11">
        <v>45458</v>
      </c>
      <c r="C814" s="11">
        <v>45463</v>
      </c>
      <c r="D814" s="10" t="s">
        <v>2540</v>
      </c>
      <c r="E814" s="10" t="s">
        <v>161</v>
      </c>
      <c r="F814" s="10" t="s">
        <v>66</v>
      </c>
      <c r="G814" s="10" t="s">
        <v>67</v>
      </c>
      <c r="H814" s="10" t="s">
        <v>258</v>
      </c>
      <c r="I814" s="10" t="s">
        <v>259</v>
      </c>
      <c r="J814" s="10" t="s">
        <v>70</v>
      </c>
      <c r="K814" s="10" t="s">
        <v>71</v>
      </c>
      <c r="L814" s="10" t="s">
        <v>2541</v>
      </c>
      <c r="M814" s="10" t="s">
        <v>79</v>
      </c>
      <c r="N814" s="12">
        <v>8</v>
      </c>
      <c r="O814" s="12">
        <v>2228.4699999999998</v>
      </c>
      <c r="P814" s="12">
        <v>0</v>
      </c>
      <c r="Q814" s="12">
        <v>17827.759999999998</v>
      </c>
      <c r="R814" s="12">
        <v>14122.13</v>
      </c>
      <c r="S814" s="12">
        <v>3705.63</v>
      </c>
      <c r="T814" s="10" t="s">
        <v>61</v>
      </c>
      <c r="U814" s="13" t="s">
        <v>62</v>
      </c>
      <c r="V814" s="14" t="e">
        <f t="shared" ca="1" si="0"/>
        <v>#NAME?</v>
      </c>
      <c r="W814" s="10" t="str">
        <f ca="1">IFERROR(__xludf.DUMMYFUNCTION("IF(COUNTIF($A:$A,A808)=1,
""Unique"",
IF(COUNTUNIQUE(FILTER($V$2:$V$934,$A$2:$A$934=A808))&gt;1,
""Conflicting Duplicate"",
""Exact Duplicate""))"),"Unique")</f>
        <v>Unique</v>
      </c>
      <c r="X814" s="10" t="b">
        <f t="shared" ca="1" si="1"/>
        <v>1</v>
      </c>
      <c r="Y814" s="10" t="str">
        <f t="shared" si="2"/>
        <v>Unique</v>
      </c>
      <c r="Z814" s="10"/>
      <c r="AA814" s="10" t="str">
        <f t="shared" si="3"/>
        <v>Clean</v>
      </c>
      <c r="AB814" s="15" t="str">
        <f t="shared" si="4"/>
        <v>Valid</v>
      </c>
      <c r="AC814" s="15">
        <v>5</v>
      </c>
      <c r="AD814" s="16" t="str">
        <f t="shared" si="5"/>
        <v>Valid</v>
      </c>
      <c r="AE814" s="16" t="str">
        <f t="shared" si="6"/>
        <v>Valid</v>
      </c>
      <c r="AF814" s="16" t="str">
        <f t="shared" ref="AF814:AG814" si="1639">IF(ISNUMBER(B814),"Valid","Invalid")</f>
        <v>Valid</v>
      </c>
      <c r="AG814" s="16" t="str">
        <f t="shared" si="1639"/>
        <v>Valid</v>
      </c>
      <c r="AH814" s="16" t="str">
        <f t="shared" ref="AH814:AI814" si="1640">IF(OR(B814="",ISBLANK(B814)),"Missing","Valid")</f>
        <v>Valid</v>
      </c>
      <c r="AI814" s="16" t="str">
        <f t="shared" si="1640"/>
        <v>Valid</v>
      </c>
      <c r="AJ814" s="16" t="b">
        <v>0</v>
      </c>
      <c r="AK814" s="16" t="b">
        <v>0</v>
      </c>
      <c r="AL814" s="16" t="b">
        <v>0</v>
      </c>
      <c r="AM814" s="16" t="b">
        <v>0</v>
      </c>
      <c r="AN814" s="16" t="b">
        <v>0</v>
      </c>
      <c r="AO814" s="16" t="b">
        <v>0</v>
      </c>
      <c r="AP814" s="16" t="b">
        <v>0</v>
      </c>
      <c r="AQ814" s="17">
        <f t="shared" si="9"/>
        <v>0</v>
      </c>
      <c r="AR814" s="12">
        <f t="shared" si="10"/>
        <v>17827.759999999998</v>
      </c>
      <c r="AS814" s="18">
        <f t="shared" si="11"/>
        <v>0</v>
      </c>
      <c r="AT814" s="12">
        <f t="shared" si="12"/>
        <v>3705.6299999999992</v>
      </c>
      <c r="AU814" s="18">
        <f t="shared" si="13"/>
        <v>0</v>
      </c>
      <c r="AV814" s="19">
        <f t="shared" si="14"/>
        <v>0.20785729671029896</v>
      </c>
      <c r="AW814" s="20" t="str">
        <f t="shared" si="15"/>
        <v>June</v>
      </c>
      <c r="AX814" s="21">
        <f t="shared" si="16"/>
        <v>2024</v>
      </c>
    </row>
    <row r="815" spans="1:50" ht="15.75" customHeight="1">
      <c r="A815" s="10" t="s">
        <v>2542</v>
      </c>
      <c r="B815" s="11">
        <v>45753</v>
      </c>
      <c r="C815" s="11">
        <v>45757</v>
      </c>
      <c r="D815" s="10" t="s">
        <v>2543</v>
      </c>
      <c r="E815" s="10" t="s">
        <v>170</v>
      </c>
      <c r="F815" s="10" t="s">
        <v>53</v>
      </c>
      <c r="G815" s="10" t="s">
        <v>67</v>
      </c>
      <c r="H815" s="10" t="s">
        <v>68</v>
      </c>
      <c r="I815" s="10" t="s">
        <v>69</v>
      </c>
      <c r="J815" s="10" t="s">
        <v>70</v>
      </c>
      <c r="K815" s="10" t="s">
        <v>187</v>
      </c>
      <c r="L815" s="10" t="s">
        <v>1153</v>
      </c>
      <c r="M815" s="10" t="s">
        <v>88</v>
      </c>
      <c r="N815" s="12">
        <v>2</v>
      </c>
      <c r="O815" s="12">
        <v>1337.67</v>
      </c>
      <c r="P815" s="12">
        <v>0</v>
      </c>
      <c r="Q815" s="12">
        <v>2675.34</v>
      </c>
      <c r="R815" s="12">
        <v>1595.87</v>
      </c>
      <c r="S815" s="12">
        <v>1079.47</v>
      </c>
      <c r="T815" s="10" t="s">
        <v>61</v>
      </c>
      <c r="U815" s="13" t="s">
        <v>62</v>
      </c>
      <c r="V815" s="14" t="e">
        <f t="shared" ca="1" si="0"/>
        <v>#NAME?</v>
      </c>
      <c r="W815" s="10" t="str">
        <f ca="1">IFERROR(__xludf.DUMMYFUNCTION("IF(COUNTIF($A:$A,A809)=1,
""Unique"",
IF(COUNTUNIQUE(FILTER($V$2:$V$934,$A$2:$A$934=A809))&gt;1,
""Conflicting Duplicate"",
""Exact Duplicate""))"),"Unique")</f>
        <v>Unique</v>
      </c>
      <c r="X815" s="10" t="b">
        <f t="shared" ca="1" si="1"/>
        <v>1</v>
      </c>
      <c r="Y815" s="10" t="str">
        <f t="shared" si="2"/>
        <v>Unique</v>
      </c>
      <c r="Z815" s="10"/>
      <c r="AA815" s="10" t="str">
        <f t="shared" si="3"/>
        <v>Clean</v>
      </c>
      <c r="AB815" s="15" t="str">
        <f t="shared" si="4"/>
        <v>Valid</v>
      </c>
      <c r="AC815" s="15">
        <v>4</v>
      </c>
      <c r="AD815" s="16" t="str">
        <f t="shared" si="5"/>
        <v>Valid</v>
      </c>
      <c r="AE815" s="16" t="str">
        <f t="shared" si="6"/>
        <v>Valid</v>
      </c>
      <c r="AF815" s="16" t="str">
        <f t="shared" ref="AF815:AG815" si="1641">IF(ISNUMBER(B815),"Valid","Invalid")</f>
        <v>Valid</v>
      </c>
      <c r="AG815" s="16" t="str">
        <f t="shared" si="1641"/>
        <v>Valid</v>
      </c>
      <c r="AH815" s="16" t="str">
        <f t="shared" ref="AH815:AI815" si="1642">IF(OR(B815="",ISBLANK(B815)),"Missing","Valid")</f>
        <v>Valid</v>
      </c>
      <c r="AI815" s="16" t="str">
        <f t="shared" si="1642"/>
        <v>Valid</v>
      </c>
      <c r="AJ815" s="16" t="b">
        <v>0</v>
      </c>
      <c r="AK815" s="16" t="b">
        <v>0</v>
      </c>
      <c r="AL815" s="16" t="b">
        <v>0</v>
      </c>
      <c r="AM815" s="16" t="b">
        <v>0</v>
      </c>
      <c r="AN815" s="16" t="b">
        <v>0</v>
      </c>
      <c r="AO815" s="16" t="b">
        <v>0</v>
      </c>
      <c r="AP815" s="16" t="b">
        <v>0</v>
      </c>
      <c r="AQ815" s="17">
        <f t="shared" si="9"/>
        <v>0</v>
      </c>
      <c r="AR815" s="12">
        <f t="shared" si="10"/>
        <v>2675.34</v>
      </c>
      <c r="AS815" s="18">
        <f t="shared" si="11"/>
        <v>0</v>
      </c>
      <c r="AT815" s="12">
        <f t="shared" si="12"/>
        <v>1079.4700000000003</v>
      </c>
      <c r="AU815" s="18">
        <f t="shared" si="13"/>
        <v>0</v>
      </c>
      <c r="AV815" s="19">
        <f t="shared" si="14"/>
        <v>0.40348890234512258</v>
      </c>
      <c r="AW815" s="20" t="str">
        <f t="shared" si="15"/>
        <v>April</v>
      </c>
      <c r="AX815" s="21">
        <f t="shared" si="16"/>
        <v>2025</v>
      </c>
    </row>
    <row r="816" spans="1:50" ht="15.75" customHeight="1">
      <c r="A816" s="10" t="s">
        <v>2544</v>
      </c>
      <c r="B816" s="11">
        <v>45875</v>
      </c>
      <c r="C816" s="11">
        <v>45880</v>
      </c>
      <c r="D816" s="10" t="s">
        <v>2545</v>
      </c>
      <c r="E816" s="10" t="s">
        <v>82</v>
      </c>
      <c r="F816" s="10" t="s">
        <v>53</v>
      </c>
      <c r="G816" s="10" t="s">
        <v>92</v>
      </c>
      <c r="H816" s="10" t="s">
        <v>101</v>
      </c>
      <c r="I816" s="10" t="s">
        <v>102</v>
      </c>
      <c r="J816" s="10" t="s">
        <v>57</v>
      </c>
      <c r="K816" s="10" t="s">
        <v>120</v>
      </c>
      <c r="L816" s="10" t="s">
        <v>2546</v>
      </c>
      <c r="M816" s="10" t="s">
        <v>79</v>
      </c>
      <c r="N816" s="12">
        <v>2</v>
      </c>
      <c r="O816" s="12">
        <v>2375.94</v>
      </c>
      <c r="P816" s="12">
        <v>0.25</v>
      </c>
      <c r="Q816" s="12">
        <v>3563.91</v>
      </c>
      <c r="R816" s="12">
        <v>2639.7</v>
      </c>
      <c r="S816" s="12">
        <v>924.21</v>
      </c>
      <c r="T816" s="10" t="s">
        <v>61</v>
      </c>
      <c r="U816" s="13" t="s">
        <v>62</v>
      </c>
      <c r="V816" s="14" t="e">
        <f t="shared" ca="1" si="0"/>
        <v>#NAME?</v>
      </c>
      <c r="W816" s="10" t="str">
        <f ca="1">IFERROR(__xludf.DUMMYFUNCTION("IF(COUNTIF($A:$A,A810)=1,
""Unique"",
IF(COUNTUNIQUE(FILTER($V$2:$V$934,$A$2:$A$934=A810))&gt;1,
""Conflicting Duplicate"",
""Exact Duplicate""))"),"Unique")</f>
        <v>Unique</v>
      </c>
      <c r="X816" s="10" t="b">
        <f t="shared" ca="1" si="1"/>
        <v>1</v>
      </c>
      <c r="Y816" s="10" t="str">
        <f t="shared" si="2"/>
        <v>Unique</v>
      </c>
      <c r="Z816" s="10"/>
      <c r="AA816" s="10" t="str">
        <f t="shared" si="3"/>
        <v>Clean</v>
      </c>
      <c r="AB816" s="15" t="str">
        <f t="shared" si="4"/>
        <v>Valid</v>
      </c>
      <c r="AC816" s="15">
        <v>5</v>
      </c>
      <c r="AD816" s="16" t="str">
        <f t="shared" si="5"/>
        <v>Valid</v>
      </c>
      <c r="AE816" s="16" t="str">
        <f t="shared" si="6"/>
        <v>Valid</v>
      </c>
      <c r="AF816" s="16" t="str">
        <f t="shared" ref="AF816:AG816" si="1643">IF(ISNUMBER(B816),"Valid","Invalid")</f>
        <v>Valid</v>
      </c>
      <c r="AG816" s="16" t="str">
        <f t="shared" si="1643"/>
        <v>Valid</v>
      </c>
      <c r="AH816" s="16" t="str">
        <f t="shared" ref="AH816:AI816" si="1644">IF(OR(B816="",ISBLANK(B816)),"Missing","Valid")</f>
        <v>Valid</v>
      </c>
      <c r="AI816" s="16" t="str">
        <f t="shared" si="1644"/>
        <v>Valid</v>
      </c>
      <c r="AJ816" s="16" t="b">
        <v>0</v>
      </c>
      <c r="AK816" s="16" t="b">
        <v>0</v>
      </c>
      <c r="AL816" s="16" t="b">
        <v>0</v>
      </c>
      <c r="AM816" s="16" t="b">
        <v>0</v>
      </c>
      <c r="AN816" s="16" t="b">
        <v>0</v>
      </c>
      <c r="AO816" s="16" t="b">
        <v>0</v>
      </c>
      <c r="AP816" s="16" t="b">
        <v>0</v>
      </c>
      <c r="AQ816" s="17">
        <f t="shared" si="9"/>
        <v>0.25</v>
      </c>
      <c r="AR816" s="12">
        <f t="shared" si="10"/>
        <v>3563.91</v>
      </c>
      <c r="AS816" s="18">
        <f t="shared" si="11"/>
        <v>0</v>
      </c>
      <c r="AT816" s="12">
        <f t="shared" si="12"/>
        <v>924.21</v>
      </c>
      <c r="AU816" s="18">
        <f t="shared" si="13"/>
        <v>0</v>
      </c>
      <c r="AV816" s="19">
        <f t="shared" si="14"/>
        <v>0.25932473042248544</v>
      </c>
      <c r="AW816" s="20" t="str">
        <f t="shared" si="15"/>
        <v>August</v>
      </c>
      <c r="AX816" s="21">
        <f t="shared" si="16"/>
        <v>2025</v>
      </c>
    </row>
    <row r="817" spans="1:50" ht="15.75" customHeight="1">
      <c r="A817" s="10" t="s">
        <v>2547</v>
      </c>
      <c r="B817" s="11">
        <v>45383</v>
      </c>
      <c r="C817" s="11">
        <v>45390</v>
      </c>
      <c r="D817" s="10" t="s">
        <v>2548</v>
      </c>
      <c r="E817" s="10" t="s">
        <v>191</v>
      </c>
      <c r="F817" s="10" t="s">
        <v>53</v>
      </c>
      <c r="G817" s="10" t="s">
        <v>67</v>
      </c>
      <c r="H817" s="10" t="s">
        <v>68</v>
      </c>
      <c r="I817" s="10" t="s">
        <v>69</v>
      </c>
      <c r="J817" s="10" t="s">
        <v>103</v>
      </c>
      <c r="K817" s="10" t="s">
        <v>304</v>
      </c>
      <c r="L817" s="10" t="s">
        <v>2549</v>
      </c>
      <c r="M817" s="10" t="s">
        <v>88</v>
      </c>
      <c r="N817" s="12">
        <v>7</v>
      </c>
      <c r="O817" s="12">
        <v>715.81</v>
      </c>
      <c r="P817" s="12">
        <v>0.15</v>
      </c>
      <c r="Q817" s="12">
        <v>4259.07</v>
      </c>
      <c r="R817" s="12">
        <v>3130.32</v>
      </c>
      <c r="S817" s="12">
        <v>1128.75</v>
      </c>
      <c r="T817" s="10" t="s">
        <v>140</v>
      </c>
      <c r="U817" s="13" t="s">
        <v>97</v>
      </c>
      <c r="V817" s="14" t="e">
        <f t="shared" ca="1" si="0"/>
        <v>#NAME?</v>
      </c>
      <c r="W817" s="10" t="str">
        <f ca="1">IFERROR(__xludf.DUMMYFUNCTION("IF(COUNTIF($A:$A,A811)=1,
""Unique"",
IF(COUNTUNIQUE(FILTER($V$2:$V$934,$A$2:$A$934=A811))&gt;1,
""Conflicting Duplicate"",
""Exact Duplicate""))"),"Unique")</f>
        <v>Unique</v>
      </c>
      <c r="X817" s="10" t="b">
        <f t="shared" ca="1" si="1"/>
        <v>1</v>
      </c>
      <c r="Y817" s="10" t="str">
        <f t="shared" si="2"/>
        <v>Unique</v>
      </c>
      <c r="Z817" s="10"/>
      <c r="AA817" s="10" t="str">
        <f t="shared" si="3"/>
        <v>Clean</v>
      </c>
      <c r="AB817" s="15" t="str">
        <f t="shared" si="4"/>
        <v>Valid</v>
      </c>
      <c r="AC817" s="15">
        <v>7</v>
      </c>
      <c r="AD817" s="16" t="str">
        <f t="shared" si="5"/>
        <v>Valid</v>
      </c>
      <c r="AE817" s="16" t="str">
        <f t="shared" si="6"/>
        <v>Valid</v>
      </c>
      <c r="AF817" s="16" t="str">
        <f t="shared" ref="AF817:AG817" si="1645">IF(ISNUMBER(B817),"Valid","Invalid")</f>
        <v>Valid</v>
      </c>
      <c r="AG817" s="16" t="str">
        <f t="shared" si="1645"/>
        <v>Valid</v>
      </c>
      <c r="AH817" s="16" t="str">
        <f t="shared" ref="AH817:AI817" si="1646">IF(OR(B817="",ISBLANK(B817)),"Missing","Valid")</f>
        <v>Valid</v>
      </c>
      <c r="AI817" s="16" t="str">
        <f t="shared" si="1646"/>
        <v>Valid</v>
      </c>
      <c r="AJ817" s="16" t="b">
        <v>0</v>
      </c>
      <c r="AK817" s="16" t="b">
        <v>0</v>
      </c>
      <c r="AL817" s="16" t="b">
        <v>0</v>
      </c>
      <c r="AM817" s="16" t="b">
        <v>0</v>
      </c>
      <c r="AN817" s="16" t="b">
        <v>0</v>
      </c>
      <c r="AO817" s="16" t="b">
        <v>0</v>
      </c>
      <c r="AP817" s="16" t="b">
        <v>0</v>
      </c>
      <c r="AQ817" s="17">
        <f t="shared" si="9"/>
        <v>0.15</v>
      </c>
      <c r="AR817" s="12">
        <f t="shared" si="10"/>
        <v>4259.0694999999996</v>
      </c>
      <c r="AS817" s="18">
        <f t="shared" si="11"/>
        <v>5.0000000010186341E-4</v>
      </c>
      <c r="AT817" s="12">
        <f t="shared" si="12"/>
        <v>1128.7494999999994</v>
      </c>
      <c r="AU817" s="18">
        <f t="shared" si="13"/>
        <v>5.0000000055661076E-4</v>
      </c>
      <c r="AV817" s="19">
        <f t="shared" si="14"/>
        <v>0.26502255950507486</v>
      </c>
      <c r="AW817" s="20" t="str">
        <f t="shared" si="15"/>
        <v>April</v>
      </c>
      <c r="AX817" s="21">
        <f t="shared" si="16"/>
        <v>2024</v>
      </c>
    </row>
    <row r="818" spans="1:50" ht="15.75" customHeight="1">
      <c r="A818" s="10" t="s">
        <v>2550</v>
      </c>
      <c r="B818" s="11">
        <v>45623</v>
      </c>
      <c r="C818" s="11">
        <v>45626</v>
      </c>
      <c r="D818" s="10" t="s">
        <v>2551</v>
      </c>
      <c r="E818" s="10" t="s">
        <v>147</v>
      </c>
      <c r="F818" s="10" t="s">
        <v>66</v>
      </c>
      <c r="G818" s="10" t="s">
        <v>67</v>
      </c>
      <c r="H818" s="10" t="s">
        <v>258</v>
      </c>
      <c r="I818" s="10" t="s">
        <v>259</v>
      </c>
      <c r="J818" s="10" t="s">
        <v>70</v>
      </c>
      <c r="K818" s="10" t="s">
        <v>86</v>
      </c>
      <c r="L818" s="10" t="s">
        <v>2552</v>
      </c>
      <c r="M818" s="10" t="s">
        <v>79</v>
      </c>
      <c r="N818" s="12">
        <v>1</v>
      </c>
      <c r="O818" s="12">
        <v>874.3</v>
      </c>
      <c r="P818" s="12">
        <v>0.1</v>
      </c>
      <c r="Q818" s="12">
        <v>786.87</v>
      </c>
      <c r="R818" s="12">
        <v>498.5</v>
      </c>
      <c r="S818" s="12">
        <v>288.37</v>
      </c>
      <c r="T818" s="10" t="s">
        <v>61</v>
      </c>
      <c r="U818" s="13" t="s">
        <v>62</v>
      </c>
      <c r="V818" s="14" t="e">
        <f t="shared" ca="1" si="0"/>
        <v>#NAME?</v>
      </c>
      <c r="W818" s="10" t="str">
        <f ca="1">IFERROR(__xludf.DUMMYFUNCTION("IF(COUNTIF($A:$A,A812)=1,
""Unique"",
IF(COUNTUNIQUE(FILTER($V$2:$V$934,$A$2:$A$934=A812))&gt;1,
""Conflicting Duplicate"",
""Exact Duplicate""))"),"Unique")</f>
        <v>Unique</v>
      </c>
      <c r="X818" s="10" t="b">
        <f t="shared" ca="1" si="1"/>
        <v>1</v>
      </c>
      <c r="Y818" s="10" t="str">
        <f t="shared" si="2"/>
        <v>Unique</v>
      </c>
      <c r="Z818" s="10"/>
      <c r="AA818" s="10" t="str">
        <f t="shared" si="3"/>
        <v>Clean</v>
      </c>
      <c r="AB818" s="15" t="str">
        <f t="shared" si="4"/>
        <v>Valid</v>
      </c>
      <c r="AC818" s="15">
        <v>3</v>
      </c>
      <c r="AD818" s="16" t="str">
        <f t="shared" si="5"/>
        <v>Valid</v>
      </c>
      <c r="AE818" s="16" t="str">
        <f t="shared" si="6"/>
        <v>Valid</v>
      </c>
      <c r="AF818" s="16" t="str">
        <f t="shared" ref="AF818:AG818" si="1647">IF(ISNUMBER(B818),"Valid","Invalid")</f>
        <v>Valid</v>
      </c>
      <c r="AG818" s="16" t="str">
        <f t="shared" si="1647"/>
        <v>Valid</v>
      </c>
      <c r="AH818" s="16" t="str">
        <f t="shared" ref="AH818:AI818" si="1648">IF(OR(B818="",ISBLANK(B818)),"Missing","Valid")</f>
        <v>Valid</v>
      </c>
      <c r="AI818" s="16" t="str">
        <f t="shared" si="1648"/>
        <v>Valid</v>
      </c>
      <c r="AJ818" s="16" t="b">
        <v>0</v>
      </c>
      <c r="AK818" s="16" t="b">
        <v>0</v>
      </c>
      <c r="AL818" s="16" t="b">
        <v>0</v>
      </c>
      <c r="AM818" s="16" t="b">
        <v>0</v>
      </c>
      <c r="AN818" s="16" t="b">
        <v>0</v>
      </c>
      <c r="AO818" s="16" t="b">
        <v>0</v>
      </c>
      <c r="AP818" s="16" t="b">
        <v>0</v>
      </c>
      <c r="AQ818" s="17">
        <f t="shared" si="9"/>
        <v>0.1</v>
      </c>
      <c r="AR818" s="12">
        <f t="shared" si="10"/>
        <v>786.87</v>
      </c>
      <c r="AS818" s="18">
        <f t="shared" si="11"/>
        <v>0</v>
      </c>
      <c r="AT818" s="12">
        <f t="shared" si="12"/>
        <v>288.37</v>
      </c>
      <c r="AU818" s="18">
        <f t="shared" si="13"/>
        <v>0</v>
      </c>
      <c r="AV818" s="19">
        <f t="shared" si="14"/>
        <v>0.36647730883119195</v>
      </c>
      <c r="AW818" s="20" t="str">
        <f t="shared" si="15"/>
        <v>November</v>
      </c>
      <c r="AX818" s="21">
        <f t="shared" si="16"/>
        <v>2024</v>
      </c>
    </row>
    <row r="819" spans="1:50" ht="15.75" customHeight="1">
      <c r="A819" s="10" t="s">
        <v>2553</v>
      </c>
      <c r="B819" s="11">
        <v>45752</v>
      </c>
      <c r="C819" s="11">
        <v>45752</v>
      </c>
      <c r="D819" s="10" t="s">
        <v>2554</v>
      </c>
      <c r="E819" s="10" t="s">
        <v>161</v>
      </c>
      <c r="F819" s="10" t="s">
        <v>53</v>
      </c>
      <c r="G819" s="10" t="s">
        <v>67</v>
      </c>
      <c r="H819" s="10" t="s">
        <v>174</v>
      </c>
      <c r="I819" s="10" t="s">
        <v>175</v>
      </c>
      <c r="J819" s="10" t="s">
        <v>57</v>
      </c>
      <c r="K819" s="10" t="s">
        <v>182</v>
      </c>
      <c r="L819" s="10" t="s">
        <v>2555</v>
      </c>
      <c r="M819" s="10" t="s">
        <v>88</v>
      </c>
      <c r="N819" s="12">
        <v>6</v>
      </c>
      <c r="O819" s="12">
        <v>1829.69</v>
      </c>
      <c r="P819" s="12">
        <v>0.25</v>
      </c>
      <c r="Q819" s="12">
        <v>8233.6</v>
      </c>
      <c r="R819" s="12">
        <v>4713.79</v>
      </c>
      <c r="S819" s="12">
        <v>3519.81</v>
      </c>
      <c r="T819" s="10" t="s">
        <v>61</v>
      </c>
      <c r="U819" s="13" t="s">
        <v>62</v>
      </c>
      <c r="V819" s="14" t="e">
        <f t="shared" ca="1" si="0"/>
        <v>#NAME?</v>
      </c>
      <c r="W819" s="10" t="str">
        <f ca="1">IFERROR(__xludf.DUMMYFUNCTION("IF(COUNTIF($A:$A,A813)=1,
""Unique"",
IF(COUNTUNIQUE(FILTER($V$2:$V$934,$A$2:$A$934=A813))&gt;1,
""Conflicting Duplicate"",
""Exact Duplicate""))"),"Unique")</f>
        <v>Unique</v>
      </c>
      <c r="X819" s="10" t="b">
        <f t="shared" ca="1" si="1"/>
        <v>1</v>
      </c>
      <c r="Y819" s="10" t="str">
        <f t="shared" si="2"/>
        <v>Unique</v>
      </c>
      <c r="Z819" s="10"/>
      <c r="AA819" s="10" t="str">
        <f t="shared" si="3"/>
        <v>Clean</v>
      </c>
      <c r="AB819" s="15" t="str">
        <f t="shared" si="4"/>
        <v>Valid</v>
      </c>
      <c r="AC819" s="15">
        <v>0</v>
      </c>
      <c r="AD819" s="16" t="str">
        <f t="shared" si="5"/>
        <v>Valid</v>
      </c>
      <c r="AE819" s="16" t="str">
        <f t="shared" si="6"/>
        <v>Valid</v>
      </c>
      <c r="AF819" s="16" t="str">
        <f t="shared" ref="AF819:AG819" si="1649">IF(ISNUMBER(B819),"Valid","Invalid")</f>
        <v>Valid</v>
      </c>
      <c r="AG819" s="16" t="str">
        <f t="shared" si="1649"/>
        <v>Valid</v>
      </c>
      <c r="AH819" s="16" t="str">
        <f t="shared" ref="AH819:AI819" si="1650">IF(OR(B819="",ISBLANK(B819)),"Missing","Valid")</f>
        <v>Valid</v>
      </c>
      <c r="AI819" s="16" t="str">
        <f t="shared" si="1650"/>
        <v>Valid</v>
      </c>
      <c r="AJ819" s="16" t="b">
        <v>0</v>
      </c>
      <c r="AK819" s="16" t="b">
        <v>0</v>
      </c>
      <c r="AL819" s="16" t="b">
        <v>0</v>
      </c>
      <c r="AM819" s="16" t="b">
        <v>0</v>
      </c>
      <c r="AN819" s="16" t="b">
        <v>0</v>
      </c>
      <c r="AO819" s="16" t="b">
        <v>0</v>
      </c>
      <c r="AP819" s="16" t="b">
        <v>0</v>
      </c>
      <c r="AQ819" s="17">
        <f t="shared" si="9"/>
        <v>0.25</v>
      </c>
      <c r="AR819" s="12">
        <f t="shared" si="10"/>
        <v>8233.6049999999996</v>
      </c>
      <c r="AS819" s="18">
        <f t="shared" si="11"/>
        <v>-4.9999999991996447E-3</v>
      </c>
      <c r="AT819" s="12">
        <f t="shared" si="12"/>
        <v>3519.8149999999996</v>
      </c>
      <c r="AU819" s="18">
        <f t="shared" si="13"/>
        <v>-4.999999999654392E-3</v>
      </c>
      <c r="AV819" s="19">
        <f t="shared" si="14"/>
        <v>0.42749378917254349</v>
      </c>
      <c r="AW819" s="20" t="str">
        <f t="shared" si="15"/>
        <v>April</v>
      </c>
      <c r="AX819" s="21">
        <f t="shared" si="16"/>
        <v>2025</v>
      </c>
    </row>
    <row r="820" spans="1:50" ht="15.75" customHeight="1">
      <c r="A820" s="10" t="s">
        <v>2556</v>
      </c>
      <c r="B820" s="11">
        <v>45564</v>
      </c>
      <c r="C820" s="11">
        <v>45570</v>
      </c>
      <c r="D820" s="10" t="s">
        <v>2557</v>
      </c>
      <c r="E820" s="10" t="s">
        <v>143</v>
      </c>
      <c r="F820" s="10" t="s">
        <v>66</v>
      </c>
      <c r="G820" s="10" t="s">
        <v>92</v>
      </c>
      <c r="H820" s="10" t="s">
        <v>93</v>
      </c>
      <c r="I820" s="10" t="s">
        <v>94</v>
      </c>
      <c r="J820" s="10" t="s">
        <v>57</v>
      </c>
      <c r="K820" s="10" t="s">
        <v>120</v>
      </c>
      <c r="L820" s="10" t="s">
        <v>2558</v>
      </c>
      <c r="M820" s="10" t="s">
        <v>79</v>
      </c>
      <c r="N820" s="12">
        <v>8</v>
      </c>
      <c r="O820" s="12">
        <v>1981.04</v>
      </c>
      <c r="P820" s="12">
        <v>-0.14000000000000001</v>
      </c>
      <c r="Q820" s="12">
        <v>12678.66</v>
      </c>
      <c r="R820" s="12">
        <v>10088.65</v>
      </c>
      <c r="S820" s="12">
        <v>2590.0100000000002</v>
      </c>
      <c r="T820" s="10" t="s">
        <v>61</v>
      </c>
      <c r="U820" s="13" t="s">
        <v>62</v>
      </c>
      <c r="V820" s="14" t="e">
        <f t="shared" ca="1" si="0"/>
        <v>#NAME?</v>
      </c>
      <c r="W820" s="10" t="str">
        <f ca="1">IFERROR(__xludf.DUMMYFUNCTION("IF(COUNTIF($A:$A,A814)=1,
""Unique"",
IF(COUNTUNIQUE(FILTER($V$2:$V$934,$A$2:$A$934=A814))&gt;1,
""Conflicting Duplicate"",
""Exact Duplicate""))"),"Unique")</f>
        <v>Unique</v>
      </c>
      <c r="X820" s="10" t="b">
        <f t="shared" ca="1" si="1"/>
        <v>1</v>
      </c>
      <c r="Y820" s="10" t="str">
        <f t="shared" si="2"/>
        <v>Unique</v>
      </c>
      <c r="Z820" s="10"/>
      <c r="AA820" s="10" t="str">
        <f t="shared" si="3"/>
        <v>Invalid</v>
      </c>
      <c r="AB820" s="15" t="str">
        <f t="shared" si="4"/>
        <v>Valid</v>
      </c>
      <c r="AC820" s="15">
        <v>6</v>
      </c>
      <c r="AD820" s="16" t="str">
        <f t="shared" si="5"/>
        <v>Valid</v>
      </c>
      <c r="AE820" s="16" t="str">
        <f t="shared" si="6"/>
        <v>Valid</v>
      </c>
      <c r="AF820" s="16" t="str">
        <f t="shared" ref="AF820:AG820" si="1651">IF(ISNUMBER(B820),"Valid","Invalid")</f>
        <v>Valid</v>
      </c>
      <c r="AG820" s="16" t="str">
        <f t="shared" si="1651"/>
        <v>Valid</v>
      </c>
      <c r="AH820" s="16" t="str">
        <f t="shared" ref="AH820:AI820" si="1652">IF(OR(B820="",ISBLANK(B820)),"Missing","Valid")</f>
        <v>Valid</v>
      </c>
      <c r="AI820" s="16" t="str">
        <f t="shared" si="1652"/>
        <v>Valid</v>
      </c>
      <c r="AJ820" s="16" t="b">
        <v>0</v>
      </c>
      <c r="AK820" s="16" t="b">
        <v>0</v>
      </c>
      <c r="AL820" s="16" t="b">
        <v>0</v>
      </c>
      <c r="AM820" s="16" t="b">
        <v>1</v>
      </c>
      <c r="AN820" s="16" t="b">
        <v>0</v>
      </c>
      <c r="AO820" s="16" t="b">
        <v>0</v>
      </c>
      <c r="AP820" s="16" t="b">
        <v>1</v>
      </c>
      <c r="AQ820" s="17">
        <f t="shared" si="9"/>
        <v>-0.14000000000000001</v>
      </c>
      <c r="AR820" s="12">
        <f t="shared" si="10"/>
        <v>18067.084800000001</v>
      </c>
      <c r="AS820" s="18">
        <f t="shared" si="11"/>
        <v>-5388.4248000000007</v>
      </c>
      <c r="AT820" s="12">
        <f t="shared" si="12"/>
        <v>7978.4348000000009</v>
      </c>
      <c r="AU820" s="18">
        <f t="shared" si="13"/>
        <v>-5388.4248000000007</v>
      </c>
      <c r="AV820" s="19">
        <f t="shared" si="14"/>
        <v>0.44160056192352631</v>
      </c>
      <c r="AW820" s="20" t="str">
        <f t="shared" si="15"/>
        <v>September</v>
      </c>
      <c r="AX820" s="21">
        <f t="shared" si="16"/>
        <v>2024</v>
      </c>
    </row>
    <row r="821" spans="1:50" ht="15.75" customHeight="1">
      <c r="A821" s="10" t="s">
        <v>2559</v>
      </c>
      <c r="B821" s="11">
        <v>45504</v>
      </c>
      <c r="C821" s="11">
        <v>45504</v>
      </c>
      <c r="D821" s="10" t="s">
        <v>2560</v>
      </c>
      <c r="E821" s="10" t="s">
        <v>52</v>
      </c>
      <c r="F821" s="10" t="s">
        <v>124</v>
      </c>
      <c r="G821" s="10" t="s">
        <v>83</v>
      </c>
      <c r="H821" s="10" t="s">
        <v>214</v>
      </c>
      <c r="I821" s="10" t="s">
        <v>215</v>
      </c>
      <c r="J821" s="10" t="s">
        <v>103</v>
      </c>
      <c r="K821" s="10" t="s">
        <v>304</v>
      </c>
      <c r="L821" s="10" t="s">
        <v>2561</v>
      </c>
      <c r="M821" s="10" t="s">
        <v>88</v>
      </c>
      <c r="N821" s="12">
        <v>8</v>
      </c>
      <c r="O821" s="12">
        <v>4246.01</v>
      </c>
      <c r="P821" s="12">
        <v>0</v>
      </c>
      <c r="Q821" s="12">
        <v>33968.080000000002</v>
      </c>
      <c r="R821" s="12">
        <v>26902.44</v>
      </c>
      <c r="S821" s="12">
        <v>7065.64</v>
      </c>
      <c r="T821" s="10" t="s">
        <v>184</v>
      </c>
      <c r="U821" s="13" t="s">
        <v>97</v>
      </c>
      <c r="V821" s="14" t="e">
        <f t="shared" ca="1" si="0"/>
        <v>#NAME?</v>
      </c>
      <c r="W821" s="10" t="str">
        <f ca="1">IFERROR(__xludf.DUMMYFUNCTION("IF(COUNTIF($A:$A,A815)=1,
""Unique"",
IF(COUNTUNIQUE(FILTER($V$2:$V$934,$A$2:$A$934=A815))&gt;1,
""Conflicting Duplicate"",
""Exact Duplicate""))"),"Unique")</f>
        <v>Unique</v>
      </c>
      <c r="X821" s="10" t="b">
        <f t="shared" ca="1" si="1"/>
        <v>1</v>
      </c>
      <c r="Y821" s="10" t="str">
        <f t="shared" si="2"/>
        <v>Unique</v>
      </c>
      <c r="Z821" s="10"/>
      <c r="AA821" s="10" t="str">
        <f t="shared" si="3"/>
        <v>Clean</v>
      </c>
      <c r="AB821" s="15" t="str">
        <f t="shared" si="4"/>
        <v>Valid</v>
      </c>
      <c r="AC821" s="15">
        <v>0</v>
      </c>
      <c r="AD821" s="16" t="str">
        <f t="shared" si="5"/>
        <v>Valid</v>
      </c>
      <c r="AE821" s="16" t="str">
        <f t="shared" si="6"/>
        <v>Valid</v>
      </c>
      <c r="AF821" s="16" t="str">
        <f t="shared" ref="AF821:AG821" si="1653">IF(ISNUMBER(B821),"Valid","Invalid")</f>
        <v>Valid</v>
      </c>
      <c r="AG821" s="16" t="str">
        <f t="shared" si="1653"/>
        <v>Valid</v>
      </c>
      <c r="AH821" s="16" t="str">
        <f t="shared" ref="AH821:AI821" si="1654">IF(OR(B821="",ISBLANK(B821)),"Missing","Valid")</f>
        <v>Valid</v>
      </c>
      <c r="AI821" s="16" t="str">
        <f t="shared" si="1654"/>
        <v>Valid</v>
      </c>
      <c r="AJ821" s="16" t="b">
        <v>0</v>
      </c>
      <c r="AK821" s="16" t="b">
        <v>0</v>
      </c>
      <c r="AL821" s="16" t="b">
        <v>0</v>
      </c>
      <c r="AM821" s="16" t="b">
        <v>0</v>
      </c>
      <c r="AN821" s="16" t="b">
        <v>0</v>
      </c>
      <c r="AO821" s="16" t="b">
        <v>0</v>
      </c>
      <c r="AP821" s="16" t="b">
        <v>0</v>
      </c>
      <c r="AQ821" s="17">
        <f t="shared" si="9"/>
        <v>0</v>
      </c>
      <c r="AR821" s="12">
        <f t="shared" si="10"/>
        <v>33968.080000000002</v>
      </c>
      <c r="AS821" s="18">
        <f t="shared" si="11"/>
        <v>0</v>
      </c>
      <c r="AT821" s="12">
        <f t="shared" si="12"/>
        <v>7065.6400000000031</v>
      </c>
      <c r="AU821" s="18">
        <f t="shared" si="13"/>
        <v>0</v>
      </c>
      <c r="AV821" s="19">
        <f t="shared" si="14"/>
        <v>0.20800822419165294</v>
      </c>
      <c r="AW821" s="20" t="str">
        <f t="shared" si="15"/>
        <v>July</v>
      </c>
      <c r="AX821" s="21">
        <f t="shared" si="16"/>
        <v>2024</v>
      </c>
    </row>
    <row r="822" spans="1:50" ht="15.75" customHeight="1">
      <c r="A822" s="10" t="s">
        <v>2562</v>
      </c>
      <c r="B822" s="11">
        <v>45694</v>
      </c>
      <c r="C822" s="11">
        <v>45698</v>
      </c>
      <c r="D822" s="10" t="s">
        <v>2563</v>
      </c>
      <c r="E822" s="10" t="s">
        <v>91</v>
      </c>
      <c r="F822" s="10" t="s">
        <v>124</v>
      </c>
      <c r="G822" s="10" t="s">
        <v>54</v>
      </c>
      <c r="H822" s="10" t="s">
        <v>165</v>
      </c>
      <c r="I822" s="10" t="s">
        <v>166</v>
      </c>
      <c r="J822" s="10" t="s">
        <v>70</v>
      </c>
      <c r="K822" s="10" t="s">
        <v>187</v>
      </c>
      <c r="L822" s="10" t="s">
        <v>2564</v>
      </c>
      <c r="M822" s="10" t="s">
        <v>88</v>
      </c>
      <c r="N822" s="12">
        <v>2</v>
      </c>
      <c r="O822" s="12">
        <v>319.57</v>
      </c>
      <c r="P822" s="12">
        <v>0.2</v>
      </c>
      <c r="Q822" s="12">
        <v>511.31</v>
      </c>
      <c r="R822" s="12">
        <v>436.43</v>
      </c>
      <c r="S822" s="12">
        <v>74.88</v>
      </c>
      <c r="T822" s="10" t="s">
        <v>61</v>
      </c>
      <c r="U822" s="13" t="s">
        <v>62</v>
      </c>
      <c r="V822" s="14" t="e">
        <f t="shared" ca="1" si="0"/>
        <v>#NAME?</v>
      </c>
      <c r="W822" s="10" t="str">
        <f ca="1">IFERROR(__xludf.DUMMYFUNCTION("IF(COUNTIF($A:$A,A816)=1,
""Unique"",
IF(COUNTUNIQUE(FILTER($V$2:$V$934,$A$2:$A$934=A816))&gt;1,
""Conflicting Duplicate"",
""Exact Duplicate""))"),"Unique")</f>
        <v>Unique</v>
      </c>
      <c r="X822" s="10" t="b">
        <f t="shared" ca="1" si="1"/>
        <v>1</v>
      </c>
      <c r="Y822" s="10" t="str">
        <f t="shared" si="2"/>
        <v>Unique</v>
      </c>
      <c r="Z822" s="10"/>
      <c r="AA822" s="10" t="str">
        <f t="shared" si="3"/>
        <v>Clean</v>
      </c>
      <c r="AB822" s="15" t="str">
        <f t="shared" si="4"/>
        <v>Valid</v>
      </c>
      <c r="AC822" s="15">
        <v>4</v>
      </c>
      <c r="AD822" s="16" t="str">
        <f t="shared" si="5"/>
        <v>Valid</v>
      </c>
      <c r="AE822" s="16" t="str">
        <f t="shared" si="6"/>
        <v>Valid</v>
      </c>
      <c r="AF822" s="16" t="str">
        <f t="shared" ref="AF822:AG822" si="1655">IF(ISNUMBER(B822),"Valid","Invalid")</f>
        <v>Valid</v>
      </c>
      <c r="AG822" s="16" t="str">
        <f t="shared" si="1655"/>
        <v>Valid</v>
      </c>
      <c r="AH822" s="16" t="str">
        <f t="shared" ref="AH822:AI822" si="1656">IF(OR(B822="",ISBLANK(B822)),"Missing","Valid")</f>
        <v>Valid</v>
      </c>
      <c r="AI822" s="16" t="str">
        <f t="shared" si="1656"/>
        <v>Valid</v>
      </c>
      <c r="AJ822" s="16" t="b">
        <v>0</v>
      </c>
      <c r="AK822" s="16" t="b">
        <v>0</v>
      </c>
      <c r="AL822" s="16" t="b">
        <v>0</v>
      </c>
      <c r="AM822" s="16" t="b">
        <v>0</v>
      </c>
      <c r="AN822" s="16" t="b">
        <v>0</v>
      </c>
      <c r="AO822" s="16" t="b">
        <v>0</v>
      </c>
      <c r="AP822" s="16" t="b">
        <v>0</v>
      </c>
      <c r="AQ822" s="17">
        <f t="shared" si="9"/>
        <v>0.2</v>
      </c>
      <c r="AR822" s="12">
        <f t="shared" si="10"/>
        <v>511.31200000000001</v>
      </c>
      <c r="AS822" s="18">
        <f t="shared" si="11"/>
        <v>-2.0000000000095497E-3</v>
      </c>
      <c r="AT822" s="12">
        <f t="shared" si="12"/>
        <v>74.882000000000005</v>
      </c>
      <c r="AU822" s="18">
        <f t="shared" si="13"/>
        <v>-2.0000000000095497E-3</v>
      </c>
      <c r="AV822" s="19">
        <f t="shared" si="14"/>
        <v>0.14645069937728825</v>
      </c>
      <c r="AW822" s="20" t="str">
        <f t="shared" si="15"/>
        <v>February</v>
      </c>
      <c r="AX822" s="21">
        <f t="shared" si="16"/>
        <v>2025</v>
      </c>
    </row>
    <row r="823" spans="1:50" ht="15.75" customHeight="1">
      <c r="A823" s="10" t="s">
        <v>2565</v>
      </c>
      <c r="B823" s="11">
        <v>45476</v>
      </c>
      <c r="C823" s="11">
        <v>45479</v>
      </c>
      <c r="D823" s="10" t="s">
        <v>2566</v>
      </c>
      <c r="E823" s="10" t="s">
        <v>157</v>
      </c>
      <c r="F823" s="10" t="s">
        <v>119</v>
      </c>
      <c r="G823" s="10" t="s">
        <v>83</v>
      </c>
      <c r="H823" s="10" t="s">
        <v>204</v>
      </c>
      <c r="I823" s="10" t="s">
        <v>205</v>
      </c>
      <c r="J823" s="10" t="s">
        <v>103</v>
      </c>
      <c r="K823" s="10" t="s">
        <v>104</v>
      </c>
      <c r="L823" s="10" t="s">
        <v>2567</v>
      </c>
      <c r="M823" s="10" t="s">
        <v>79</v>
      </c>
      <c r="N823" s="12">
        <v>7</v>
      </c>
      <c r="O823" s="12">
        <v>1942.49</v>
      </c>
      <c r="P823" s="12">
        <v>0.2</v>
      </c>
      <c r="Q823" s="12">
        <v>10877.94</v>
      </c>
      <c r="R823" s="12">
        <v>9110.14</v>
      </c>
      <c r="S823" s="12">
        <v>1767.8</v>
      </c>
      <c r="T823" s="10" t="s">
        <v>61</v>
      </c>
      <c r="U823" s="13" t="s">
        <v>62</v>
      </c>
      <c r="V823" s="14" t="e">
        <f t="shared" ca="1" si="0"/>
        <v>#NAME?</v>
      </c>
      <c r="W823" s="10" t="str">
        <f ca="1">IFERROR(__xludf.DUMMYFUNCTION("IF(COUNTIF($A:$A,A817)=1,
""Unique"",
IF(COUNTUNIQUE(FILTER($V$2:$V$934,$A$2:$A$934=A817))&gt;1,
""Conflicting Duplicate"",
""Exact Duplicate""))"),"Unique")</f>
        <v>Unique</v>
      </c>
      <c r="X823" s="10" t="b">
        <f t="shared" ca="1" si="1"/>
        <v>1</v>
      </c>
      <c r="Y823" s="10" t="str">
        <f t="shared" si="2"/>
        <v>Unique</v>
      </c>
      <c r="Z823" s="10"/>
      <c r="AA823" s="10" t="str">
        <f t="shared" si="3"/>
        <v>Clean</v>
      </c>
      <c r="AB823" s="15" t="str">
        <f t="shared" si="4"/>
        <v>Valid</v>
      </c>
      <c r="AC823" s="15">
        <v>3</v>
      </c>
      <c r="AD823" s="16" t="str">
        <f t="shared" si="5"/>
        <v>Valid</v>
      </c>
      <c r="AE823" s="16" t="str">
        <f t="shared" si="6"/>
        <v>Valid</v>
      </c>
      <c r="AF823" s="16" t="str">
        <f t="shared" ref="AF823:AG823" si="1657">IF(ISNUMBER(B823),"Valid","Invalid")</f>
        <v>Valid</v>
      </c>
      <c r="AG823" s="16" t="str">
        <f t="shared" si="1657"/>
        <v>Valid</v>
      </c>
      <c r="AH823" s="16" t="str">
        <f t="shared" ref="AH823:AI823" si="1658">IF(OR(B823="",ISBLANK(B823)),"Missing","Valid")</f>
        <v>Valid</v>
      </c>
      <c r="AI823" s="16" t="str">
        <f t="shared" si="1658"/>
        <v>Valid</v>
      </c>
      <c r="AJ823" s="16" t="b">
        <v>0</v>
      </c>
      <c r="AK823" s="16" t="b">
        <v>0</v>
      </c>
      <c r="AL823" s="16" t="b">
        <v>0</v>
      </c>
      <c r="AM823" s="16" t="b">
        <v>0</v>
      </c>
      <c r="AN823" s="16" t="b">
        <v>0</v>
      </c>
      <c r="AO823" s="16" t="b">
        <v>0</v>
      </c>
      <c r="AP823" s="16" t="b">
        <v>0</v>
      </c>
      <c r="AQ823" s="17">
        <f t="shared" si="9"/>
        <v>0.2</v>
      </c>
      <c r="AR823" s="12">
        <f t="shared" si="10"/>
        <v>10877.944000000001</v>
      </c>
      <c r="AS823" s="18">
        <f t="shared" si="11"/>
        <v>-4.0000000008149073E-3</v>
      </c>
      <c r="AT823" s="12">
        <f t="shared" si="12"/>
        <v>1767.8040000000019</v>
      </c>
      <c r="AU823" s="18">
        <f t="shared" si="13"/>
        <v>-4.0000000019517756E-3</v>
      </c>
      <c r="AV823" s="19">
        <f t="shared" si="14"/>
        <v>0.16251269541376584</v>
      </c>
      <c r="AW823" s="20" t="str">
        <f t="shared" si="15"/>
        <v>July</v>
      </c>
      <c r="AX823" s="21">
        <f t="shared" si="16"/>
        <v>2024</v>
      </c>
    </row>
    <row r="824" spans="1:50" ht="15.75" customHeight="1">
      <c r="A824" s="10" t="s">
        <v>2568</v>
      </c>
      <c r="B824" s="11">
        <v>45577</v>
      </c>
      <c r="C824" s="11">
        <v>45573</v>
      </c>
      <c r="D824" s="10" t="s">
        <v>2569</v>
      </c>
      <c r="E824" s="10" t="s">
        <v>65</v>
      </c>
      <c r="F824" s="10" t="s">
        <v>119</v>
      </c>
      <c r="G824" s="10" t="s">
        <v>67</v>
      </c>
      <c r="H824" s="10" t="s">
        <v>195</v>
      </c>
      <c r="I824" s="10" t="s">
        <v>196</v>
      </c>
      <c r="J824" s="10" t="s">
        <v>70</v>
      </c>
      <c r="K824" s="10" t="s">
        <v>86</v>
      </c>
      <c r="L824" s="10" t="s">
        <v>2570</v>
      </c>
      <c r="M824" s="10" t="s">
        <v>60</v>
      </c>
      <c r="N824" s="12">
        <v>4</v>
      </c>
      <c r="O824" s="12">
        <v>3202.04</v>
      </c>
      <c r="P824" s="12">
        <v>0.2</v>
      </c>
      <c r="Q824" s="12">
        <v>10246.530000000001</v>
      </c>
      <c r="R824" s="12">
        <v>8634.42</v>
      </c>
      <c r="S824" s="12">
        <v>1612.11</v>
      </c>
      <c r="T824" s="10" t="s">
        <v>140</v>
      </c>
      <c r="U824" s="13" t="s">
        <v>132</v>
      </c>
      <c r="V824" s="14" t="e">
        <f t="shared" ca="1" si="0"/>
        <v>#NAME?</v>
      </c>
      <c r="W824" s="10" t="str">
        <f ca="1">IFERROR(__xludf.DUMMYFUNCTION("IF(COUNTIF($A:$A,A818)=1,
""Unique"",
IF(COUNTUNIQUE(FILTER($V$2:$V$934,$A$2:$A$934=A818))&gt;1,
""Conflicting Duplicate"",
""Exact Duplicate""))"),"Unique")</f>
        <v>Unique</v>
      </c>
      <c r="X824" s="10" t="b">
        <f t="shared" ca="1" si="1"/>
        <v>1</v>
      </c>
      <c r="Y824" s="10" t="str">
        <f t="shared" si="2"/>
        <v>Unique</v>
      </c>
      <c r="Z824" s="10"/>
      <c r="AA824" s="10" t="str">
        <f t="shared" si="3"/>
        <v>Invalid</v>
      </c>
      <c r="AB824" s="15" t="str">
        <f t="shared" si="4"/>
        <v>Invalid</v>
      </c>
      <c r="AC824" s="15">
        <v>-4</v>
      </c>
      <c r="AD824" s="16" t="str">
        <f t="shared" si="5"/>
        <v>Invalid Shipping Date</v>
      </c>
      <c r="AE824" s="16" t="str">
        <f t="shared" si="6"/>
        <v>Valid</v>
      </c>
      <c r="AF824" s="16" t="str">
        <f t="shared" ref="AF824:AG824" si="1659">IF(ISNUMBER(B824),"Valid","Invalid")</f>
        <v>Valid</v>
      </c>
      <c r="AG824" s="16" t="str">
        <f t="shared" si="1659"/>
        <v>Valid</v>
      </c>
      <c r="AH824" s="16" t="str">
        <f t="shared" ref="AH824:AI824" si="1660">IF(OR(B824="",ISBLANK(B824)),"Missing","Valid")</f>
        <v>Valid</v>
      </c>
      <c r="AI824" s="16" t="str">
        <f t="shared" si="1660"/>
        <v>Valid</v>
      </c>
      <c r="AJ824" s="16" t="b">
        <v>0</v>
      </c>
      <c r="AK824" s="16" t="b">
        <v>0</v>
      </c>
      <c r="AL824" s="16" t="b">
        <v>0</v>
      </c>
      <c r="AM824" s="16" t="b">
        <v>0</v>
      </c>
      <c r="AN824" s="16" t="b">
        <v>0</v>
      </c>
      <c r="AO824" s="16" t="b">
        <v>1</v>
      </c>
      <c r="AP824" s="16" t="b">
        <v>1</v>
      </c>
      <c r="AQ824" s="17">
        <f t="shared" si="9"/>
        <v>0.2</v>
      </c>
      <c r="AR824" s="12">
        <f t="shared" si="10"/>
        <v>10246.528</v>
      </c>
      <c r="AS824" s="18">
        <f t="shared" si="11"/>
        <v>2.0000000004074536E-3</v>
      </c>
      <c r="AT824" s="12">
        <f t="shared" si="12"/>
        <v>1612.1080000000002</v>
      </c>
      <c r="AU824" s="18">
        <f t="shared" si="13"/>
        <v>1.9999999997253326E-3</v>
      </c>
      <c r="AV824" s="19">
        <f t="shared" si="14"/>
        <v>0.15733212264681268</v>
      </c>
      <c r="AW824" s="20" t="str">
        <f t="shared" si="15"/>
        <v>October</v>
      </c>
      <c r="AX824" s="21">
        <f t="shared" si="16"/>
        <v>2024</v>
      </c>
    </row>
    <row r="825" spans="1:50" ht="15.75" customHeight="1">
      <c r="A825" s="10" t="s">
        <v>2571</v>
      </c>
      <c r="B825" s="11">
        <v>45663</v>
      </c>
      <c r="C825" s="11">
        <v>45669</v>
      </c>
      <c r="D825" s="10" t="s">
        <v>2572</v>
      </c>
      <c r="E825" s="10" t="s">
        <v>65</v>
      </c>
      <c r="F825" s="10" t="s">
        <v>124</v>
      </c>
      <c r="G825" s="10" t="s">
        <v>92</v>
      </c>
      <c r="H825" s="10" t="s">
        <v>219</v>
      </c>
      <c r="I825" s="10" t="s">
        <v>220</v>
      </c>
      <c r="J825" s="10" t="s">
        <v>57</v>
      </c>
      <c r="K825" s="10" t="s">
        <v>58</v>
      </c>
      <c r="L825" s="10" t="s">
        <v>2573</v>
      </c>
      <c r="M825" s="10" t="s">
        <v>73</v>
      </c>
      <c r="N825" s="12">
        <v>3</v>
      </c>
      <c r="O825" s="12">
        <v>668.33</v>
      </c>
      <c r="P825" s="12">
        <v>0.15</v>
      </c>
      <c r="Q825" s="12">
        <v>1704.24</v>
      </c>
      <c r="R825" s="12">
        <v>957.55</v>
      </c>
      <c r="S825" s="12">
        <v>746.69</v>
      </c>
      <c r="T825" s="10" t="s">
        <v>61</v>
      </c>
      <c r="U825" s="13" t="s">
        <v>62</v>
      </c>
      <c r="V825" s="14" t="e">
        <f t="shared" ca="1" si="0"/>
        <v>#NAME?</v>
      </c>
      <c r="W825" s="10" t="str">
        <f ca="1">IFERROR(__xludf.DUMMYFUNCTION("IF(COUNTIF($A:$A,A819)=1,
""Unique"",
IF(COUNTUNIQUE(FILTER($V$2:$V$934,$A$2:$A$934=A819))&gt;1,
""Conflicting Duplicate"",
""Exact Duplicate""))"),"Unique")</f>
        <v>Unique</v>
      </c>
      <c r="X825" s="10" t="b">
        <f t="shared" ca="1" si="1"/>
        <v>1</v>
      </c>
      <c r="Y825" s="10" t="str">
        <f t="shared" si="2"/>
        <v>Unique</v>
      </c>
      <c r="Z825" s="10"/>
      <c r="AA825" s="10" t="str">
        <f t="shared" si="3"/>
        <v>Clean</v>
      </c>
      <c r="AB825" s="15" t="str">
        <f t="shared" si="4"/>
        <v>Valid</v>
      </c>
      <c r="AC825" s="15">
        <v>6</v>
      </c>
      <c r="AD825" s="16" t="str">
        <f t="shared" si="5"/>
        <v>Valid</v>
      </c>
      <c r="AE825" s="16" t="str">
        <f t="shared" si="6"/>
        <v>Valid</v>
      </c>
      <c r="AF825" s="16" t="str">
        <f t="shared" ref="AF825:AG825" si="1661">IF(ISNUMBER(B825),"Valid","Invalid")</f>
        <v>Valid</v>
      </c>
      <c r="AG825" s="16" t="str">
        <f t="shared" si="1661"/>
        <v>Valid</v>
      </c>
      <c r="AH825" s="16" t="str">
        <f t="shared" ref="AH825:AI825" si="1662">IF(OR(B825="",ISBLANK(B825)),"Missing","Valid")</f>
        <v>Valid</v>
      </c>
      <c r="AI825" s="16" t="str">
        <f t="shared" si="1662"/>
        <v>Valid</v>
      </c>
      <c r="AJ825" s="16" t="b">
        <v>0</v>
      </c>
      <c r="AK825" s="16" t="b">
        <v>0</v>
      </c>
      <c r="AL825" s="16" t="b">
        <v>0</v>
      </c>
      <c r="AM825" s="16" t="b">
        <v>0</v>
      </c>
      <c r="AN825" s="16" t="b">
        <v>0</v>
      </c>
      <c r="AO825" s="16" t="b">
        <v>0</v>
      </c>
      <c r="AP825" s="16" t="b">
        <v>0</v>
      </c>
      <c r="AQ825" s="17">
        <f t="shared" si="9"/>
        <v>0.15</v>
      </c>
      <c r="AR825" s="12">
        <f t="shared" si="10"/>
        <v>1704.2415000000001</v>
      </c>
      <c r="AS825" s="18">
        <f t="shared" si="11"/>
        <v>-1.5000000000782165E-3</v>
      </c>
      <c r="AT825" s="12">
        <f t="shared" si="12"/>
        <v>746.69150000000013</v>
      </c>
      <c r="AU825" s="18">
        <f t="shared" si="13"/>
        <v>-1.5000000000782165E-3</v>
      </c>
      <c r="AV825" s="19">
        <f t="shared" si="14"/>
        <v>0.43813714194848563</v>
      </c>
      <c r="AW825" s="20" t="str">
        <f t="shared" si="15"/>
        <v>January</v>
      </c>
      <c r="AX825" s="21">
        <f t="shared" si="16"/>
        <v>2025</v>
      </c>
    </row>
    <row r="826" spans="1:50" ht="15.75" customHeight="1">
      <c r="A826" s="10" t="s">
        <v>2574</v>
      </c>
      <c r="B826" s="11">
        <v>45737</v>
      </c>
      <c r="C826" s="11">
        <v>45738</v>
      </c>
      <c r="D826" s="10" t="s">
        <v>2575</v>
      </c>
      <c r="E826" s="10" t="s">
        <v>143</v>
      </c>
      <c r="F826" s="10" t="s">
        <v>53</v>
      </c>
      <c r="G826" s="10" t="s">
        <v>92</v>
      </c>
      <c r="H826" s="10" t="s">
        <v>219</v>
      </c>
      <c r="I826" s="10" t="s">
        <v>220</v>
      </c>
      <c r="J826" s="10" t="s">
        <v>57</v>
      </c>
      <c r="K826" s="10" t="s">
        <v>58</v>
      </c>
      <c r="L826" s="10" t="s">
        <v>2576</v>
      </c>
      <c r="M826" s="10" t="s">
        <v>79</v>
      </c>
      <c r="N826" s="12">
        <v>8</v>
      </c>
      <c r="O826" s="12">
        <v>4436.74</v>
      </c>
      <c r="P826" s="12">
        <v>0.05</v>
      </c>
      <c r="Q826" s="12">
        <v>33719.22</v>
      </c>
      <c r="R826" s="12">
        <v>28924.43</v>
      </c>
      <c r="S826" s="12">
        <v>4794.79</v>
      </c>
      <c r="T826" s="10" t="s">
        <v>61</v>
      </c>
      <c r="U826" s="13" t="s">
        <v>62</v>
      </c>
      <c r="V826" s="14" t="e">
        <f t="shared" ca="1" si="0"/>
        <v>#NAME?</v>
      </c>
      <c r="W826" s="10" t="str">
        <f ca="1">IFERROR(__xludf.DUMMYFUNCTION("IF(COUNTIF($A:$A,A820)=1,
""Unique"",
IF(COUNTUNIQUE(FILTER($V$2:$V$934,$A$2:$A$934=A820))&gt;1,
""Conflicting Duplicate"",
""Exact Duplicate""))"),"Unique")</f>
        <v>Unique</v>
      </c>
      <c r="X826" s="10" t="b">
        <f t="shared" ca="1" si="1"/>
        <v>1</v>
      </c>
      <c r="Y826" s="10" t="str">
        <f t="shared" si="2"/>
        <v>Unique</v>
      </c>
      <c r="Z826" s="10"/>
      <c r="AA826" s="10" t="str">
        <f t="shared" si="3"/>
        <v>Clean</v>
      </c>
      <c r="AB826" s="15" t="str">
        <f t="shared" si="4"/>
        <v>Valid</v>
      </c>
      <c r="AC826" s="15">
        <v>1</v>
      </c>
      <c r="AD826" s="16" t="str">
        <f t="shared" si="5"/>
        <v>Valid</v>
      </c>
      <c r="AE826" s="16" t="str">
        <f t="shared" si="6"/>
        <v>Valid</v>
      </c>
      <c r="AF826" s="16" t="str">
        <f t="shared" ref="AF826:AG826" si="1663">IF(ISNUMBER(B826),"Valid","Invalid")</f>
        <v>Valid</v>
      </c>
      <c r="AG826" s="16" t="str">
        <f t="shared" si="1663"/>
        <v>Valid</v>
      </c>
      <c r="AH826" s="16" t="str">
        <f t="shared" ref="AH826:AI826" si="1664">IF(OR(B826="",ISBLANK(B826)),"Missing","Valid")</f>
        <v>Valid</v>
      </c>
      <c r="AI826" s="16" t="str">
        <f t="shared" si="1664"/>
        <v>Valid</v>
      </c>
      <c r="AJ826" s="16" t="b">
        <v>0</v>
      </c>
      <c r="AK826" s="16" t="b">
        <v>0</v>
      </c>
      <c r="AL826" s="16" t="b">
        <v>0</v>
      </c>
      <c r="AM826" s="16" t="b">
        <v>0</v>
      </c>
      <c r="AN826" s="16" t="b">
        <v>0</v>
      </c>
      <c r="AO826" s="16" t="b">
        <v>0</v>
      </c>
      <c r="AP826" s="16" t="b">
        <v>0</v>
      </c>
      <c r="AQ826" s="17">
        <f t="shared" si="9"/>
        <v>0.05</v>
      </c>
      <c r="AR826" s="12">
        <f t="shared" si="10"/>
        <v>33719.223999999995</v>
      </c>
      <c r="AS826" s="18">
        <f t="shared" si="11"/>
        <v>-3.9999999935389496E-3</v>
      </c>
      <c r="AT826" s="12">
        <f t="shared" si="12"/>
        <v>4794.7939999999944</v>
      </c>
      <c r="AU826" s="18">
        <f t="shared" si="13"/>
        <v>-3.9999999944484443E-3</v>
      </c>
      <c r="AV826" s="19">
        <f t="shared" si="14"/>
        <v>0.14219763776295669</v>
      </c>
      <c r="AW826" s="20" t="str">
        <f t="shared" si="15"/>
        <v>March</v>
      </c>
      <c r="AX826" s="21">
        <f t="shared" si="16"/>
        <v>2025</v>
      </c>
    </row>
    <row r="827" spans="1:50" ht="15.75" customHeight="1">
      <c r="A827" s="10" t="s">
        <v>2577</v>
      </c>
      <c r="B827" s="11">
        <v>45763</v>
      </c>
      <c r="C827" s="11">
        <v>45764</v>
      </c>
      <c r="D827" s="10" t="s">
        <v>2578</v>
      </c>
      <c r="E827" s="10" t="s">
        <v>100</v>
      </c>
      <c r="F827" s="10" t="s">
        <v>66</v>
      </c>
      <c r="G827" s="10" t="s">
        <v>54</v>
      </c>
      <c r="H827" s="10" t="s">
        <v>165</v>
      </c>
      <c r="I827" s="10" t="s">
        <v>166</v>
      </c>
      <c r="J827" s="10" t="s">
        <v>103</v>
      </c>
      <c r="K827" s="10" t="s">
        <v>304</v>
      </c>
      <c r="L827" s="10" t="s">
        <v>2579</v>
      </c>
      <c r="M827" s="10" t="s">
        <v>79</v>
      </c>
      <c r="N827" s="12">
        <v>1</v>
      </c>
      <c r="O827" s="12">
        <v>2720.17</v>
      </c>
      <c r="P827" s="12">
        <v>0</v>
      </c>
      <c r="Q827" s="12">
        <v>2720.17</v>
      </c>
      <c r="R827" s="12">
        <v>1834.23</v>
      </c>
      <c r="S827" s="12">
        <v>885.94</v>
      </c>
      <c r="T827" s="10" t="s">
        <v>61</v>
      </c>
      <c r="U827" s="13" t="s">
        <v>62</v>
      </c>
      <c r="V827" s="14" t="e">
        <f t="shared" ca="1" si="0"/>
        <v>#NAME?</v>
      </c>
      <c r="W827" s="10" t="str">
        <f ca="1">IFERROR(__xludf.DUMMYFUNCTION("IF(COUNTIF($A:$A,A821)=1,
""Unique"",
IF(COUNTUNIQUE(FILTER($V$2:$V$934,$A$2:$A$934=A821))&gt;1,
""Conflicting Duplicate"",
""Exact Duplicate""))"),"Unique")</f>
        <v>Unique</v>
      </c>
      <c r="X827" s="10" t="b">
        <f t="shared" ca="1" si="1"/>
        <v>1</v>
      </c>
      <c r="Y827" s="10" t="str">
        <f t="shared" si="2"/>
        <v>Unique</v>
      </c>
      <c r="Z827" s="10"/>
      <c r="AA827" s="10" t="str">
        <f t="shared" si="3"/>
        <v>Clean</v>
      </c>
      <c r="AB827" s="15" t="str">
        <f t="shared" si="4"/>
        <v>Valid</v>
      </c>
      <c r="AC827" s="15">
        <v>1</v>
      </c>
      <c r="AD827" s="16" t="str">
        <f t="shared" si="5"/>
        <v>Valid</v>
      </c>
      <c r="AE827" s="16" t="str">
        <f t="shared" si="6"/>
        <v>Valid</v>
      </c>
      <c r="AF827" s="16" t="str">
        <f t="shared" ref="AF827:AG827" si="1665">IF(ISNUMBER(B827),"Valid","Invalid")</f>
        <v>Valid</v>
      </c>
      <c r="AG827" s="16" t="str">
        <f t="shared" si="1665"/>
        <v>Valid</v>
      </c>
      <c r="AH827" s="16" t="str">
        <f t="shared" ref="AH827:AI827" si="1666">IF(OR(B827="",ISBLANK(B827)),"Missing","Valid")</f>
        <v>Valid</v>
      </c>
      <c r="AI827" s="16" t="str">
        <f t="shared" si="1666"/>
        <v>Valid</v>
      </c>
      <c r="AJ827" s="16" t="b">
        <v>0</v>
      </c>
      <c r="AK827" s="16" t="b">
        <v>0</v>
      </c>
      <c r="AL827" s="16" t="b">
        <v>0</v>
      </c>
      <c r="AM827" s="16" t="b">
        <v>0</v>
      </c>
      <c r="AN827" s="16" t="b">
        <v>0</v>
      </c>
      <c r="AO827" s="16" t="b">
        <v>0</v>
      </c>
      <c r="AP827" s="16" t="b">
        <v>0</v>
      </c>
      <c r="AQ827" s="17">
        <f t="shared" si="9"/>
        <v>0</v>
      </c>
      <c r="AR827" s="12">
        <f t="shared" si="10"/>
        <v>2720.17</v>
      </c>
      <c r="AS827" s="18">
        <f t="shared" si="11"/>
        <v>0</v>
      </c>
      <c r="AT827" s="12">
        <f t="shared" si="12"/>
        <v>885.94</v>
      </c>
      <c r="AU827" s="18">
        <f t="shared" si="13"/>
        <v>0</v>
      </c>
      <c r="AV827" s="19">
        <f t="shared" si="14"/>
        <v>0.3256928794891496</v>
      </c>
      <c r="AW827" s="20" t="str">
        <f t="shared" si="15"/>
        <v>April</v>
      </c>
      <c r="AX827" s="21">
        <f t="shared" si="16"/>
        <v>2025</v>
      </c>
    </row>
    <row r="828" spans="1:50" ht="15.75" customHeight="1">
      <c r="A828" s="10" t="s">
        <v>2580</v>
      </c>
      <c r="B828" s="11">
        <v>45879</v>
      </c>
      <c r="C828" s="11">
        <v>45883</v>
      </c>
      <c r="D828" s="10" t="s">
        <v>2581</v>
      </c>
      <c r="E828" s="10" t="s">
        <v>118</v>
      </c>
      <c r="F828" s="10" t="s">
        <v>53</v>
      </c>
      <c r="G828" s="10" t="s">
        <v>92</v>
      </c>
      <c r="H828" s="10" t="s">
        <v>55</v>
      </c>
      <c r="I828" s="10" t="s">
        <v>138</v>
      </c>
      <c r="J828" s="10" t="s">
        <v>103</v>
      </c>
      <c r="K828" s="10" t="s">
        <v>104</v>
      </c>
      <c r="L828" s="10" t="s">
        <v>2582</v>
      </c>
      <c r="M828" s="10" t="s">
        <v>88</v>
      </c>
      <c r="N828" s="12">
        <v>5</v>
      </c>
      <c r="O828" s="12">
        <v>2190.14</v>
      </c>
      <c r="P828" s="12">
        <v>0.25</v>
      </c>
      <c r="Q828" s="12">
        <v>8213.02</v>
      </c>
      <c r="R828" s="12">
        <v>5569.3</v>
      </c>
      <c r="S828" s="12">
        <v>2643.72</v>
      </c>
      <c r="T828" s="10" t="s">
        <v>61</v>
      </c>
      <c r="U828" s="13" t="s">
        <v>62</v>
      </c>
      <c r="V828" s="14" t="e">
        <f t="shared" ca="1" si="0"/>
        <v>#NAME?</v>
      </c>
      <c r="W828" s="10" t="str">
        <f ca="1">IFERROR(__xludf.DUMMYFUNCTION("IF(COUNTIF($A:$A,A822)=1,
""Unique"",
IF(COUNTUNIQUE(FILTER($V$2:$V$934,$A$2:$A$934=A822))&gt;1,
""Conflicting Duplicate"",
""Exact Duplicate""))"),"Unique")</f>
        <v>Unique</v>
      </c>
      <c r="X828" s="10" t="b">
        <f t="shared" ca="1" si="1"/>
        <v>1</v>
      </c>
      <c r="Y828" s="10" t="str">
        <f t="shared" si="2"/>
        <v>Unique</v>
      </c>
      <c r="Z828" s="10"/>
      <c r="AA828" s="10" t="str">
        <f t="shared" si="3"/>
        <v>Clean</v>
      </c>
      <c r="AB828" s="15" t="str">
        <f t="shared" si="4"/>
        <v>Valid</v>
      </c>
      <c r="AC828" s="15">
        <v>4</v>
      </c>
      <c r="AD828" s="16" t="str">
        <f t="shared" si="5"/>
        <v>Valid</v>
      </c>
      <c r="AE828" s="16" t="str">
        <f t="shared" si="6"/>
        <v>Valid</v>
      </c>
      <c r="AF828" s="16" t="str">
        <f t="shared" ref="AF828:AG828" si="1667">IF(ISNUMBER(B828),"Valid","Invalid")</f>
        <v>Valid</v>
      </c>
      <c r="AG828" s="16" t="str">
        <f t="shared" si="1667"/>
        <v>Valid</v>
      </c>
      <c r="AH828" s="16" t="str">
        <f t="shared" ref="AH828:AI828" si="1668">IF(OR(B828="",ISBLANK(B828)),"Missing","Valid")</f>
        <v>Valid</v>
      </c>
      <c r="AI828" s="16" t="str">
        <f t="shared" si="1668"/>
        <v>Valid</v>
      </c>
      <c r="AJ828" s="16" t="b">
        <v>0</v>
      </c>
      <c r="AK828" s="16" t="b">
        <v>0</v>
      </c>
      <c r="AL828" s="16" t="b">
        <v>0</v>
      </c>
      <c r="AM828" s="16" t="b">
        <v>0</v>
      </c>
      <c r="AN828" s="16" t="b">
        <v>0</v>
      </c>
      <c r="AO828" s="16" t="b">
        <v>0</v>
      </c>
      <c r="AP828" s="16" t="b">
        <v>0</v>
      </c>
      <c r="AQ828" s="17">
        <f t="shared" si="9"/>
        <v>0.25</v>
      </c>
      <c r="AR828" s="12">
        <f t="shared" si="10"/>
        <v>8213.0249999999996</v>
      </c>
      <c r="AS828" s="18">
        <f t="shared" si="11"/>
        <v>-4.9999999991996447E-3</v>
      </c>
      <c r="AT828" s="12">
        <f t="shared" si="12"/>
        <v>2643.7249999999995</v>
      </c>
      <c r="AU828" s="18">
        <f t="shared" si="13"/>
        <v>-4.999999999654392E-3</v>
      </c>
      <c r="AV828" s="19">
        <f t="shared" si="14"/>
        <v>0.32189418636860345</v>
      </c>
      <c r="AW828" s="20" t="str">
        <f t="shared" si="15"/>
        <v>August</v>
      </c>
      <c r="AX828" s="21">
        <f t="shared" si="16"/>
        <v>2025</v>
      </c>
    </row>
    <row r="829" spans="1:50" ht="15.75" customHeight="1">
      <c r="A829" s="10" t="s">
        <v>2583</v>
      </c>
      <c r="B829" s="11">
        <v>45620</v>
      </c>
      <c r="C829" s="11">
        <v>45627</v>
      </c>
      <c r="D829" s="10" t="s">
        <v>2584</v>
      </c>
      <c r="E829" s="10" t="s">
        <v>143</v>
      </c>
      <c r="F829" s="10" t="s">
        <v>124</v>
      </c>
      <c r="G829" s="10" t="s">
        <v>83</v>
      </c>
      <c r="H829" s="10" t="s">
        <v>277</v>
      </c>
      <c r="I829" s="10" t="s">
        <v>278</v>
      </c>
      <c r="J829" s="10" t="s">
        <v>57</v>
      </c>
      <c r="K829" s="10" t="s">
        <v>58</v>
      </c>
      <c r="L829" s="10" t="s">
        <v>2585</v>
      </c>
      <c r="M829" s="10" t="s">
        <v>73</v>
      </c>
      <c r="N829" s="12">
        <v>1</v>
      </c>
      <c r="O829" s="12">
        <v>844.89</v>
      </c>
      <c r="P829" s="12">
        <v>0.25</v>
      </c>
      <c r="Q829" s="12">
        <v>633.66999999999996</v>
      </c>
      <c r="R829" s="12">
        <v>520.47</v>
      </c>
      <c r="S829" s="12">
        <v>113.2</v>
      </c>
      <c r="T829" s="10" t="s">
        <v>61</v>
      </c>
      <c r="U829" s="13" t="s">
        <v>97</v>
      </c>
      <c r="V829" s="14" t="e">
        <f t="shared" ca="1" si="0"/>
        <v>#NAME?</v>
      </c>
      <c r="W829" s="10" t="str">
        <f ca="1">IFERROR(__xludf.DUMMYFUNCTION("IF(COUNTIF($A:$A,A823)=1,
""Unique"",
IF(COUNTUNIQUE(FILTER($V$2:$V$934,$A$2:$A$934=A823))&gt;1,
""Conflicting Duplicate"",
""Exact Duplicate""))"),"Unique")</f>
        <v>Unique</v>
      </c>
      <c r="X829" s="10" t="b">
        <f t="shared" ca="1" si="1"/>
        <v>1</v>
      </c>
      <c r="Y829" s="10" t="str">
        <f t="shared" si="2"/>
        <v>Unique</v>
      </c>
      <c r="Z829" s="10"/>
      <c r="AA829" s="10" t="str">
        <f t="shared" si="3"/>
        <v>Clean</v>
      </c>
      <c r="AB829" s="15" t="str">
        <f t="shared" si="4"/>
        <v>Valid</v>
      </c>
      <c r="AC829" s="15">
        <v>7</v>
      </c>
      <c r="AD829" s="16" t="str">
        <f t="shared" si="5"/>
        <v>Valid</v>
      </c>
      <c r="AE829" s="16" t="str">
        <f t="shared" si="6"/>
        <v>Valid</v>
      </c>
      <c r="AF829" s="16" t="str">
        <f t="shared" ref="AF829:AG829" si="1669">IF(ISNUMBER(B829),"Valid","Invalid")</f>
        <v>Valid</v>
      </c>
      <c r="AG829" s="16" t="str">
        <f t="shared" si="1669"/>
        <v>Valid</v>
      </c>
      <c r="AH829" s="16" t="str">
        <f t="shared" ref="AH829:AI829" si="1670">IF(OR(B829="",ISBLANK(B829)),"Missing","Valid")</f>
        <v>Valid</v>
      </c>
      <c r="AI829" s="16" t="str">
        <f t="shared" si="1670"/>
        <v>Valid</v>
      </c>
      <c r="AJ829" s="16" t="b">
        <v>0</v>
      </c>
      <c r="AK829" s="16" t="b">
        <v>0</v>
      </c>
      <c r="AL829" s="16" t="b">
        <v>0</v>
      </c>
      <c r="AM829" s="16" t="b">
        <v>0</v>
      </c>
      <c r="AN829" s="16" t="b">
        <v>0</v>
      </c>
      <c r="AO829" s="16" t="b">
        <v>0</v>
      </c>
      <c r="AP829" s="16" t="b">
        <v>0</v>
      </c>
      <c r="AQ829" s="17">
        <f t="shared" si="9"/>
        <v>0.25</v>
      </c>
      <c r="AR829" s="12">
        <f t="shared" si="10"/>
        <v>633.66750000000002</v>
      </c>
      <c r="AS829" s="18">
        <f t="shared" si="11"/>
        <v>2.4999999999408828E-3</v>
      </c>
      <c r="AT829" s="12">
        <f t="shared" si="12"/>
        <v>113.19749999999999</v>
      </c>
      <c r="AU829" s="18">
        <f t="shared" si="13"/>
        <v>2.5000000000119371E-3</v>
      </c>
      <c r="AV829" s="19">
        <f t="shared" si="14"/>
        <v>0.17863863934950111</v>
      </c>
      <c r="AW829" s="20" t="str">
        <f t="shared" si="15"/>
        <v>November</v>
      </c>
      <c r="AX829" s="21">
        <f t="shared" si="16"/>
        <v>2024</v>
      </c>
    </row>
    <row r="830" spans="1:50" ht="15.75" customHeight="1">
      <c r="A830" s="10" t="s">
        <v>2586</v>
      </c>
      <c r="B830" s="11">
        <v>45940</v>
      </c>
      <c r="C830" s="11">
        <v>45941</v>
      </c>
      <c r="D830" s="10" t="s">
        <v>2587</v>
      </c>
      <c r="E830" s="10" t="s">
        <v>52</v>
      </c>
      <c r="F830" s="10" t="s">
        <v>119</v>
      </c>
      <c r="G830" s="10" t="s">
        <v>67</v>
      </c>
      <c r="H830" s="10" t="s">
        <v>68</v>
      </c>
      <c r="I830" s="10" t="s">
        <v>69</v>
      </c>
      <c r="J830" s="10" t="s">
        <v>70</v>
      </c>
      <c r="K830" s="10" t="s">
        <v>95</v>
      </c>
      <c r="L830" s="10" t="s">
        <v>2588</v>
      </c>
      <c r="M830" s="10" t="s">
        <v>60</v>
      </c>
      <c r="N830" s="12">
        <v>7</v>
      </c>
      <c r="O830" s="12">
        <v>3791.96</v>
      </c>
      <c r="P830" s="12">
        <v>0.05</v>
      </c>
      <c r="Q830" s="12">
        <v>25216.53</v>
      </c>
      <c r="R830" s="12">
        <v>14216.94</v>
      </c>
      <c r="S830" s="12">
        <v>10999.59</v>
      </c>
      <c r="T830" s="10" t="s">
        <v>184</v>
      </c>
      <c r="U830" s="13" t="s">
        <v>97</v>
      </c>
      <c r="V830" s="14" t="e">
        <f t="shared" ca="1" si="0"/>
        <v>#NAME?</v>
      </c>
      <c r="W830" s="10" t="str">
        <f ca="1">IFERROR(__xludf.DUMMYFUNCTION("IF(COUNTIF($A:$A,A824)=1,
""Unique"",
IF(COUNTUNIQUE(FILTER($V$2:$V$934,$A$2:$A$934=A824))&gt;1,
""Conflicting Duplicate"",
""Exact Duplicate""))"),"Unique")</f>
        <v>Unique</v>
      </c>
      <c r="X830" s="10" t="b">
        <f t="shared" ca="1" si="1"/>
        <v>1</v>
      </c>
      <c r="Y830" s="10" t="str">
        <f t="shared" si="2"/>
        <v>Unique</v>
      </c>
      <c r="Z830" s="10"/>
      <c r="AA830" s="10" t="str">
        <f t="shared" si="3"/>
        <v>Clean</v>
      </c>
      <c r="AB830" s="15" t="str">
        <f t="shared" si="4"/>
        <v>Valid</v>
      </c>
      <c r="AC830" s="15">
        <v>1</v>
      </c>
      <c r="AD830" s="16" t="str">
        <f t="shared" si="5"/>
        <v>Valid</v>
      </c>
      <c r="AE830" s="16" t="str">
        <f t="shared" si="6"/>
        <v>Valid</v>
      </c>
      <c r="AF830" s="16" t="str">
        <f t="shared" ref="AF830:AG830" si="1671">IF(ISNUMBER(B830),"Valid","Invalid")</f>
        <v>Valid</v>
      </c>
      <c r="AG830" s="16" t="str">
        <f t="shared" si="1671"/>
        <v>Valid</v>
      </c>
      <c r="AH830" s="16" t="str">
        <f t="shared" ref="AH830:AI830" si="1672">IF(OR(B830="",ISBLANK(B830)),"Missing","Valid")</f>
        <v>Valid</v>
      </c>
      <c r="AI830" s="16" t="str">
        <f t="shared" si="1672"/>
        <v>Valid</v>
      </c>
      <c r="AJ830" s="16" t="b">
        <v>0</v>
      </c>
      <c r="AK830" s="16" t="b">
        <v>0</v>
      </c>
      <c r="AL830" s="16" t="b">
        <v>0</v>
      </c>
      <c r="AM830" s="16" t="b">
        <v>0</v>
      </c>
      <c r="AN830" s="16" t="b">
        <v>0</v>
      </c>
      <c r="AO830" s="16" t="b">
        <v>0</v>
      </c>
      <c r="AP830" s="16" t="b">
        <v>0</v>
      </c>
      <c r="AQ830" s="17">
        <f t="shared" si="9"/>
        <v>0.05</v>
      </c>
      <c r="AR830" s="12">
        <f t="shared" si="10"/>
        <v>25216.534</v>
      </c>
      <c r="AS830" s="18">
        <f t="shared" si="11"/>
        <v>-4.0000000008149073E-3</v>
      </c>
      <c r="AT830" s="12">
        <f t="shared" si="12"/>
        <v>10999.593999999999</v>
      </c>
      <c r="AU830" s="18">
        <f t="shared" si="13"/>
        <v>-3.9999999989959178E-3</v>
      </c>
      <c r="AV830" s="19">
        <f t="shared" si="14"/>
        <v>0.4362056260388521</v>
      </c>
      <c r="AW830" s="20" t="str">
        <f t="shared" si="15"/>
        <v>October</v>
      </c>
      <c r="AX830" s="21">
        <f t="shared" si="16"/>
        <v>2025</v>
      </c>
    </row>
    <row r="831" spans="1:50" ht="15.75" customHeight="1">
      <c r="A831" s="10" t="s">
        <v>2589</v>
      </c>
      <c r="B831" s="11">
        <v>45348</v>
      </c>
      <c r="C831" s="11">
        <v>45350</v>
      </c>
      <c r="D831" s="10" t="s">
        <v>2590</v>
      </c>
      <c r="E831" s="10" t="s">
        <v>118</v>
      </c>
      <c r="F831" s="10" t="s">
        <v>66</v>
      </c>
      <c r="G831" s="10" t="s">
        <v>92</v>
      </c>
      <c r="H831" s="10" t="s">
        <v>219</v>
      </c>
      <c r="I831" s="10" t="s">
        <v>220</v>
      </c>
      <c r="J831" s="10" t="s">
        <v>70</v>
      </c>
      <c r="K831" s="10" t="s">
        <v>86</v>
      </c>
      <c r="L831" s="10" t="s">
        <v>2591</v>
      </c>
      <c r="M831" s="10" t="s">
        <v>60</v>
      </c>
      <c r="N831" s="12">
        <v>7</v>
      </c>
      <c r="O831" s="12">
        <v>1035.1400000000001</v>
      </c>
      <c r="P831" s="12">
        <v>0.1</v>
      </c>
      <c r="Q831" s="12">
        <v>6521.38</v>
      </c>
      <c r="R831" s="12">
        <v>4511.1000000000004</v>
      </c>
      <c r="S831" s="12">
        <v>2010.28</v>
      </c>
      <c r="T831" s="10" t="s">
        <v>61</v>
      </c>
      <c r="U831" s="13" t="s">
        <v>62</v>
      </c>
      <c r="V831" s="14" t="e">
        <f t="shared" ca="1" si="0"/>
        <v>#NAME?</v>
      </c>
      <c r="W831" s="10" t="str">
        <f ca="1">IFERROR(__xludf.DUMMYFUNCTION("IF(COUNTIF($A:$A,A825)=1,
""Unique"",
IF(COUNTUNIQUE(FILTER($V$2:$V$934,$A$2:$A$934=A825))&gt;1,
""Conflicting Duplicate"",
""Exact Duplicate""))"),"Unique")</f>
        <v>Unique</v>
      </c>
      <c r="X831" s="10" t="b">
        <f t="shared" ca="1" si="1"/>
        <v>1</v>
      </c>
      <c r="Y831" s="10" t="str">
        <f t="shared" si="2"/>
        <v>Unique</v>
      </c>
      <c r="Z831" s="10"/>
      <c r="AA831" s="10" t="str">
        <f t="shared" si="3"/>
        <v>Clean</v>
      </c>
      <c r="AB831" s="15" t="str">
        <f t="shared" si="4"/>
        <v>Valid</v>
      </c>
      <c r="AC831" s="15">
        <v>2</v>
      </c>
      <c r="AD831" s="16" t="str">
        <f t="shared" si="5"/>
        <v>Valid</v>
      </c>
      <c r="AE831" s="16" t="str">
        <f t="shared" si="6"/>
        <v>Valid</v>
      </c>
      <c r="AF831" s="16" t="str">
        <f t="shared" ref="AF831:AG831" si="1673">IF(ISNUMBER(B831),"Valid","Invalid")</f>
        <v>Valid</v>
      </c>
      <c r="AG831" s="16" t="str">
        <f t="shared" si="1673"/>
        <v>Valid</v>
      </c>
      <c r="AH831" s="16" t="str">
        <f t="shared" ref="AH831:AI831" si="1674">IF(OR(B831="",ISBLANK(B831)),"Missing","Valid")</f>
        <v>Valid</v>
      </c>
      <c r="AI831" s="16" t="str">
        <f t="shared" si="1674"/>
        <v>Valid</v>
      </c>
      <c r="AJ831" s="16" t="b">
        <v>0</v>
      </c>
      <c r="AK831" s="16" t="b">
        <v>0</v>
      </c>
      <c r="AL831" s="16" t="b">
        <v>0</v>
      </c>
      <c r="AM831" s="16" t="b">
        <v>0</v>
      </c>
      <c r="AN831" s="16" t="b">
        <v>0</v>
      </c>
      <c r="AO831" s="16" t="b">
        <v>0</v>
      </c>
      <c r="AP831" s="16" t="b">
        <v>0</v>
      </c>
      <c r="AQ831" s="17">
        <f t="shared" si="9"/>
        <v>0.1</v>
      </c>
      <c r="AR831" s="12">
        <f t="shared" si="10"/>
        <v>6521.3820000000005</v>
      </c>
      <c r="AS831" s="18">
        <f t="shared" si="11"/>
        <v>-2.0000000004074536E-3</v>
      </c>
      <c r="AT831" s="12">
        <f t="shared" si="12"/>
        <v>2010.2820000000002</v>
      </c>
      <c r="AU831" s="18">
        <f t="shared" si="13"/>
        <v>-2.00000000018008E-3</v>
      </c>
      <c r="AV831" s="19">
        <f t="shared" si="14"/>
        <v>0.30826012032418892</v>
      </c>
      <c r="AW831" s="20" t="str">
        <f t="shared" si="15"/>
        <v>February</v>
      </c>
      <c r="AX831" s="21">
        <f t="shared" si="16"/>
        <v>2024</v>
      </c>
    </row>
    <row r="832" spans="1:50" ht="15.75" customHeight="1">
      <c r="A832" s="10" t="s">
        <v>2592</v>
      </c>
      <c r="B832" s="11">
        <v>45853</v>
      </c>
      <c r="C832" s="11">
        <v>45856</v>
      </c>
      <c r="D832" s="10" t="s">
        <v>2593</v>
      </c>
      <c r="E832" s="10" t="s">
        <v>118</v>
      </c>
      <c r="F832" s="10" t="s">
        <v>66</v>
      </c>
      <c r="G832" s="10" t="s">
        <v>234</v>
      </c>
      <c r="H832" s="10" t="s">
        <v>277</v>
      </c>
      <c r="I832" s="10" t="s">
        <v>278</v>
      </c>
      <c r="J832" s="10" t="s">
        <v>103</v>
      </c>
      <c r="K832" s="10" t="s">
        <v>304</v>
      </c>
      <c r="L832" s="10" t="s">
        <v>2594</v>
      </c>
      <c r="M832" s="10" t="s">
        <v>79</v>
      </c>
      <c r="N832" s="12">
        <v>6</v>
      </c>
      <c r="O832" s="12">
        <v>2382.88</v>
      </c>
      <c r="P832" s="12">
        <v>0.1</v>
      </c>
      <c r="Q832" s="12">
        <v>12867.55</v>
      </c>
      <c r="R832" s="12">
        <v>10068.94</v>
      </c>
      <c r="S832" s="12">
        <v>2798.61</v>
      </c>
      <c r="T832" s="10" t="s">
        <v>61</v>
      </c>
      <c r="U832" s="13" t="s">
        <v>62</v>
      </c>
      <c r="V832" s="14" t="e">
        <f t="shared" ca="1" si="0"/>
        <v>#NAME?</v>
      </c>
      <c r="W832" s="10" t="str">
        <f ca="1">IFERROR(__xludf.DUMMYFUNCTION("IF(COUNTIF($A:$A,A826)=1,
""Unique"",
IF(COUNTUNIQUE(FILTER($V$2:$V$934,$A$2:$A$934=A826))&gt;1,
""Conflicting Duplicate"",
""Exact Duplicate""))"),"Unique")</f>
        <v>Unique</v>
      </c>
      <c r="X832" s="10" t="b">
        <f t="shared" ca="1" si="1"/>
        <v>1</v>
      </c>
      <c r="Y832" s="10" t="str">
        <f t="shared" si="2"/>
        <v>Unique</v>
      </c>
      <c r="Z832" s="10"/>
      <c r="AA832" s="10" t="str">
        <f t="shared" si="3"/>
        <v>Warning</v>
      </c>
      <c r="AB832" s="15" t="str">
        <f t="shared" si="4"/>
        <v>Valid</v>
      </c>
      <c r="AC832" s="15">
        <v>3</v>
      </c>
      <c r="AD832" s="16" t="str">
        <f t="shared" si="5"/>
        <v>Valid</v>
      </c>
      <c r="AE832" s="16" t="str">
        <f t="shared" si="6"/>
        <v>Valid</v>
      </c>
      <c r="AF832" s="16" t="str">
        <f t="shared" ref="AF832:AG832" si="1675">IF(ISNUMBER(B832),"Valid","Invalid")</f>
        <v>Valid</v>
      </c>
      <c r="AG832" s="16" t="str">
        <f t="shared" si="1675"/>
        <v>Valid</v>
      </c>
      <c r="AH832" s="16" t="str">
        <f t="shared" ref="AH832:AI832" si="1676">IF(OR(B832="",ISBLANK(B832)),"Missing","Valid")</f>
        <v>Valid</v>
      </c>
      <c r="AI832" s="16" t="str">
        <f t="shared" si="1676"/>
        <v>Valid</v>
      </c>
      <c r="AJ832" s="16" t="b">
        <v>1</v>
      </c>
      <c r="AK832" s="16" t="b">
        <v>0</v>
      </c>
      <c r="AL832" s="16" t="b">
        <v>0</v>
      </c>
      <c r="AM832" s="16" t="b">
        <v>0</v>
      </c>
      <c r="AN832" s="16" t="b">
        <v>0</v>
      </c>
      <c r="AO832" s="16" t="b">
        <v>0</v>
      </c>
      <c r="AP832" s="16" t="b">
        <v>1</v>
      </c>
      <c r="AQ832" s="17">
        <f t="shared" si="9"/>
        <v>0.1</v>
      </c>
      <c r="AR832" s="12">
        <f t="shared" si="10"/>
        <v>12867.552000000001</v>
      </c>
      <c r="AS832" s="18">
        <f t="shared" si="11"/>
        <v>-2.000000002226443E-3</v>
      </c>
      <c r="AT832" s="12">
        <f t="shared" si="12"/>
        <v>2798.612000000001</v>
      </c>
      <c r="AU832" s="18">
        <f t="shared" si="13"/>
        <v>-2.000000000862201E-3</v>
      </c>
      <c r="AV832" s="19">
        <f t="shared" si="14"/>
        <v>0.21749373929089236</v>
      </c>
      <c r="AW832" s="20" t="str">
        <f t="shared" si="15"/>
        <v>July</v>
      </c>
      <c r="AX832" s="21">
        <f t="shared" si="16"/>
        <v>2025</v>
      </c>
    </row>
    <row r="833" spans="1:50" ht="15.75" customHeight="1">
      <c r="A833" s="10" t="s">
        <v>2595</v>
      </c>
      <c r="B833" s="11">
        <v>45750</v>
      </c>
      <c r="C833" s="11">
        <v>45750</v>
      </c>
      <c r="D833" s="10" t="s">
        <v>2596</v>
      </c>
      <c r="E833" s="10" t="s">
        <v>191</v>
      </c>
      <c r="F833" s="10" t="s">
        <v>124</v>
      </c>
      <c r="G833" s="10" t="s">
        <v>234</v>
      </c>
      <c r="H833" s="10" t="s">
        <v>266</v>
      </c>
      <c r="I833" s="10" t="s">
        <v>267</v>
      </c>
      <c r="J833" s="10" t="s">
        <v>70</v>
      </c>
      <c r="K833" s="10" t="s">
        <v>95</v>
      </c>
      <c r="L833" s="10" t="s">
        <v>2597</v>
      </c>
      <c r="M833" s="10" t="s">
        <v>79</v>
      </c>
      <c r="N833" s="12">
        <v>9</v>
      </c>
      <c r="O833" s="12">
        <v>3462.7</v>
      </c>
      <c r="P833" s="12">
        <v>0.15</v>
      </c>
      <c r="Q833" s="12">
        <v>26489.65</v>
      </c>
      <c r="R833" s="12">
        <v>15818.46</v>
      </c>
      <c r="S833" s="12">
        <v>10671.19</v>
      </c>
      <c r="T833" s="10" t="s">
        <v>184</v>
      </c>
      <c r="U833" s="13" t="s">
        <v>132</v>
      </c>
      <c r="V833" s="14" t="e">
        <f t="shared" ca="1" si="0"/>
        <v>#NAME?</v>
      </c>
      <c r="W833" s="10" t="str">
        <f ca="1">IFERROR(__xludf.DUMMYFUNCTION("IF(COUNTIF($A:$A,A827)=1,
""Unique"",
IF(COUNTUNIQUE(FILTER($V$2:$V$934,$A$2:$A$934=A827))&gt;1,
""Conflicting Duplicate"",
""Exact Duplicate""))"),"Unique")</f>
        <v>Unique</v>
      </c>
      <c r="X833" s="10" t="b">
        <f t="shared" ca="1" si="1"/>
        <v>1</v>
      </c>
      <c r="Y833" s="10" t="str">
        <f t="shared" si="2"/>
        <v>Unique</v>
      </c>
      <c r="Z833" s="10"/>
      <c r="AA833" s="10" t="str">
        <f t="shared" si="3"/>
        <v>Warning</v>
      </c>
      <c r="AB833" s="15" t="str">
        <f t="shared" si="4"/>
        <v>Valid</v>
      </c>
      <c r="AC833" s="15">
        <v>0</v>
      </c>
      <c r="AD833" s="16" t="str">
        <f t="shared" si="5"/>
        <v>Valid</v>
      </c>
      <c r="AE833" s="16" t="str">
        <f t="shared" si="6"/>
        <v>Valid</v>
      </c>
      <c r="AF833" s="16" t="str">
        <f t="shared" ref="AF833:AG833" si="1677">IF(ISNUMBER(B833),"Valid","Invalid")</f>
        <v>Valid</v>
      </c>
      <c r="AG833" s="16" t="str">
        <f t="shared" si="1677"/>
        <v>Valid</v>
      </c>
      <c r="AH833" s="16" t="str">
        <f t="shared" ref="AH833:AI833" si="1678">IF(OR(B833="",ISBLANK(B833)),"Missing","Valid")</f>
        <v>Valid</v>
      </c>
      <c r="AI833" s="16" t="str">
        <f t="shared" si="1678"/>
        <v>Valid</v>
      </c>
      <c r="AJ833" s="16" t="b">
        <v>1</v>
      </c>
      <c r="AK833" s="16" t="b">
        <v>0</v>
      </c>
      <c r="AL833" s="16" t="b">
        <v>0</v>
      </c>
      <c r="AM833" s="16" t="b">
        <v>0</v>
      </c>
      <c r="AN833" s="16" t="b">
        <v>0</v>
      </c>
      <c r="AO833" s="16" t="b">
        <v>0</v>
      </c>
      <c r="AP833" s="16" t="b">
        <v>1</v>
      </c>
      <c r="AQ833" s="17">
        <f t="shared" si="9"/>
        <v>0.15</v>
      </c>
      <c r="AR833" s="12">
        <f t="shared" si="10"/>
        <v>26489.654999999999</v>
      </c>
      <c r="AS833" s="18">
        <f t="shared" si="11"/>
        <v>-4.9999999973806553E-3</v>
      </c>
      <c r="AT833" s="12">
        <f t="shared" si="12"/>
        <v>10671.195</v>
      </c>
      <c r="AU833" s="18">
        <f t="shared" si="13"/>
        <v>-4.9999999991996447E-3</v>
      </c>
      <c r="AV833" s="19">
        <f t="shared" si="14"/>
        <v>0.40284386489744772</v>
      </c>
      <c r="AW833" s="20" t="str">
        <f t="shared" si="15"/>
        <v>April</v>
      </c>
      <c r="AX833" s="21">
        <f t="shared" si="16"/>
        <v>2025</v>
      </c>
    </row>
    <row r="834" spans="1:50" ht="15.75" customHeight="1">
      <c r="A834" s="10" t="s">
        <v>2598</v>
      </c>
      <c r="B834" s="11">
        <v>45803</v>
      </c>
      <c r="C834" s="11">
        <v>45805</v>
      </c>
      <c r="D834" s="10" t="s">
        <v>2599</v>
      </c>
      <c r="E834" s="10" t="s">
        <v>294</v>
      </c>
      <c r="F834" s="10" t="s">
        <v>66</v>
      </c>
      <c r="G834" s="10" t="s">
        <v>83</v>
      </c>
      <c r="H834" s="10" t="s">
        <v>113</v>
      </c>
      <c r="I834" s="10" t="s">
        <v>114</v>
      </c>
      <c r="J834" s="10" t="s">
        <v>103</v>
      </c>
      <c r="K834" s="10" t="s">
        <v>200</v>
      </c>
      <c r="L834" s="10" t="s">
        <v>2600</v>
      </c>
      <c r="M834" s="10" t="s">
        <v>60</v>
      </c>
      <c r="N834" s="12">
        <v>9</v>
      </c>
      <c r="O834" s="12">
        <v>4302.0200000000004</v>
      </c>
      <c r="P834" s="12">
        <v>0.05</v>
      </c>
      <c r="Q834" s="12">
        <v>36782.269999999997</v>
      </c>
      <c r="R834" s="12">
        <v>25902.81</v>
      </c>
      <c r="S834" s="12">
        <v>10879.46</v>
      </c>
      <c r="T834" s="10" t="s">
        <v>61</v>
      </c>
      <c r="U834" s="13" t="s">
        <v>62</v>
      </c>
      <c r="V834" s="14" t="e">
        <f t="shared" ca="1" si="0"/>
        <v>#NAME?</v>
      </c>
      <c r="W834" s="10" t="str">
        <f ca="1">IFERROR(__xludf.DUMMYFUNCTION("IF(COUNTIF($A:$A,A828)=1,
""Unique"",
IF(COUNTUNIQUE(FILTER($V$2:$V$934,$A$2:$A$934=A828))&gt;1,
""Conflicting Duplicate"",
""Exact Duplicate""))"),"Unique")</f>
        <v>Unique</v>
      </c>
      <c r="X834" s="10" t="b">
        <f t="shared" ca="1" si="1"/>
        <v>1</v>
      </c>
      <c r="Y834" s="10" t="str">
        <f t="shared" si="2"/>
        <v>Unique</v>
      </c>
      <c r="Z834" s="10"/>
      <c r="AA834" s="10" t="str">
        <f t="shared" si="3"/>
        <v>Clean</v>
      </c>
      <c r="AB834" s="15" t="str">
        <f t="shared" si="4"/>
        <v>Valid</v>
      </c>
      <c r="AC834" s="15">
        <v>2</v>
      </c>
      <c r="AD834" s="16" t="str">
        <f t="shared" si="5"/>
        <v>Valid</v>
      </c>
      <c r="AE834" s="16" t="str">
        <f t="shared" si="6"/>
        <v>Valid</v>
      </c>
      <c r="AF834" s="16" t="str">
        <f t="shared" ref="AF834:AG834" si="1679">IF(ISNUMBER(B834),"Valid","Invalid")</f>
        <v>Valid</v>
      </c>
      <c r="AG834" s="16" t="str">
        <f t="shared" si="1679"/>
        <v>Valid</v>
      </c>
      <c r="AH834" s="16" t="str">
        <f t="shared" ref="AH834:AI834" si="1680">IF(OR(B834="",ISBLANK(B834)),"Missing","Valid")</f>
        <v>Valid</v>
      </c>
      <c r="AI834" s="16" t="str">
        <f t="shared" si="1680"/>
        <v>Valid</v>
      </c>
      <c r="AJ834" s="16" t="b">
        <v>0</v>
      </c>
      <c r="AK834" s="16" t="b">
        <v>0</v>
      </c>
      <c r="AL834" s="16" t="b">
        <v>0</v>
      </c>
      <c r="AM834" s="16" t="b">
        <v>0</v>
      </c>
      <c r="AN834" s="16" t="b">
        <v>0</v>
      </c>
      <c r="AO834" s="16" t="b">
        <v>0</v>
      </c>
      <c r="AP834" s="16" t="b">
        <v>0</v>
      </c>
      <c r="AQ834" s="17">
        <f t="shared" si="9"/>
        <v>0.05</v>
      </c>
      <c r="AR834" s="12">
        <f t="shared" si="10"/>
        <v>36782.271000000008</v>
      </c>
      <c r="AS834" s="18">
        <f t="shared" si="11"/>
        <v>-1.0000000111176632E-3</v>
      </c>
      <c r="AT834" s="12">
        <f t="shared" si="12"/>
        <v>10879.461000000007</v>
      </c>
      <c r="AU834" s="18">
        <f t="shared" si="13"/>
        <v>-1.0000000074796844E-3</v>
      </c>
      <c r="AV834" s="19">
        <f t="shared" si="14"/>
        <v>0.29578002402298664</v>
      </c>
      <c r="AW834" s="20" t="str">
        <f t="shared" si="15"/>
        <v>May</v>
      </c>
      <c r="AX834" s="21">
        <f t="shared" si="16"/>
        <v>2025</v>
      </c>
    </row>
    <row r="835" spans="1:50" ht="15.75" customHeight="1">
      <c r="A835" s="10" t="s">
        <v>2601</v>
      </c>
      <c r="B835" s="11">
        <v>45447</v>
      </c>
      <c r="C835" s="11">
        <v>45447</v>
      </c>
      <c r="D835" s="10" t="s">
        <v>2602</v>
      </c>
      <c r="E835" s="10" t="s">
        <v>147</v>
      </c>
      <c r="F835" s="10" t="s">
        <v>124</v>
      </c>
      <c r="G835" s="10" t="s">
        <v>67</v>
      </c>
      <c r="H835" s="10" t="s">
        <v>128</v>
      </c>
      <c r="I835" s="10" t="s">
        <v>129</v>
      </c>
      <c r="J835" s="10" t="s">
        <v>70</v>
      </c>
      <c r="K835" s="10" t="s">
        <v>187</v>
      </c>
      <c r="L835" s="10" t="s">
        <v>2603</v>
      </c>
      <c r="M835" s="10" t="s">
        <v>79</v>
      </c>
      <c r="N835" s="12">
        <v>6</v>
      </c>
      <c r="O835" s="12">
        <v>3949.4</v>
      </c>
      <c r="P835" s="12">
        <v>0</v>
      </c>
      <c r="Q835" s="12">
        <v>23696.400000000001</v>
      </c>
      <c r="R835" s="12">
        <v>18109.77</v>
      </c>
      <c r="S835" s="12">
        <v>5586.63</v>
      </c>
      <c r="T835" s="10" t="s">
        <v>61</v>
      </c>
      <c r="U835" s="13" t="s">
        <v>62</v>
      </c>
      <c r="V835" s="14" t="e">
        <f t="shared" ca="1" si="0"/>
        <v>#NAME?</v>
      </c>
      <c r="W835" s="10" t="str">
        <f ca="1">IFERROR(__xludf.DUMMYFUNCTION("IF(COUNTIF($A:$A,A829)=1,
""Unique"",
IF(COUNTUNIQUE(FILTER($V$2:$V$934,$A$2:$A$934=A829))&gt;1,
""Conflicting Duplicate"",
""Exact Duplicate""))"),"Unique")</f>
        <v>Unique</v>
      </c>
      <c r="X835" s="10" t="b">
        <f t="shared" ca="1" si="1"/>
        <v>1</v>
      </c>
      <c r="Y835" s="10" t="str">
        <f t="shared" si="2"/>
        <v>Unique</v>
      </c>
      <c r="Z835" s="10"/>
      <c r="AA835" s="10" t="str">
        <f t="shared" si="3"/>
        <v>Clean</v>
      </c>
      <c r="AB835" s="15" t="str">
        <f t="shared" si="4"/>
        <v>Valid</v>
      </c>
      <c r="AC835" s="15">
        <v>0</v>
      </c>
      <c r="AD835" s="16" t="str">
        <f t="shared" si="5"/>
        <v>Valid</v>
      </c>
      <c r="AE835" s="16" t="str">
        <f t="shared" si="6"/>
        <v>Valid</v>
      </c>
      <c r="AF835" s="16" t="str">
        <f t="shared" ref="AF835:AG835" si="1681">IF(ISNUMBER(B835),"Valid","Invalid")</f>
        <v>Valid</v>
      </c>
      <c r="AG835" s="16" t="str">
        <f t="shared" si="1681"/>
        <v>Valid</v>
      </c>
      <c r="AH835" s="16" t="str">
        <f t="shared" ref="AH835:AI835" si="1682">IF(OR(B835="",ISBLANK(B835)),"Missing","Valid")</f>
        <v>Valid</v>
      </c>
      <c r="AI835" s="16" t="str">
        <f t="shared" si="1682"/>
        <v>Valid</v>
      </c>
      <c r="AJ835" s="16" t="b">
        <v>0</v>
      </c>
      <c r="AK835" s="16" t="b">
        <v>0</v>
      </c>
      <c r="AL835" s="16" t="b">
        <v>0</v>
      </c>
      <c r="AM835" s="16" t="b">
        <v>0</v>
      </c>
      <c r="AN835" s="16" t="b">
        <v>0</v>
      </c>
      <c r="AO835" s="16" t="b">
        <v>0</v>
      </c>
      <c r="AP835" s="16" t="b">
        <v>0</v>
      </c>
      <c r="AQ835" s="17">
        <f t="shared" si="9"/>
        <v>0</v>
      </c>
      <c r="AR835" s="12">
        <f t="shared" si="10"/>
        <v>23696.400000000001</v>
      </c>
      <c r="AS835" s="18">
        <f t="shared" si="11"/>
        <v>0</v>
      </c>
      <c r="AT835" s="12">
        <f t="shared" si="12"/>
        <v>5586.630000000001</v>
      </c>
      <c r="AU835" s="18">
        <f t="shared" si="13"/>
        <v>0</v>
      </c>
      <c r="AV835" s="19">
        <f t="shared" si="14"/>
        <v>0.23575859624246723</v>
      </c>
      <c r="AW835" s="20" t="str">
        <f t="shared" si="15"/>
        <v>June</v>
      </c>
      <c r="AX835" s="21">
        <f t="shared" si="16"/>
        <v>2024</v>
      </c>
    </row>
    <row r="836" spans="1:50" ht="15.75" customHeight="1">
      <c r="A836" s="10" t="s">
        <v>2604</v>
      </c>
      <c r="B836" s="11">
        <v>45583</v>
      </c>
      <c r="C836" s="11">
        <v>45587</v>
      </c>
      <c r="D836" s="10" t="s">
        <v>2605</v>
      </c>
      <c r="E836" s="10" t="s">
        <v>157</v>
      </c>
      <c r="F836" s="10" t="s">
        <v>124</v>
      </c>
      <c r="G836" s="10" t="s">
        <v>83</v>
      </c>
      <c r="H836" s="10" t="s">
        <v>84</v>
      </c>
      <c r="I836" s="10" t="s">
        <v>85</v>
      </c>
      <c r="J836" s="10" t="s">
        <v>57</v>
      </c>
      <c r="K836" s="10" t="s">
        <v>77</v>
      </c>
      <c r="L836" s="10" t="s">
        <v>2606</v>
      </c>
      <c r="M836" s="10" t="s">
        <v>79</v>
      </c>
      <c r="N836" s="12">
        <v>6</v>
      </c>
      <c r="O836" s="12">
        <v>674.61</v>
      </c>
      <c r="P836" s="12">
        <v>0</v>
      </c>
      <c r="Q836" s="12">
        <v>4047.66</v>
      </c>
      <c r="R836" s="12">
        <v>3078.93</v>
      </c>
      <c r="S836" s="12">
        <v>1279.79</v>
      </c>
      <c r="T836" s="10" t="s">
        <v>61</v>
      </c>
      <c r="U836" s="13" t="s">
        <v>62</v>
      </c>
      <c r="V836" s="14" t="e">
        <f t="shared" ca="1" si="0"/>
        <v>#NAME?</v>
      </c>
      <c r="W836" s="10" t="str">
        <f ca="1">IFERROR(__xludf.DUMMYFUNCTION("IF(COUNTIF($A:$A,A830)=1,
""Unique"",
IF(COUNTUNIQUE(FILTER($V$2:$V$934,$A$2:$A$934=A830))&gt;1,
""Conflicting Duplicate"",
""Exact Duplicate""))"),"Unique")</f>
        <v>Unique</v>
      </c>
      <c r="X836" s="10" t="b">
        <f t="shared" ca="1" si="1"/>
        <v>1</v>
      </c>
      <c r="Y836" s="10" t="str">
        <f t="shared" si="2"/>
        <v>Unique</v>
      </c>
      <c r="Z836" s="10"/>
      <c r="AA836" s="10" t="str">
        <f t="shared" si="3"/>
        <v>Clean</v>
      </c>
      <c r="AB836" s="15" t="str">
        <f t="shared" si="4"/>
        <v>Valid</v>
      </c>
      <c r="AC836" s="15">
        <v>4</v>
      </c>
      <c r="AD836" s="16" t="str">
        <f t="shared" si="5"/>
        <v>Valid</v>
      </c>
      <c r="AE836" s="16" t="str">
        <f t="shared" si="6"/>
        <v>Valid</v>
      </c>
      <c r="AF836" s="16" t="str">
        <f t="shared" ref="AF836:AG836" si="1683">IF(ISNUMBER(B836),"Valid","Invalid")</f>
        <v>Valid</v>
      </c>
      <c r="AG836" s="16" t="str">
        <f t="shared" si="1683"/>
        <v>Valid</v>
      </c>
      <c r="AH836" s="16" t="str">
        <f t="shared" ref="AH836:AI836" si="1684">IF(OR(B836="",ISBLANK(B836)),"Missing","Valid")</f>
        <v>Valid</v>
      </c>
      <c r="AI836" s="16" t="str">
        <f t="shared" si="1684"/>
        <v>Valid</v>
      </c>
      <c r="AJ836" s="16" t="b">
        <v>0</v>
      </c>
      <c r="AK836" s="16" t="b">
        <v>0</v>
      </c>
      <c r="AL836" s="16" t="b">
        <v>0</v>
      </c>
      <c r="AM836" s="16" t="b">
        <v>0</v>
      </c>
      <c r="AN836" s="16" t="b">
        <v>0</v>
      </c>
      <c r="AO836" s="16" t="b">
        <v>0</v>
      </c>
      <c r="AP836" s="16" t="b">
        <v>0</v>
      </c>
      <c r="AQ836" s="17">
        <f t="shared" si="9"/>
        <v>0</v>
      </c>
      <c r="AR836" s="12">
        <f t="shared" si="10"/>
        <v>4047.66</v>
      </c>
      <c r="AS836" s="18">
        <f t="shared" si="11"/>
        <v>0</v>
      </c>
      <c r="AT836" s="12">
        <f t="shared" si="12"/>
        <v>968.73</v>
      </c>
      <c r="AU836" s="18">
        <f t="shared" si="13"/>
        <v>311.05999999999995</v>
      </c>
      <c r="AV836" s="19">
        <f t="shared" si="14"/>
        <v>0.23933087265234729</v>
      </c>
      <c r="AW836" s="20" t="str">
        <f t="shared" si="15"/>
        <v>October</v>
      </c>
      <c r="AX836" s="21">
        <f t="shared" si="16"/>
        <v>2024</v>
      </c>
    </row>
    <row r="837" spans="1:50" ht="15.75" customHeight="1">
      <c r="A837" s="10" t="s">
        <v>2607</v>
      </c>
      <c r="B837" s="11">
        <v>45926</v>
      </c>
      <c r="C837" s="11">
        <v>45934</v>
      </c>
      <c r="D837" s="10" t="s">
        <v>2608</v>
      </c>
      <c r="E837" s="10" t="s">
        <v>143</v>
      </c>
      <c r="F837" s="10" t="s">
        <v>66</v>
      </c>
      <c r="G837" s="10" t="s">
        <v>67</v>
      </c>
      <c r="H837" s="10" t="s">
        <v>195</v>
      </c>
      <c r="I837" s="10" t="s">
        <v>196</v>
      </c>
      <c r="J837" s="10" t="s">
        <v>103</v>
      </c>
      <c r="K837" s="10" t="s">
        <v>200</v>
      </c>
      <c r="L837" s="10" t="s">
        <v>2609</v>
      </c>
      <c r="M837" s="10" t="s">
        <v>60</v>
      </c>
      <c r="N837" s="12">
        <v>7</v>
      </c>
      <c r="O837" s="12">
        <v>1509.59</v>
      </c>
      <c r="P837" s="12">
        <v>0.05</v>
      </c>
      <c r="Q837" s="12">
        <v>10038.77</v>
      </c>
      <c r="R837" s="12">
        <v>5673.1</v>
      </c>
      <c r="S837" s="12">
        <v>4365.67</v>
      </c>
      <c r="T837" s="10" t="s">
        <v>61</v>
      </c>
      <c r="U837" s="13" t="s">
        <v>62</v>
      </c>
      <c r="V837" s="14" t="e">
        <f t="shared" ca="1" si="0"/>
        <v>#NAME?</v>
      </c>
      <c r="W837" s="10" t="str">
        <f ca="1">IFERROR(__xludf.DUMMYFUNCTION("IF(COUNTIF($A:$A,A831)=1,
""Unique"",
IF(COUNTUNIQUE(FILTER($V$2:$V$934,$A$2:$A$934=A831))&gt;1,
""Conflicting Duplicate"",
""Exact Duplicate""))"),"Unique")</f>
        <v>Unique</v>
      </c>
      <c r="X837" s="10" t="b">
        <f t="shared" ca="1" si="1"/>
        <v>1</v>
      </c>
      <c r="Y837" s="10" t="str">
        <f t="shared" si="2"/>
        <v>Unique</v>
      </c>
      <c r="Z837" s="10"/>
      <c r="AA837" s="10" t="str">
        <f t="shared" si="3"/>
        <v>Clean</v>
      </c>
      <c r="AB837" s="15" t="str">
        <f t="shared" si="4"/>
        <v>Valid</v>
      </c>
      <c r="AC837" s="15">
        <v>8</v>
      </c>
      <c r="AD837" s="16" t="str">
        <f t="shared" si="5"/>
        <v>Valid</v>
      </c>
      <c r="AE837" s="16" t="str">
        <f t="shared" si="6"/>
        <v>Valid</v>
      </c>
      <c r="AF837" s="16" t="str">
        <f t="shared" ref="AF837:AG837" si="1685">IF(ISNUMBER(B837),"Valid","Invalid")</f>
        <v>Valid</v>
      </c>
      <c r="AG837" s="16" t="str">
        <f t="shared" si="1685"/>
        <v>Valid</v>
      </c>
      <c r="AH837" s="16" t="str">
        <f t="shared" ref="AH837:AI837" si="1686">IF(OR(B837="",ISBLANK(B837)),"Missing","Valid")</f>
        <v>Valid</v>
      </c>
      <c r="AI837" s="16" t="str">
        <f t="shared" si="1686"/>
        <v>Valid</v>
      </c>
      <c r="AJ837" s="16" t="b">
        <v>0</v>
      </c>
      <c r="AK837" s="16" t="b">
        <v>0</v>
      </c>
      <c r="AL837" s="16" t="b">
        <v>0</v>
      </c>
      <c r="AM837" s="16" t="b">
        <v>0</v>
      </c>
      <c r="AN837" s="16" t="b">
        <v>0</v>
      </c>
      <c r="AO837" s="16" t="b">
        <v>0</v>
      </c>
      <c r="AP837" s="16" t="b">
        <v>0</v>
      </c>
      <c r="AQ837" s="17">
        <f t="shared" si="9"/>
        <v>0.05</v>
      </c>
      <c r="AR837" s="12">
        <f t="shared" si="10"/>
        <v>10038.773499999999</v>
      </c>
      <c r="AS837" s="18">
        <f t="shared" si="11"/>
        <v>-3.4999999988940544E-3</v>
      </c>
      <c r="AT837" s="12">
        <f t="shared" si="12"/>
        <v>4365.673499999999</v>
      </c>
      <c r="AU837" s="18">
        <f t="shared" si="13"/>
        <v>-3.4999999988940544E-3</v>
      </c>
      <c r="AV837" s="19">
        <f t="shared" si="14"/>
        <v>0.43488116352062323</v>
      </c>
      <c r="AW837" s="20" t="str">
        <f t="shared" si="15"/>
        <v>September</v>
      </c>
      <c r="AX837" s="21">
        <f t="shared" si="16"/>
        <v>2025</v>
      </c>
    </row>
    <row r="838" spans="1:50" ht="15.75" customHeight="1">
      <c r="A838" s="10" t="s">
        <v>2610</v>
      </c>
      <c r="B838" s="11">
        <v>45641</v>
      </c>
      <c r="C838" s="11">
        <v>45644</v>
      </c>
      <c r="D838" s="10" t="s">
        <v>2611</v>
      </c>
      <c r="E838" s="10" t="s">
        <v>76</v>
      </c>
      <c r="F838" s="10" t="s">
        <v>66</v>
      </c>
      <c r="G838" s="10" t="s">
        <v>54</v>
      </c>
      <c r="H838" s="10" t="s">
        <v>55</v>
      </c>
      <c r="I838" s="10" t="s">
        <v>56</v>
      </c>
      <c r="J838" s="10" t="s">
        <v>57</v>
      </c>
      <c r="K838" s="10" t="s">
        <v>120</v>
      </c>
      <c r="L838" s="10" t="s">
        <v>2612</v>
      </c>
      <c r="M838" s="10" t="s">
        <v>60</v>
      </c>
      <c r="N838" s="12">
        <v>2</v>
      </c>
      <c r="O838" s="12">
        <v>537.11</v>
      </c>
      <c r="P838" s="12">
        <v>0</v>
      </c>
      <c r="Q838" s="12">
        <v>1074.22</v>
      </c>
      <c r="R838" s="12">
        <v>850.86</v>
      </c>
      <c r="S838" s="12">
        <v>223.36</v>
      </c>
      <c r="T838" s="10" t="s">
        <v>61</v>
      </c>
      <c r="U838" s="13" t="s">
        <v>62</v>
      </c>
      <c r="V838" s="14" t="e">
        <f t="shared" ca="1" si="0"/>
        <v>#NAME?</v>
      </c>
      <c r="W838" s="10" t="str">
        <f ca="1">IFERROR(__xludf.DUMMYFUNCTION("IF(COUNTIF($A:$A,A832)=1,
""Unique"",
IF(COUNTUNIQUE(FILTER($V$2:$V$934,$A$2:$A$934=A832))&gt;1,
""Conflicting Duplicate"",
""Exact Duplicate""))"),"Unique")</f>
        <v>Unique</v>
      </c>
      <c r="X838" s="10" t="b">
        <f t="shared" ca="1" si="1"/>
        <v>1</v>
      </c>
      <c r="Y838" s="10" t="str">
        <f t="shared" si="2"/>
        <v>Unique</v>
      </c>
      <c r="Z838" s="10"/>
      <c r="AA838" s="10" t="str">
        <f t="shared" si="3"/>
        <v>Clean</v>
      </c>
      <c r="AB838" s="15" t="str">
        <f t="shared" si="4"/>
        <v>Valid</v>
      </c>
      <c r="AC838" s="15">
        <v>3</v>
      </c>
      <c r="AD838" s="16" t="str">
        <f t="shared" si="5"/>
        <v>Valid</v>
      </c>
      <c r="AE838" s="16" t="str">
        <f t="shared" si="6"/>
        <v>Valid</v>
      </c>
      <c r="AF838" s="16" t="str">
        <f t="shared" ref="AF838:AG838" si="1687">IF(ISNUMBER(B838),"Valid","Invalid")</f>
        <v>Valid</v>
      </c>
      <c r="AG838" s="16" t="str">
        <f t="shared" si="1687"/>
        <v>Valid</v>
      </c>
      <c r="AH838" s="16" t="str">
        <f t="shared" ref="AH838:AI838" si="1688">IF(OR(B838="",ISBLANK(B838)),"Missing","Valid")</f>
        <v>Valid</v>
      </c>
      <c r="AI838" s="16" t="str">
        <f t="shared" si="1688"/>
        <v>Valid</v>
      </c>
      <c r="AJ838" s="16" t="b">
        <v>0</v>
      </c>
      <c r="AK838" s="16" t="b">
        <v>0</v>
      </c>
      <c r="AL838" s="16" t="b">
        <v>0</v>
      </c>
      <c r="AM838" s="16" t="b">
        <v>0</v>
      </c>
      <c r="AN838" s="16" t="b">
        <v>0</v>
      </c>
      <c r="AO838" s="16" t="b">
        <v>0</v>
      </c>
      <c r="AP838" s="16" t="b">
        <v>0</v>
      </c>
      <c r="AQ838" s="17">
        <f t="shared" si="9"/>
        <v>0</v>
      </c>
      <c r="AR838" s="12">
        <f t="shared" si="10"/>
        <v>1074.22</v>
      </c>
      <c r="AS838" s="18">
        <f t="shared" si="11"/>
        <v>0</v>
      </c>
      <c r="AT838" s="12">
        <f t="shared" si="12"/>
        <v>223.36</v>
      </c>
      <c r="AU838" s="18">
        <f t="shared" si="13"/>
        <v>0</v>
      </c>
      <c r="AV838" s="19">
        <f t="shared" si="14"/>
        <v>0.20792761259332354</v>
      </c>
      <c r="AW838" s="20" t="str">
        <f t="shared" si="15"/>
        <v>December</v>
      </c>
      <c r="AX838" s="21">
        <f t="shared" si="16"/>
        <v>2024</v>
      </c>
    </row>
    <row r="839" spans="1:50" ht="15.75" customHeight="1">
      <c r="A839" s="10" t="s">
        <v>2613</v>
      </c>
      <c r="B839" s="11">
        <v>45927</v>
      </c>
      <c r="C839" s="11">
        <v>45928</v>
      </c>
      <c r="D839" s="10" t="s">
        <v>2614</v>
      </c>
      <c r="E839" s="10" t="s">
        <v>52</v>
      </c>
      <c r="F839" s="10" t="s">
        <v>124</v>
      </c>
      <c r="G839" s="10" t="s">
        <v>92</v>
      </c>
      <c r="H839" s="10" t="s">
        <v>93</v>
      </c>
      <c r="I839" s="10" t="s">
        <v>94</v>
      </c>
      <c r="J839" s="10" t="s">
        <v>57</v>
      </c>
      <c r="K839" s="10" t="s">
        <v>58</v>
      </c>
      <c r="L839" s="10" t="s">
        <v>2615</v>
      </c>
      <c r="M839" s="10" t="s">
        <v>79</v>
      </c>
      <c r="N839" s="12">
        <v>3</v>
      </c>
      <c r="O839" s="12">
        <v>4177.63</v>
      </c>
      <c r="P839" s="12">
        <v>0.25</v>
      </c>
      <c r="Q839" s="12">
        <v>9399.67</v>
      </c>
      <c r="R839" s="12">
        <v>6540.37</v>
      </c>
      <c r="S839" s="12">
        <v>2859.3</v>
      </c>
      <c r="T839" s="10" t="s">
        <v>61</v>
      </c>
      <c r="U839" s="13" t="s">
        <v>62</v>
      </c>
      <c r="V839" s="14" t="e">
        <f t="shared" ca="1" si="0"/>
        <v>#NAME?</v>
      </c>
      <c r="W839" s="10" t="str">
        <f ca="1">IFERROR(__xludf.DUMMYFUNCTION("IF(COUNTIF($A:$A,A833)=1,
""Unique"",
IF(COUNTUNIQUE(FILTER($V$2:$V$934,$A$2:$A$934=A833))&gt;1,
""Conflicting Duplicate"",
""Exact Duplicate""))"),"Unique")</f>
        <v>Unique</v>
      </c>
      <c r="X839" s="10" t="b">
        <f t="shared" ca="1" si="1"/>
        <v>1</v>
      </c>
      <c r="Y839" s="10" t="str">
        <f t="shared" si="2"/>
        <v>Unique</v>
      </c>
      <c r="Z839" s="10"/>
      <c r="AA839" s="10" t="str">
        <f t="shared" si="3"/>
        <v>Clean</v>
      </c>
      <c r="AB839" s="15" t="str">
        <f t="shared" si="4"/>
        <v>Valid</v>
      </c>
      <c r="AC839" s="15">
        <v>1</v>
      </c>
      <c r="AD839" s="16" t="str">
        <f t="shared" si="5"/>
        <v>Valid</v>
      </c>
      <c r="AE839" s="16" t="str">
        <f t="shared" si="6"/>
        <v>Valid</v>
      </c>
      <c r="AF839" s="16" t="str">
        <f t="shared" ref="AF839:AG839" si="1689">IF(ISNUMBER(B839),"Valid","Invalid")</f>
        <v>Valid</v>
      </c>
      <c r="AG839" s="16" t="str">
        <f t="shared" si="1689"/>
        <v>Valid</v>
      </c>
      <c r="AH839" s="16" t="str">
        <f t="shared" ref="AH839:AI839" si="1690">IF(OR(B839="",ISBLANK(B839)),"Missing","Valid")</f>
        <v>Valid</v>
      </c>
      <c r="AI839" s="16" t="str">
        <f t="shared" si="1690"/>
        <v>Valid</v>
      </c>
      <c r="AJ839" s="16" t="b">
        <v>0</v>
      </c>
      <c r="AK839" s="16" t="b">
        <v>0</v>
      </c>
      <c r="AL839" s="16" t="b">
        <v>0</v>
      </c>
      <c r="AM839" s="16" t="b">
        <v>0</v>
      </c>
      <c r="AN839" s="16" t="b">
        <v>0</v>
      </c>
      <c r="AO839" s="16" t="b">
        <v>0</v>
      </c>
      <c r="AP839" s="16" t="b">
        <v>0</v>
      </c>
      <c r="AQ839" s="17">
        <f t="shared" si="9"/>
        <v>0.25</v>
      </c>
      <c r="AR839" s="12">
        <f t="shared" si="10"/>
        <v>9399.6674999999996</v>
      </c>
      <c r="AS839" s="18">
        <f t="shared" si="11"/>
        <v>2.500000000509317E-3</v>
      </c>
      <c r="AT839" s="12">
        <f t="shared" si="12"/>
        <v>2859.2974999999997</v>
      </c>
      <c r="AU839" s="18">
        <f t="shared" si="13"/>
        <v>2.500000000509317E-3</v>
      </c>
      <c r="AV839" s="19">
        <f t="shared" si="14"/>
        <v>0.30419134506619516</v>
      </c>
      <c r="AW839" s="20" t="str">
        <f t="shared" si="15"/>
        <v>September</v>
      </c>
      <c r="AX839" s="21">
        <f t="shared" si="16"/>
        <v>2025</v>
      </c>
    </row>
    <row r="840" spans="1:50" ht="15.75" customHeight="1">
      <c r="A840" s="10" t="s">
        <v>2616</v>
      </c>
      <c r="B840" s="11">
        <v>45750</v>
      </c>
      <c r="C840" s="11">
        <v>45754</v>
      </c>
      <c r="D840" s="10" t="s">
        <v>2617</v>
      </c>
      <c r="E840" s="10" t="s">
        <v>91</v>
      </c>
      <c r="F840" s="10" t="s">
        <v>66</v>
      </c>
      <c r="G840" s="10" t="s">
        <v>92</v>
      </c>
      <c r="H840" s="10" t="s">
        <v>219</v>
      </c>
      <c r="I840" s="10" t="s">
        <v>220</v>
      </c>
      <c r="J840" s="10" t="s">
        <v>57</v>
      </c>
      <c r="K840" s="10" t="s">
        <v>58</v>
      </c>
      <c r="L840" s="10" t="s">
        <v>2618</v>
      </c>
      <c r="M840" s="10" t="s">
        <v>73</v>
      </c>
      <c r="N840" s="12">
        <v>1</v>
      </c>
      <c r="O840" s="12">
        <v>1470.57</v>
      </c>
      <c r="P840" s="12">
        <v>0</v>
      </c>
      <c r="Q840" s="12">
        <v>1470.57</v>
      </c>
      <c r="R840" s="12">
        <v>834.02</v>
      </c>
      <c r="S840" s="12">
        <v>636.54999999999995</v>
      </c>
      <c r="T840" s="10" t="s">
        <v>61</v>
      </c>
      <c r="U840" s="13" t="s">
        <v>132</v>
      </c>
      <c r="V840" s="14" t="e">
        <f t="shared" ca="1" si="0"/>
        <v>#NAME?</v>
      </c>
      <c r="W840" s="10" t="str">
        <f ca="1">IFERROR(__xludf.DUMMYFUNCTION("IF(COUNTIF($A:$A,A834)=1,
""Unique"",
IF(COUNTUNIQUE(FILTER($V$2:$V$934,$A$2:$A$934=A834))&gt;1,
""Conflicting Duplicate"",
""Exact Duplicate""))"),"Unique")</f>
        <v>Unique</v>
      </c>
      <c r="X840" s="10" t="b">
        <f t="shared" ca="1" si="1"/>
        <v>1</v>
      </c>
      <c r="Y840" s="10" t="str">
        <f t="shared" si="2"/>
        <v>Unique</v>
      </c>
      <c r="Z840" s="10"/>
      <c r="AA840" s="10" t="str">
        <f t="shared" si="3"/>
        <v>Clean</v>
      </c>
      <c r="AB840" s="15" t="str">
        <f t="shared" si="4"/>
        <v>Valid</v>
      </c>
      <c r="AC840" s="15">
        <v>4</v>
      </c>
      <c r="AD840" s="16" t="str">
        <f t="shared" si="5"/>
        <v>Valid</v>
      </c>
      <c r="AE840" s="16" t="str">
        <f t="shared" si="6"/>
        <v>Valid</v>
      </c>
      <c r="AF840" s="16" t="str">
        <f t="shared" ref="AF840:AG840" si="1691">IF(ISNUMBER(B840),"Valid","Invalid")</f>
        <v>Valid</v>
      </c>
      <c r="AG840" s="16" t="str">
        <f t="shared" si="1691"/>
        <v>Valid</v>
      </c>
      <c r="AH840" s="16" t="str">
        <f t="shared" ref="AH840:AI840" si="1692">IF(OR(B840="",ISBLANK(B840)),"Missing","Valid")</f>
        <v>Valid</v>
      </c>
      <c r="AI840" s="16" t="str">
        <f t="shared" si="1692"/>
        <v>Valid</v>
      </c>
      <c r="AJ840" s="16" t="b">
        <v>0</v>
      </c>
      <c r="AK840" s="16" t="b">
        <v>0</v>
      </c>
      <c r="AL840" s="16" t="b">
        <v>0</v>
      </c>
      <c r="AM840" s="16" t="b">
        <v>0</v>
      </c>
      <c r="AN840" s="16" t="b">
        <v>0</v>
      </c>
      <c r="AO840" s="16" t="b">
        <v>0</v>
      </c>
      <c r="AP840" s="16" t="b">
        <v>0</v>
      </c>
      <c r="AQ840" s="17">
        <f t="shared" si="9"/>
        <v>0</v>
      </c>
      <c r="AR840" s="12">
        <f t="shared" si="10"/>
        <v>1470.57</v>
      </c>
      <c r="AS840" s="18">
        <f t="shared" si="11"/>
        <v>0</v>
      </c>
      <c r="AT840" s="12">
        <f t="shared" si="12"/>
        <v>636.54999999999995</v>
      </c>
      <c r="AU840" s="18">
        <f t="shared" si="13"/>
        <v>0</v>
      </c>
      <c r="AV840" s="19">
        <f t="shared" si="14"/>
        <v>0.43285936745615644</v>
      </c>
      <c r="AW840" s="20" t="str">
        <f t="shared" si="15"/>
        <v>April</v>
      </c>
      <c r="AX840" s="21">
        <f t="shared" si="16"/>
        <v>2025</v>
      </c>
    </row>
    <row r="841" spans="1:50" ht="15.75" customHeight="1">
      <c r="A841" s="10" t="s">
        <v>2619</v>
      </c>
      <c r="B841" s="11">
        <v>45555</v>
      </c>
      <c r="C841" s="11">
        <v>45557</v>
      </c>
      <c r="D841" s="10" t="s">
        <v>2620</v>
      </c>
      <c r="E841" s="10" t="s">
        <v>170</v>
      </c>
      <c r="F841" s="10" t="s">
        <v>124</v>
      </c>
      <c r="G841" s="10" t="s">
        <v>67</v>
      </c>
      <c r="H841" s="10" t="s">
        <v>68</v>
      </c>
      <c r="I841" s="10" t="s">
        <v>69</v>
      </c>
      <c r="J841" s="10" t="s">
        <v>103</v>
      </c>
      <c r="K841" s="10" t="s">
        <v>200</v>
      </c>
      <c r="L841" s="10" t="s">
        <v>2621</v>
      </c>
      <c r="M841" s="10" t="s">
        <v>88</v>
      </c>
      <c r="N841" s="12">
        <v>8</v>
      </c>
      <c r="O841" s="12">
        <v>531.42999999999995</v>
      </c>
      <c r="P841" s="12">
        <v>0.1</v>
      </c>
      <c r="Q841" s="12">
        <v>3826.3</v>
      </c>
      <c r="R841" s="12">
        <v>2194.12</v>
      </c>
      <c r="S841" s="12">
        <v>1632.18</v>
      </c>
      <c r="T841" s="10" t="s">
        <v>61</v>
      </c>
      <c r="U841" s="13" t="s">
        <v>62</v>
      </c>
      <c r="V841" s="14" t="e">
        <f t="shared" ca="1" si="0"/>
        <v>#NAME?</v>
      </c>
      <c r="W841" s="10" t="str">
        <f ca="1">IFERROR(__xludf.DUMMYFUNCTION("IF(COUNTIF($A:$A,A835)=1,
""Unique"",
IF(COUNTUNIQUE(FILTER($V$2:$V$934,$A$2:$A$934=A835))&gt;1,
""Conflicting Duplicate"",
""Exact Duplicate""))"),"Unique")</f>
        <v>Unique</v>
      </c>
      <c r="X841" s="10" t="b">
        <f t="shared" ca="1" si="1"/>
        <v>1</v>
      </c>
      <c r="Y841" s="10" t="str">
        <f t="shared" si="2"/>
        <v>Unique</v>
      </c>
      <c r="Z841" s="10"/>
      <c r="AA841" s="10" t="str">
        <f t="shared" si="3"/>
        <v>Clean</v>
      </c>
      <c r="AB841" s="15" t="str">
        <f t="shared" si="4"/>
        <v>Valid</v>
      </c>
      <c r="AC841" s="15">
        <v>2</v>
      </c>
      <c r="AD841" s="16" t="str">
        <f t="shared" si="5"/>
        <v>Valid</v>
      </c>
      <c r="AE841" s="16" t="str">
        <f t="shared" si="6"/>
        <v>Valid</v>
      </c>
      <c r="AF841" s="16" t="str">
        <f t="shared" ref="AF841:AG841" si="1693">IF(ISNUMBER(B841),"Valid","Invalid")</f>
        <v>Valid</v>
      </c>
      <c r="AG841" s="16" t="str">
        <f t="shared" si="1693"/>
        <v>Valid</v>
      </c>
      <c r="AH841" s="16" t="str">
        <f t="shared" ref="AH841:AI841" si="1694">IF(OR(B841="",ISBLANK(B841)),"Missing","Valid")</f>
        <v>Valid</v>
      </c>
      <c r="AI841" s="16" t="str">
        <f t="shared" si="1694"/>
        <v>Valid</v>
      </c>
      <c r="AJ841" s="16" t="b">
        <v>0</v>
      </c>
      <c r="AK841" s="16" t="b">
        <v>0</v>
      </c>
      <c r="AL841" s="16" t="b">
        <v>0</v>
      </c>
      <c r="AM841" s="16" t="b">
        <v>0</v>
      </c>
      <c r="AN841" s="16" t="b">
        <v>0</v>
      </c>
      <c r="AO841" s="16" t="b">
        <v>0</v>
      </c>
      <c r="AP841" s="16" t="b">
        <v>0</v>
      </c>
      <c r="AQ841" s="17">
        <f t="shared" si="9"/>
        <v>0.1</v>
      </c>
      <c r="AR841" s="12">
        <f t="shared" si="10"/>
        <v>3826.2959999999998</v>
      </c>
      <c r="AS841" s="18">
        <f t="shared" si="11"/>
        <v>4.0000000003601599E-3</v>
      </c>
      <c r="AT841" s="12">
        <f t="shared" si="12"/>
        <v>1632.1759999999999</v>
      </c>
      <c r="AU841" s="18">
        <f t="shared" si="13"/>
        <v>4.0000000001327862E-3</v>
      </c>
      <c r="AV841" s="19">
        <f t="shared" si="14"/>
        <v>0.42656814841298218</v>
      </c>
      <c r="AW841" s="20" t="str">
        <f t="shared" si="15"/>
        <v>September</v>
      </c>
      <c r="AX841" s="21">
        <f t="shared" si="16"/>
        <v>2024</v>
      </c>
    </row>
    <row r="842" spans="1:50" ht="15.75" customHeight="1">
      <c r="A842" s="10" t="s">
        <v>2622</v>
      </c>
      <c r="B842" s="11">
        <v>45919</v>
      </c>
      <c r="C842" s="11">
        <v>45919</v>
      </c>
      <c r="D842" s="10" t="s">
        <v>2623</v>
      </c>
      <c r="E842" s="10" t="s">
        <v>108</v>
      </c>
      <c r="F842" s="10" t="s">
        <v>124</v>
      </c>
      <c r="G842" s="10" t="s">
        <v>54</v>
      </c>
      <c r="H842" s="10" t="s">
        <v>380</v>
      </c>
      <c r="I842" s="10" t="s">
        <v>381</v>
      </c>
      <c r="J842" s="10" t="s">
        <v>70</v>
      </c>
      <c r="K842" s="10" t="s">
        <v>95</v>
      </c>
      <c r="L842" s="10" t="s">
        <v>2624</v>
      </c>
      <c r="M842" s="10" t="s">
        <v>73</v>
      </c>
      <c r="N842" s="12">
        <v>4</v>
      </c>
      <c r="O842" s="12">
        <v>1584.11</v>
      </c>
      <c r="P842" s="12">
        <v>0</v>
      </c>
      <c r="Q842" s="12">
        <v>6336.44</v>
      </c>
      <c r="R842" s="12">
        <v>4680.68</v>
      </c>
      <c r="S842" s="12">
        <v>1655.76</v>
      </c>
      <c r="T842" s="10" t="s">
        <v>61</v>
      </c>
      <c r="U842" s="13" t="s">
        <v>62</v>
      </c>
      <c r="V842" s="14" t="e">
        <f t="shared" ca="1" si="0"/>
        <v>#NAME?</v>
      </c>
      <c r="W842" s="10" t="str">
        <f ca="1">IFERROR(__xludf.DUMMYFUNCTION("IF(COUNTIF($A:$A,A836)=1,
""Unique"",
IF(COUNTUNIQUE(FILTER($V$2:$V$934,$A$2:$A$934=A836))&gt;1,
""Conflicting Duplicate"",
""Exact Duplicate""))"),"Unique")</f>
        <v>Unique</v>
      </c>
      <c r="X842" s="10" t="b">
        <f t="shared" ca="1" si="1"/>
        <v>1</v>
      </c>
      <c r="Y842" s="10" t="str">
        <f t="shared" si="2"/>
        <v>Unique</v>
      </c>
      <c r="Z842" s="10"/>
      <c r="AA842" s="10" t="str">
        <f t="shared" si="3"/>
        <v>Clean</v>
      </c>
      <c r="AB842" s="15" t="str">
        <f t="shared" si="4"/>
        <v>Valid</v>
      </c>
      <c r="AC842" s="15">
        <v>0</v>
      </c>
      <c r="AD842" s="16" t="str">
        <f t="shared" si="5"/>
        <v>Valid</v>
      </c>
      <c r="AE842" s="16" t="str">
        <f t="shared" si="6"/>
        <v>Valid</v>
      </c>
      <c r="AF842" s="16" t="str">
        <f t="shared" ref="AF842:AG842" si="1695">IF(ISNUMBER(B842),"Valid","Invalid")</f>
        <v>Valid</v>
      </c>
      <c r="AG842" s="16" t="str">
        <f t="shared" si="1695"/>
        <v>Valid</v>
      </c>
      <c r="AH842" s="16" t="str">
        <f t="shared" ref="AH842:AI842" si="1696">IF(OR(B842="",ISBLANK(B842)),"Missing","Valid")</f>
        <v>Valid</v>
      </c>
      <c r="AI842" s="16" t="str">
        <f t="shared" si="1696"/>
        <v>Valid</v>
      </c>
      <c r="AJ842" s="16" t="b">
        <v>0</v>
      </c>
      <c r="AK842" s="16" t="b">
        <v>0</v>
      </c>
      <c r="AL842" s="16" t="b">
        <v>0</v>
      </c>
      <c r="AM842" s="16" t="b">
        <v>0</v>
      </c>
      <c r="AN842" s="16" t="b">
        <v>0</v>
      </c>
      <c r="AO842" s="16" t="b">
        <v>0</v>
      </c>
      <c r="AP842" s="16" t="b">
        <v>0</v>
      </c>
      <c r="AQ842" s="17">
        <f t="shared" si="9"/>
        <v>0</v>
      </c>
      <c r="AR842" s="12">
        <f t="shared" si="10"/>
        <v>6336.44</v>
      </c>
      <c r="AS842" s="18">
        <f t="shared" si="11"/>
        <v>0</v>
      </c>
      <c r="AT842" s="12">
        <f t="shared" si="12"/>
        <v>1655.7599999999993</v>
      </c>
      <c r="AU842" s="18">
        <f t="shared" si="13"/>
        <v>0</v>
      </c>
      <c r="AV842" s="19">
        <f t="shared" si="14"/>
        <v>0.26130761121386764</v>
      </c>
      <c r="AW842" s="20" t="str">
        <f t="shared" si="15"/>
        <v>September</v>
      </c>
      <c r="AX842" s="21">
        <f t="shared" si="16"/>
        <v>2025</v>
      </c>
    </row>
    <row r="843" spans="1:50" ht="15.75" customHeight="1">
      <c r="A843" s="10" t="s">
        <v>2625</v>
      </c>
      <c r="B843" s="11">
        <v>45694</v>
      </c>
      <c r="C843" s="11">
        <v>45700</v>
      </c>
      <c r="D843" s="10" t="s">
        <v>2626</v>
      </c>
      <c r="E843" s="10" t="s">
        <v>91</v>
      </c>
      <c r="F843" s="10" t="s">
        <v>66</v>
      </c>
      <c r="G843" s="10" t="s">
        <v>67</v>
      </c>
      <c r="H843" s="10" t="s">
        <v>174</v>
      </c>
      <c r="I843" s="10" t="s">
        <v>175</v>
      </c>
      <c r="J843" s="10" t="s">
        <v>57</v>
      </c>
      <c r="K843" s="10" t="s">
        <v>77</v>
      </c>
      <c r="L843" s="10" t="s">
        <v>2627</v>
      </c>
      <c r="M843" s="10" t="s">
        <v>88</v>
      </c>
      <c r="N843" s="12">
        <v>9</v>
      </c>
      <c r="O843" s="12">
        <v>3237.16</v>
      </c>
      <c r="P843" s="12">
        <v>0.25</v>
      </c>
      <c r="Q843" s="12">
        <v>21850.83</v>
      </c>
      <c r="R843" s="12">
        <v>16600.13</v>
      </c>
      <c r="S843" s="12">
        <v>5250.7</v>
      </c>
      <c r="T843" s="10" t="s">
        <v>61</v>
      </c>
      <c r="U843" s="13" t="s">
        <v>62</v>
      </c>
      <c r="V843" s="14" t="e">
        <f t="shared" ca="1" si="0"/>
        <v>#NAME?</v>
      </c>
      <c r="W843" s="10" t="str">
        <f ca="1">IFERROR(__xludf.DUMMYFUNCTION("IF(COUNTIF($A:$A,A837)=1,
""Unique"",
IF(COUNTUNIQUE(FILTER($V$2:$V$934,$A$2:$A$934=A837))&gt;1,
""Conflicting Duplicate"",
""Exact Duplicate""))"),"Unique")</f>
        <v>Unique</v>
      </c>
      <c r="X843" s="10" t="b">
        <f t="shared" ca="1" si="1"/>
        <v>1</v>
      </c>
      <c r="Y843" s="10" t="str">
        <f t="shared" si="2"/>
        <v>Unique</v>
      </c>
      <c r="Z843" s="10"/>
      <c r="AA843" s="10" t="str">
        <f t="shared" si="3"/>
        <v>Clean</v>
      </c>
      <c r="AB843" s="15" t="str">
        <f t="shared" si="4"/>
        <v>Valid</v>
      </c>
      <c r="AC843" s="15">
        <v>6</v>
      </c>
      <c r="AD843" s="16" t="str">
        <f t="shared" si="5"/>
        <v>Valid</v>
      </c>
      <c r="AE843" s="16" t="str">
        <f t="shared" si="6"/>
        <v>Valid</v>
      </c>
      <c r="AF843" s="16" t="str">
        <f t="shared" ref="AF843:AG843" si="1697">IF(ISNUMBER(B843),"Valid","Invalid")</f>
        <v>Valid</v>
      </c>
      <c r="AG843" s="16" t="str">
        <f t="shared" si="1697"/>
        <v>Valid</v>
      </c>
      <c r="AH843" s="16" t="str">
        <f t="shared" ref="AH843:AI843" si="1698">IF(OR(B843="",ISBLANK(B843)),"Missing","Valid")</f>
        <v>Valid</v>
      </c>
      <c r="AI843" s="16" t="str">
        <f t="shared" si="1698"/>
        <v>Valid</v>
      </c>
      <c r="AJ843" s="16" t="b">
        <v>0</v>
      </c>
      <c r="AK843" s="16" t="b">
        <v>0</v>
      </c>
      <c r="AL843" s="16" t="b">
        <v>0</v>
      </c>
      <c r="AM843" s="16" t="b">
        <v>0</v>
      </c>
      <c r="AN843" s="16" t="b">
        <v>0</v>
      </c>
      <c r="AO843" s="16" t="b">
        <v>0</v>
      </c>
      <c r="AP843" s="16" t="b">
        <v>0</v>
      </c>
      <c r="AQ843" s="17">
        <f t="shared" si="9"/>
        <v>0.25</v>
      </c>
      <c r="AR843" s="12">
        <f t="shared" si="10"/>
        <v>21850.829999999998</v>
      </c>
      <c r="AS843" s="18">
        <f t="shared" si="11"/>
        <v>0</v>
      </c>
      <c r="AT843" s="12">
        <f t="shared" si="12"/>
        <v>5250.6999999999971</v>
      </c>
      <c r="AU843" s="18">
        <f t="shared" si="13"/>
        <v>0</v>
      </c>
      <c r="AV843" s="19">
        <f t="shared" si="14"/>
        <v>0.2402975081495759</v>
      </c>
      <c r="AW843" s="20" t="str">
        <f t="shared" si="15"/>
        <v>February</v>
      </c>
      <c r="AX843" s="21">
        <f t="shared" si="16"/>
        <v>2025</v>
      </c>
    </row>
    <row r="844" spans="1:50" ht="15.75" customHeight="1">
      <c r="A844" s="10" t="s">
        <v>2628</v>
      </c>
      <c r="B844" s="11">
        <v>45382</v>
      </c>
      <c r="C844" s="11">
        <v>45381</v>
      </c>
      <c r="D844" s="10" t="s">
        <v>2629</v>
      </c>
      <c r="E844" s="10" t="s">
        <v>294</v>
      </c>
      <c r="F844" s="10" t="s">
        <v>53</v>
      </c>
      <c r="G844" s="10" t="s">
        <v>54</v>
      </c>
      <c r="H844" s="10" t="s">
        <v>266</v>
      </c>
      <c r="I844" s="10" t="s">
        <v>267</v>
      </c>
      <c r="J844" s="10" t="s">
        <v>103</v>
      </c>
      <c r="K844" s="10" t="s">
        <v>304</v>
      </c>
      <c r="L844" s="10" t="s">
        <v>2630</v>
      </c>
      <c r="M844" s="10" t="s">
        <v>79</v>
      </c>
      <c r="N844" s="12">
        <v>4</v>
      </c>
      <c r="O844" s="12">
        <v>2192.08</v>
      </c>
      <c r="P844" s="12">
        <v>0.15</v>
      </c>
      <c r="Q844" s="12">
        <v>7453.07</v>
      </c>
      <c r="R844" s="12">
        <v>5133.78</v>
      </c>
      <c r="S844" s="12">
        <v>2319.29</v>
      </c>
      <c r="T844" s="10" t="s">
        <v>61</v>
      </c>
      <c r="U844" s="13" t="s">
        <v>132</v>
      </c>
      <c r="V844" s="14" t="e">
        <f t="shared" ca="1" si="0"/>
        <v>#NAME?</v>
      </c>
      <c r="W844" s="10" t="str">
        <f ca="1">IFERROR(__xludf.DUMMYFUNCTION("IF(COUNTIF($A:$A,A838)=1,
""Unique"",
IF(COUNTUNIQUE(FILTER($V$2:$V$934,$A$2:$A$934=A838))&gt;1,
""Conflicting Duplicate"",
""Exact Duplicate""))"),"Unique")</f>
        <v>Unique</v>
      </c>
      <c r="X844" s="10" t="b">
        <f t="shared" ca="1" si="1"/>
        <v>1</v>
      </c>
      <c r="Y844" s="10" t="str">
        <f t="shared" si="2"/>
        <v>Unique</v>
      </c>
      <c r="Z844" s="10"/>
      <c r="AA844" s="10" t="str">
        <f t="shared" si="3"/>
        <v>Invalid</v>
      </c>
      <c r="AB844" s="15" t="str">
        <f t="shared" si="4"/>
        <v>Invalid</v>
      </c>
      <c r="AC844" s="15">
        <v>-1</v>
      </c>
      <c r="AD844" s="16" t="str">
        <f t="shared" si="5"/>
        <v>Invalid Shipping Date</v>
      </c>
      <c r="AE844" s="16" t="str">
        <f t="shared" si="6"/>
        <v>Valid</v>
      </c>
      <c r="AF844" s="16" t="str">
        <f t="shared" ref="AF844:AG844" si="1699">IF(ISNUMBER(B844),"Valid","Invalid")</f>
        <v>Valid</v>
      </c>
      <c r="AG844" s="16" t="str">
        <f t="shared" si="1699"/>
        <v>Valid</v>
      </c>
      <c r="AH844" s="16" t="str">
        <f t="shared" ref="AH844:AI844" si="1700">IF(OR(B844="",ISBLANK(B844)),"Missing","Valid")</f>
        <v>Valid</v>
      </c>
      <c r="AI844" s="16" t="str">
        <f t="shared" si="1700"/>
        <v>Valid</v>
      </c>
      <c r="AJ844" s="16" t="b">
        <v>0</v>
      </c>
      <c r="AK844" s="16" t="b">
        <v>0</v>
      </c>
      <c r="AL844" s="16" t="b">
        <v>0</v>
      </c>
      <c r="AM844" s="16" t="b">
        <v>0</v>
      </c>
      <c r="AN844" s="16" t="b">
        <v>0</v>
      </c>
      <c r="AO844" s="16" t="b">
        <v>1</v>
      </c>
      <c r="AP844" s="16" t="b">
        <v>1</v>
      </c>
      <c r="AQ844" s="17">
        <f t="shared" si="9"/>
        <v>0.15</v>
      </c>
      <c r="AR844" s="12">
        <f t="shared" si="10"/>
        <v>7453.0719999999992</v>
      </c>
      <c r="AS844" s="18">
        <f t="shared" si="11"/>
        <v>-1.9999999994979589E-3</v>
      </c>
      <c r="AT844" s="12">
        <f t="shared" si="12"/>
        <v>2319.2919999999995</v>
      </c>
      <c r="AU844" s="18">
        <f t="shared" si="13"/>
        <v>-1.9999999994979589E-3</v>
      </c>
      <c r="AV844" s="19">
        <f t="shared" si="14"/>
        <v>0.31118604516365866</v>
      </c>
      <c r="AW844" s="20" t="str">
        <f t="shared" si="15"/>
        <v>March</v>
      </c>
      <c r="AX844" s="21">
        <f t="shared" si="16"/>
        <v>2024</v>
      </c>
    </row>
    <row r="845" spans="1:50" ht="15.75" customHeight="1">
      <c r="A845" s="10" t="s">
        <v>2631</v>
      </c>
      <c r="B845" s="11">
        <v>45856</v>
      </c>
      <c r="C845" s="11">
        <v>45863</v>
      </c>
      <c r="D845" s="10" t="s">
        <v>2632</v>
      </c>
      <c r="E845" s="10" t="s">
        <v>143</v>
      </c>
      <c r="F845" s="10" t="s">
        <v>66</v>
      </c>
      <c r="G845" s="10" t="s">
        <v>54</v>
      </c>
      <c r="H845" s="10" t="s">
        <v>165</v>
      </c>
      <c r="I845" s="10" t="s">
        <v>166</v>
      </c>
      <c r="J845" s="10" t="s">
        <v>103</v>
      </c>
      <c r="K845" s="10" t="s">
        <v>200</v>
      </c>
      <c r="L845" s="10" t="s">
        <v>2633</v>
      </c>
      <c r="M845" s="10" t="s">
        <v>79</v>
      </c>
      <c r="N845" s="12">
        <v>9</v>
      </c>
      <c r="O845" s="12">
        <v>3989.52</v>
      </c>
      <c r="P845" s="12">
        <v>-0.02</v>
      </c>
      <c r="Q845" s="12">
        <v>35905.68</v>
      </c>
      <c r="R845" s="12">
        <v>23916.1</v>
      </c>
      <c r="S845" s="12">
        <v>11989.58</v>
      </c>
      <c r="T845" s="10" t="s">
        <v>61</v>
      </c>
      <c r="U845" s="13" t="s">
        <v>62</v>
      </c>
      <c r="V845" s="14" t="e">
        <f t="shared" ca="1" si="0"/>
        <v>#NAME?</v>
      </c>
      <c r="W845" s="10" t="str">
        <f ca="1">IFERROR(__xludf.DUMMYFUNCTION("IF(COUNTIF($A:$A,A839)=1,
""Unique"",
IF(COUNTUNIQUE(FILTER($V$2:$V$934,$A$2:$A$934=A839))&gt;1,
""Conflicting Duplicate"",
""Exact Duplicate""))"),"Unique")</f>
        <v>Unique</v>
      </c>
      <c r="X845" s="10" t="b">
        <f t="shared" ca="1" si="1"/>
        <v>1</v>
      </c>
      <c r="Y845" s="10" t="str">
        <f t="shared" si="2"/>
        <v>Unique</v>
      </c>
      <c r="Z845" s="10"/>
      <c r="AA845" s="10" t="str">
        <f t="shared" si="3"/>
        <v>Invalid</v>
      </c>
      <c r="AB845" s="15" t="str">
        <f t="shared" si="4"/>
        <v>Valid</v>
      </c>
      <c r="AC845" s="15">
        <v>7</v>
      </c>
      <c r="AD845" s="16" t="str">
        <f t="shared" si="5"/>
        <v>Valid</v>
      </c>
      <c r="AE845" s="16" t="str">
        <f t="shared" si="6"/>
        <v>Valid</v>
      </c>
      <c r="AF845" s="16" t="str">
        <f t="shared" ref="AF845:AG845" si="1701">IF(ISNUMBER(B845),"Valid","Invalid")</f>
        <v>Valid</v>
      </c>
      <c r="AG845" s="16" t="str">
        <f t="shared" si="1701"/>
        <v>Valid</v>
      </c>
      <c r="AH845" s="16" t="str">
        <f t="shared" ref="AH845:AI845" si="1702">IF(OR(B845="",ISBLANK(B845)),"Missing","Valid")</f>
        <v>Valid</v>
      </c>
      <c r="AI845" s="16" t="str">
        <f t="shared" si="1702"/>
        <v>Valid</v>
      </c>
      <c r="AJ845" s="16" t="b">
        <v>0</v>
      </c>
      <c r="AK845" s="16" t="b">
        <v>0</v>
      </c>
      <c r="AL845" s="16" t="b">
        <v>0</v>
      </c>
      <c r="AM845" s="16" t="b">
        <v>1</v>
      </c>
      <c r="AN845" s="16" t="b">
        <v>0</v>
      </c>
      <c r="AO845" s="16" t="b">
        <v>0</v>
      </c>
      <c r="AP845" s="16" t="b">
        <v>1</v>
      </c>
      <c r="AQ845" s="17">
        <f t="shared" si="9"/>
        <v>-0.02</v>
      </c>
      <c r="AR845" s="12">
        <f t="shared" si="10"/>
        <v>36623.793600000005</v>
      </c>
      <c r="AS845" s="18">
        <f t="shared" si="11"/>
        <v>-718.11360000000423</v>
      </c>
      <c r="AT845" s="12">
        <f t="shared" si="12"/>
        <v>12707.693600000006</v>
      </c>
      <c r="AU845" s="18">
        <f t="shared" si="13"/>
        <v>-718.11360000000604</v>
      </c>
      <c r="AV845" s="19">
        <f t="shared" si="14"/>
        <v>0.34697917257812433</v>
      </c>
      <c r="AW845" s="20" t="str">
        <f t="shared" si="15"/>
        <v>July</v>
      </c>
      <c r="AX845" s="21">
        <f t="shared" si="16"/>
        <v>2025</v>
      </c>
    </row>
    <row r="846" spans="1:50" ht="15.75" customHeight="1">
      <c r="A846" s="10" t="s">
        <v>2634</v>
      </c>
      <c r="B846" s="11">
        <v>45677</v>
      </c>
      <c r="C846" s="11">
        <v>45682</v>
      </c>
      <c r="D846" s="10" t="s">
        <v>2635</v>
      </c>
      <c r="E846" s="10" t="s">
        <v>118</v>
      </c>
      <c r="F846" s="10" t="s">
        <v>124</v>
      </c>
      <c r="G846" s="10" t="s">
        <v>92</v>
      </c>
      <c r="H846" s="10" t="s">
        <v>219</v>
      </c>
      <c r="I846" s="10" t="s">
        <v>220</v>
      </c>
      <c r="J846" s="10" t="s">
        <v>57</v>
      </c>
      <c r="K846" s="10" t="s">
        <v>77</v>
      </c>
      <c r="L846" s="10" t="s">
        <v>2636</v>
      </c>
      <c r="M846" s="10" t="s">
        <v>79</v>
      </c>
      <c r="N846" s="12">
        <v>1</v>
      </c>
      <c r="O846" s="12">
        <v>3515.15</v>
      </c>
      <c r="P846" s="12">
        <v>0</v>
      </c>
      <c r="Q846" s="12">
        <v>3515.15</v>
      </c>
      <c r="R846" s="12">
        <v>2216.34</v>
      </c>
      <c r="S846" s="12">
        <v>1298.81</v>
      </c>
      <c r="T846" s="10" t="s">
        <v>61</v>
      </c>
      <c r="U846" s="13" t="s">
        <v>62</v>
      </c>
      <c r="V846" s="14" t="e">
        <f t="shared" ca="1" si="0"/>
        <v>#NAME?</v>
      </c>
      <c r="W846" s="10" t="str">
        <f ca="1">IFERROR(__xludf.DUMMYFUNCTION("IF(COUNTIF($A:$A,A840)=1,
""Unique"",
IF(COUNTUNIQUE(FILTER($V$2:$V$934,$A$2:$A$934=A840))&gt;1,
""Conflicting Duplicate"",
""Exact Duplicate""))"),"Unique")</f>
        <v>Unique</v>
      </c>
      <c r="X846" s="10" t="b">
        <f t="shared" ca="1" si="1"/>
        <v>1</v>
      </c>
      <c r="Y846" s="10" t="str">
        <f t="shared" si="2"/>
        <v>Unique</v>
      </c>
      <c r="Z846" s="10"/>
      <c r="AA846" s="10" t="str">
        <f t="shared" si="3"/>
        <v>Clean</v>
      </c>
      <c r="AB846" s="15" t="str">
        <f t="shared" si="4"/>
        <v>Valid</v>
      </c>
      <c r="AC846" s="15">
        <v>5</v>
      </c>
      <c r="AD846" s="16" t="str">
        <f t="shared" si="5"/>
        <v>Valid</v>
      </c>
      <c r="AE846" s="16" t="str">
        <f t="shared" si="6"/>
        <v>Valid</v>
      </c>
      <c r="AF846" s="16" t="str">
        <f t="shared" ref="AF846:AG846" si="1703">IF(ISNUMBER(B846),"Valid","Invalid")</f>
        <v>Valid</v>
      </c>
      <c r="AG846" s="16" t="str">
        <f t="shared" si="1703"/>
        <v>Valid</v>
      </c>
      <c r="AH846" s="16" t="str">
        <f t="shared" ref="AH846:AI846" si="1704">IF(OR(B846="",ISBLANK(B846)),"Missing","Valid")</f>
        <v>Valid</v>
      </c>
      <c r="AI846" s="16" t="str">
        <f t="shared" si="1704"/>
        <v>Valid</v>
      </c>
      <c r="AJ846" s="16" t="b">
        <v>0</v>
      </c>
      <c r="AK846" s="16" t="b">
        <v>0</v>
      </c>
      <c r="AL846" s="16" t="b">
        <v>0</v>
      </c>
      <c r="AM846" s="16" t="b">
        <v>0</v>
      </c>
      <c r="AN846" s="16" t="b">
        <v>0</v>
      </c>
      <c r="AO846" s="16" t="b">
        <v>0</v>
      </c>
      <c r="AP846" s="16" t="b">
        <v>0</v>
      </c>
      <c r="AQ846" s="17">
        <f t="shared" si="9"/>
        <v>0</v>
      </c>
      <c r="AR846" s="12">
        <f t="shared" si="10"/>
        <v>3515.15</v>
      </c>
      <c r="AS846" s="18">
        <f t="shared" si="11"/>
        <v>0</v>
      </c>
      <c r="AT846" s="12">
        <f t="shared" si="12"/>
        <v>1298.81</v>
      </c>
      <c r="AU846" s="18">
        <f t="shared" si="13"/>
        <v>0</v>
      </c>
      <c r="AV846" s="19">
        <f t="shared" si="14"/>
        <v>0.36948921098672882</v>
      </c>
      <c r="AW846" s="20" t="str">
        <f t="shared" si="15"/>
        <v>January</v>
      </c>
      <c r="AX846" s="21">
        <f t="shared" si="16"/>
        <v>2025</v>
      </c>
    </row>
    <row r="847" spans="1:50" ht="15.75" customHeight="1">
      <c r="A847" s="10" t="s">
        <v>2637</v>
      </c>
      <c r="B847" s="11">
        <v>45345</v>
      </c>
      <c r="C847" s="11">
        <v>45349</v>
      </c>
      <c r="D847" s="10" t="s">
        <v>623</v>
      </c>
      <c r="E847" s="10" t="s">
        <v>52</v>
      </c>
      <c r="F847" s="10" t="s">
        <v>53</v>
      </c>
      <c r="G847" s="10" t="s">
        <v>67</v>
      </c>
      <c r="H847" s="10" t="s">
        <v>68</v>
      </c>
      <c r="I847" s="10" t="s">
        <v>69</v>
      </c>
      <c r="J847" s="10" t="s">
        <v>70</v>
      </c>
      <c r="K847" s="10" t="s">
        <v>71</v>
      </c>
      <c r="L847" s="10" t="s">
        <v>2638</v>
      </c>
      <c r="M847" s="10" t="s">
        <v>79</v>
      </c>
      <c r="N847" s="12">
        <v>9</v>
      </c>
      <c r="O847" s="12">
        <v>3616.23</v>
      </c>
      <c r="P847" s="12">
        <v>0.25</v>
      </c>
      <c r="Q847" s="12">
        <v>24409.55</v>
      </c>
      <c r="R847" s="12">
        <v>17157.580000000002</v>
      </c>
      <c r="S847" s="12">
        <v>7251.97</v>
      </c>
      <c r="T847" s="10" t="s">
        <v>140</v>
      </c>
      <c r="U847" s="13" t="s">
        <v>132</v>
      </c>
      <c r="V847" s="14" t="e">
        <f t="shared" ca="1" si="0"/>
        <v>#NAME?</v>
      </c>
      <c r="W847" s="10" t="str">
        <f ca="1">IFERROR(__xludf.DUMMYFUNCTION("IF(COUNTIF($A:$A,A841)=1,
""Unique"",
IF(COUNTUNIQUE(FILTER($V$2:$V$934,$A$2:$A$934=A841))&gt;1,
""Conflicting Duplicate"",
""Exact Duplicate""))"),"Unique")</f>
        <v>Unique</v>
      </c>
      <c r="X847" s="10" t="b">
        <f t="shared" ca="1" si="1"/>
        <v>1</v>
      </c>
      <c r="Y847" s="10" t="str">
        <f t="shared" si="2"/>
        <v>Unique</v>
      </c>
      <c r="Z847" s="10"/>
      <c r="AA847" s="10" t="str">
        <f t="shared" si="3"/>
        <v>Clean</v>
      </c>
      <c r="AB847" s="15" t="str">
        <f t="shared" si="4"/>
        <v>Valid</v>
      </c>
      <c r="AC847" s="15">
        <v>4</v>
      </c>
      <c r="AD847" s="16" t="str">
        <f t="shared" si="5"/>
        <v>Valid</v>
      </c>
      <c r="AE847" s="16" t="str">
        <f t="shared" si="6"/>
        <v>Valid</v>
      </c>
      <c r="AF847" s="16" t="str">
        <f t="shared" ref="AF847:AG847" si="1705">IF(ISNUMBER(B847),"Valid","Invalid")</f>
        <v>Valid</v>
      </c>
      <c r="AG847" s="16" t="str">
        <f t="shared" si="1705"/>
        <v>Valid</v>
      </c>
      <c r="AH847" s="16" t="str">
        <f t="shared" ref="AH847:AI847" si="1706">IF(OR(B847="",ISBLANK(B847)),"Missing","Valid")</f>
        <v>Valid</v>
      </c>
      <c r="AI847" s="16" t="str">
        <f t="shared" si="1706"/>
        <v>Valid</v>
      </c>
      <c r="AJ847" s="16" t="b">
        <v>0</v>
      </c>
      <c r="AK847" s="16" t="b">
        <v>0</v>
      </c>
      <c r="AL847" s="16" t="b">
        <v>0</v>
      </c>
      <c r="AM847" s="16" t="b">
        <v>0</v>
      </c>
      <c r="AN847" s="16" t="b">
        <v>0</v>
      </c>
      <c r="AO847" s="16" t="b">
        <v>0</v>
      </c>
      <c r="AP847" s="16" t="b">
        <v>0</v>
      </c>
      <c r="AQ847" s="17">
        <f t="shared" si="9"/>
        <v>0.25</v>
      </c>
      <c r="AR847" s="12">
        <f t="shared" si="10"/>
        <v>24409.552499999998</v>
      </c>
      <c r="AS847" s="18">
        <f t="shared" si="11"/>
        <v>-2.4999999986903276E-3</v>
      </c>
      <c r="AT847" s="12">
        <f t="shared" si="12"/>
        <v>7251.9724999999962</v>
      </c>
      <c r="AU847" s="18">
        <f t="shared" si="13"/>
        <v>-2.4999999959618435E-3</v>
      </c>
      <c r="AV847" s="19">
        <f t="shared" si="14"/>
        <v>0.29709567596538267</v>
      </c>
      <c r="AW847" s="20" t="str">
        <f t="shared" si="15"/>
        <v>February</v>
      </c>
      <c r="AX847" s="21">
        <f t="shared" si="16"/>
        <v>2024</v>
      </c>
    </row>
    <row r="848" spans="1:50" ht="15.75" customHeight="1">
      <c r="A848" s="10" t="s">
        <v>2639</v>
      </c>
      <c r="B848" s="11">
        <v>45396</v>
      </c>
      <c r="C848" s="11">
        <v>45404</v>
      </c>
      <c r="D848" s="10" t="s">
        <v>2640</v>
      </c>
      <c r="E848" s="10" t="s">
        <v>143</v>
      </c>
      <c r="F848" s="10" t="s">
        <v>66</v>
      </c>
      <c r="G848" s="10" t="s">
        <v>92</v>
      </c>
      <c r="H848" s="10" t="s">
        <v>209</v>
      </c>
      <c r="I848" s="10" t="s">
        <v>210</v>
      </c>
      <c r="J848" s="10" t="s">
        <v>70</v>
      </c>
      <c r="K848" s="10" t="s">
        <v>187</v>
      </c>
      <c r="L848" s="10" t="s">
        <v>2641</v>
      </c>
      <c r="M848" s="10" t="s">
        <v>88</v>
      </c>
      <c r="N848" s="12">
        <v>2</v>
      </c>
      <c r="O848" s="12">
        <v>3977.52</v>
      </c>
      <c r="P848" s="12">
        <v>0</v>
      </c>
      <c r="Q848" s="12">
        <v>7955.04</v>
      </c>
      <c r="R848" s="12">
        <v>5580.68</v>
      </c>
      <c r="S848" s="12">
        <v>2374.36</v>
      </c>
      <c r="T848" s="10" t="s">
        <v>140</v>
      </c>
      <c r="U848" s="13" t="s">
        <v>132</v>
      </c>
      <c r="V848" s="14" t="e">
        <f t="shared" ca="1" si="0"/>
        <v>#NAME?</v>
      </c>
      <c r="W848" s="10" t="str">
        <f ca="1">IFERROR(__xludf.DUMMYFUNCTION("IF(COUNTIF($A:$A,A842)=1,
""Unique"",
IF(COUNTUNIQUE(FILTER($V$2:$V$934,$A$2:$A$934=A842))&gt;1,
""Conflicting Duplicate"",
""Exact Duplicate""))"),"Unique")</f>
        <v>Unique</v>
      </c>
      <c r="X848" s="10" t="b">
        <f t="shared" ca="1" si="1"/>
        <v>1</v>
      </c>
      <c r="Y848" s="10" t="str">
        <f t="shared" si="2"/>
        <v>Unique</v>
      </c>
      <c r="Z848" s="10"/>
      <c r="AA848" s="10" t="str">
        <f t="shared" si="3"/>
        <v>Clean</v>
      </c>
      <c r="AB848" s="15" t="str">
        <f t="shared" si="4"/>
        <v>Valid</v>
      </c>
      <c r="AC848" s="15">
        <v>8</v>
      </c>
      <c r="AD848" s="16" t="str">
        <f t="shared" si="5"/>
        <v>Valid</v>
      </c>
      <c r="AE848" s="16" t="str">
        <f t="shared" si="6"/>
        <v>Valid</v>
      </c>
      <c r="AF848" s="16" t="str">
        <f t="shared" ref="AF848:AG848" si="1707">IF(ISNUMBER(B848),"Valid","Invalid")</f>
        <v>Valid</v>
      </c>
      <c r="AG848" s="16" t="str">
        <f t="shared" si="1707"/>
        <v>Valid</v>
      </c>
      <c r="AH848" s="16" t="str">
        <f t="shared" ref="AH848:AI848" si="1708">IF(OR(B848="",ISBLANK(B848)),"Missing","Valid")</f>
        <v>Valid</v>
      </c>
      <c r="AI848" s="16" t="str">
        <f t="shared" si="1708"/>
        <v>Valid</v>
      </c>
      <c r="AJ848" s="16" t="b">
        <v>0</v>
      </c>
      <c r="AK848" s="16" t="b">
        <v>0</v>
      </c>
      <c r="AL848" s="16" t="b">
        <v>0</v>
      </c>
      <c r="AM848" s="16" t="b">
        <v>0</v>
      </c>
      <c r="AN848" s="16" t="b">
        <v>0</v>
      </c>
      <c r="AO848" s="16" t="b">
        <v>0</v>
      </c>
      <c r="AP848" s="16" t="b">
        <v>0</v>
      </c>
      <c r="AQ848" s="17">
        <f t="shared" si="9"/>
        <v>0</v>
      </c>
      <c r="AR848" s="12">
        <f t="shared" si="10"/>
        <v>7955.04</v>
      </c>
      <c r="AS848" s="18">
        <f t="shared" si="11"/>
        <v>0</v>
      </c>
      <c r="AT848" s="12">
        <f t="shared" si="12"/>
        <v>2374.3599999999997</v>
      </c>
      <c r="AU848" s="18">
        <f t="shared" si="13"/>
        <v>0</v>
      </c>
      <c r="AV848" s="19">
        <f t="shared" si="14"/>
        <v>0.29847241497214339</v>
      </c>
      <c r="AW848" s="20" t="str">
        <f t="shared" si="15"/>
        <v>April</v>
      </c>
      <c r="AX848" s="21">
        <f t="shared" si="16"/>
        <v>2024</v>
      </c>
    </row>
    <row r="849" spans="1:50" ht="15.75" customHeight="1">
      <c r="A849" s="10" t="s">
        <v>2642</v>
      </c>
      <c r="B849" s="11">
        <v>45797</v>
      </c>
      <c r="C849" s="11">
        <v>45799</v>
      </c>
      <c r="D849" s="10" t="s">
        <v>2643</v>
      </c>
      <c r="E849" s="10" t="s">
        <v>191</v>
      </c>
      <c r="F849" s="10" t="s">
        <v>124</v>
      </c>
      <c r="G849" s="10" t="s">
        <v>67</v>
      </c>
      <c r="H849" s="10" t="s">
        <v>68</v>
      </c>
      <c r="I849" s="10" t="s">
        <v>69</v>
      </c>
      <c r="J849" s="10" t="s">
        <v>70</v>
      </c>
      <c r="K849" s="10" t="s">
        <v>71</v>
      </c>
      <c r="L849" s="10" t="s">
        <v>2644</v>
      </c>
      <c r="M849" s="10" t="s">
        <v>60</v>
      </c>
      <c r="N849" s="12">
        <v>2</v>
      </c>
      <c r="O849" s="12">
        <v>210.08</v>
      </c>
      <c r="P849" s="12">
        <v>0.2</v>
      </c>
      <c r="Q849" s="12">
        <v>336.13</v>
      </c>
      <c r="R849" s="12">
        <v>242.19</v>
      </c>
      <c r="S849" s="12">
        <v>93.94</v>
      </c>
      <c r="T849" s="10" t="s">
        <v>61</v>
      </c>
      <c r="U849" s="13" t="s">
        <v>62</v>
      </c>
      <c r="V849" s="14" t="e">
        <f t="shared" ca="1" si="0"/>
        <v>#NAME?</v>
      </c>
      <c r="W849" s="10" t="str">
        <f ca="1">IFERROR(__xludf.DUMMYFUNCTION("IF(COUNTIF($A:$A,A843)=1,
""Unique"",
IF(COUNTUNIQUE(FILTER($V$2:$V$934,$A$2:$A$934=A843))&gt;1,
""Conflicting Duplicate"",
""Exact Duplicate""))"),"Unique")</f>
        <v>Unique</v>
      </c>
      <c r="X849" s="10" t="b">
        <f t="shared" ca="1" si="1"/>
        <v>1</v>
      </c>
      <c r="Y849" s="10" t="str">
        <f t="shared" si="2"/>
        <v>Unique</v>
      </c>
      <c r="Z849" s="10"/>
      <c r="AA849" s="10" t="str">
        <f t="shared" si="3"/>
        <v>Clean</v>
      </c>
      <c r="AB849" s="15" t="str">
        <f t="shared" si="4"/>
        <v>Valid</v>
      </c>
      <c r="AC849" s="15">
        <v>2</v>
      </c>
      <c r="AD849" s="16" t="str">
        <f t="shared" si="5"/>
        <v>Valid</v>
      </c>
      <c r="AE849" s="16" t="str">
        <f t="shared" si="6"/>
        <v>Valid</v>
      </c>
      <c r="AF849" s="16" t="str">
        <f t="shared" ref="AF849:AG849" si="1709">IF(ISNUMBER(B849),"Valid","Invalid")</f>
        <v>Valid</v>
      </c>
      <c r="AG849" s="16" t="str">
        <f t="shared" si="1709"/>
        <v>Valid</v>
      </c>
      <c r="AH849" s="16" t="str">
        <f t="shared" ref="AH849:AI849" si="1710">IF(OR(B849="",ISBLANK(B849)),"Missing","Valid")</f>
        <v>Valid</v>
      </c>
      <c r="AI849" s="16" t="str">
        <f t="shared" si="1710"/>
        <v>Valid</v>
      </c>
      <c r="AJ849" s="16" t="b">
        <v>0</v>
      </c>
      <c r="AK849" s="16" t="b">
        <v>0</v>
      </c>
      <c r="AL849" s="16" t="b">
        <v>0</v>
      </c>
      <c r="AM849" s="16" t="b">
        <v>0</v>
      </c>
      <c r="AN849" s="16" t="b">
        <v>0</v>
      </c>
      <c r="AO849" s="16" t="b">
        <v>0</v>
      </c>
      <c r="AP849" s="16" t="b">
        <v>0</v>
      </c>
      <c r="AQ849" s="17">
        <f t="shared" si="9"/>
        <v>0.2</v>
      </c>
      <c r="AR849" s="12">
        <f t="shared" si="10"/>
        <v>336.12800000000004</v>
      </c>
      <c r="AS849" s="18">
        <f t="shared" si="11"/>
        <v>1.9999999999527063E-3</v>
      </c>
      <c r="AT849" s="12">
        <f t="shared" si="12"/>
        <v>93.938000000000045</v>
      </c>
      <c r="AU849" s="18">
        <f t="shared" si="13"/>
        <v>1.9999999999527063E-3</v>
      </c>
      <c r="AV849" s="19">
        <f t="shared" si="14"/>
        <v>0.27947091584158423</v>
      </c>
      <c r="AW849" s="20" t="str">
        <f t="shared" si="15"/>
        <v>May</v>
      </c>
      <c r="AX849" s="21">
        <f t="shared" si="16"/>
        <v>2025</v>
      </c>
    </row>
    <row r="850" spans="1:50" ht="15.75" customHeight="1">
      <c r="A850" s="10" t="s">
        <v>2645</v>
      </c>
      <c r="B850" s="11">
        <v>45804</v>
      </c>
      <c r="C850" s="11">
        <v>45806</v>
      </c>
      <c r="D850" s="10" t="s">
        <v>2646</v>
      </c>
      <c r="E850" s="10" t="s">
        <v>147</v>
      </c>
      <c r="F850" s="10" t="s">
        <v>124</v>
      </c>
      <c r="G850" s="10" t="s">
        <v>83</v>
      </c>
      <c r="H850" s="10" t="s">
        <v>277</v>
      </c>
      <c r="I850" s="10" t="s">
        <v>278</v>
      </c>
      <c r="J850" s="10" t="s">
        <v>70</v>
      </c>
      <c r="K850" s="10" t="s">
        <v>86</v>
      </c>
      <c r="L850" s="10" t="s">
        <v>2647</v>
      </c>
      <c r="M850" s="10" t="s">
        <v>60</v>
      </c>
      <c r="N850" s="12">
        <v>1</v>
      </c>
      <c r="O850" s="12">
        <v>1744.35</v>
      </c>
      <c r="P850" s="12">
        <v>0.25</v>
      </c>
      <c r="Q850" s="12">
        <v>1308.26</v>
      </c>
      <c r="R850" s="12">
        <v>1083.56</v>
      </c>
      <c r="S850" s="12">
        <v>224.7</v>
      </c>
      <c r="T850" s="10" t="s">
        <v>61</v>
      </c>
      <c r="U850" s="13" t="s">
        <v>62</v>
      </c>
      <c r="V850" s="14" t="e">
        <f t="shared" ca="1" si="0"/>
        <v>#NAME?</v>
      </c>
      <c r="W850" s="10" t="str">
        <f ca="1">IFERROR(__xludf.DUMMYFUNCTION("IF(COUNTIF($A:$A,A844)=1,
""Unique"",
IF(COUNTUNIQUE(FILTER($V$2:$V$934,$A$2:$A$934=A844))&gt;1,
""Conflicting Duplicate"",
""Exact Duplicate""))"),"Unique")</f>
        <v>Unique</v>
      </c>
      <c r="X850" s="10" t="b">
        <f t="shared" ca="1" si="1"/>
        <v>1</v>
      </c>
      <c r="Y850" s="10" t="str">
        <f t="shared" si="2"/>
        <v>Unique</v>
      </c>
      <c r="Z850" s="10"/>
      <c r="AA850" s="10" t="str">
        <f t="shared" si="3"/>
        <v>Clean</v>
      </c>
      <c r="AB850" s="15" t="str">
        <f t="shared" si="4"/>
        <v>Valid</v>
      </c>
      <c r="AC850" s="15">
        <v>2</v>
      </c>
      <c r="AD850" s="16" t="str">
        <f t="shared" si="5"/>
        <v>Valid</v>
      </c>
      <c r="AE850" s="16" t="str">
        <f t="shared" si="6"/>
        <v>Valid</v>
      </c>
      <c r="AF850" s="16" t="str">
        <f t="shared" ref="AF850:AG850" si="1711">IF(ISNUMBER(B850),"Valid","Invalid")</f>
        <v>Valid</v>
      </c>
      <c r="AG850" s="16" t="str">
        <f t="shared" si="1711"/>
        <v>Valid</v>
      </c>
      <c r="AH850" s="16" t="str">
        <f t="shared" ref="AH850:AI850" si="1712">IF(OR(B850="",ISBLANK(B850)),"Missing","Valid")</f>
        <v>Valid</v>
      </c>
      <c r="AI850" s="16" t="str">
        <f t="shared" si="1712"/>
        <v>Valid</v>
      </c>
      <c r="AJ850" s="16" t="b">
        <v>0</v>
      </c>
      <c r="AK850" s="16" t="b">
        <v>0</v>
      </c>
      <c r="AL850" s="16" t="b">
        <v>0</v>
      </c>
      <c r="AM850" s="16" t="b">
        <v>0</v>
      </c>
      <c r="AN850" s="16" t="b">
        <v>0</v>
      </c>
      <c r="AO850" s="16" t="b">
        <v>0</v>
      </c>
      <c r="AP850" s="16" t="b">
        <v>0</v>
      </c>
      <c r="AQ850" s="17">
        <f t="shared" si="9"/>
        <v>0.25</v>
      </c>
      <c r="AR850" s="12">
        <f t="shared" si="10"/>
        <v>1308.2624999999998</v>
      </c>
      <c r="AS850" s="18">
        <f t="shared" si="11"/>
        <v>-2.499999999827196E-3</v>
      </c>
      <c r="AT850" s="12">
        <f t="shared" si="12"/>
        <v>224.70249999999987</v>
      </c>
      <c r="AU850" s="18">
        <f t="shared" si="13"/>
        <v>-2.4999999998840394E-3</v>
      </c>
      <c r="AV850" s="19">
        <f t="shared" si="14"/>
        <v>0.17175643267310645</v>
      </c>
      <c r="AW850" s="20" t="str">
        <f t="shared" si="15"/>
        <v>May</v>
      </c>
      <c r="AX850" s="21">
        <f t="shared" si="16"/>
        <v>2025</v>
      </c>
    </row>
    <row r="851" spans="1:50" ht="15.75" customHeight="1">
      <c r="A851" s="10" t="s">
        <v>2648</v>
      </c>
      <c r="B851" s="11">
        <v>45357</v>
      </c>
      <c r="C851" s="11">
        <v>45363</v>
      </c>
      <c r="D851" s="10" t="s">
        <v>2649</v>
      </c>
      <c r="E851" s="10" t="s">
        <v>76</v>
      </c>
      <c r="F851" s="10" t="s">
        <v>124</v>
      </c>
      <c r="G851" s="10" t="s">
        <v>92</v>
      </c>
      <c r="H851" s="10" t="s">
        <v>209</v>
      </c>
      <c r="I851" s="10" t="s">
        <v>210</v>
      </c>
      <c r="J851" s="10" t="s">
        <v>70</v>
      </c>
      <c r="K851" s="10" t="s">
        <v>187</v>
      </c>
      <c r="L851" s="10" t="s">
        <v>2650</v>
      </c>
      <c r="M851" s="10" t="s">
        <v>88</v>
      </c>
      <c r="N851" s="12">
        <v>3</v>
      </c>
      <c r="O851" s="12">
        <v>679.63</v>
      </c>
      <c r="P851" s="12">
        <v>0.2</v>
      </c>
      <c r="Q851" s="12">
        <v>1631.11</v>
      </c>
      <c r="R851" s="12">
        <v>898.73</v>
      </c>
      <c r="S851" s="12">
        <v>396.58</v>
      </c>
      <c r="T851" s="10" t="s">
        <v>61</v>
      </c>
      <c r="U851" s="13" t="s">
        <v>62</v>
      </c>
      <c r="V851" s="14" t="e">
        <f t="shared" ca="1" si="0"/>
        <v>#NAME?</v>
      </c>
      <c r="W851" s="10" t="str">
        <f ca="1">IFERROR(__xludf.DUMMYFUNCTION("IF(COUNTIF($A:$A,A845)=1,
""Unique"",
IF(COUNTUNIQUE(FILTER($V$2:$V$934,$A$2:$A$934=A845))&gt;1,
""Conflicting Duplicate"",
""Exact Duplicate""))"),"Unique")</f>
        <v>Unique</v>
      </c>
      <c r="X851" s="10" t="b">
        <f t="shared" ca="1" si="1"/>
        <v>1</v>
      </c>
      <c r="Y851" s="10" t="str">
        <f t="shared" si="2"/>
        <v>Duplicate Order ID</v>
      </c>
      <c r="Z851" s="10"/>
      <c r="AA851" s="10" t="str">
        <f t="shared" si="3"/>
        <v>Clean</v>
      </c>
      <c r="AB851" s="15" t="str">
        <f t="shared" si="4"/>
        <v>Valid</v>
      </c>
      <c r="AC851" s="15">
        <v>6</v>
      </c>
      <c r="AD851" s="16" t="str">
        <f t="shared" si="5"/>
        <v>Valid</v>
      </c>
      <c r="AE851" s="16" t="str">
        <f t="shared" si="6"/>
        <v>Valid</v>
      </c>
      <c r="AF851" s="16" t="str">
        <f t="shared" ref="AF851:AG851" si="1713">IF(ISNUMBER(B851),"Valid","Invalid")</f>
        <v>Valid</v>
      </c>
      <c r="AG851" s="16" t="str">
        <f t="shared" si="1713"/>
        <v>Valid</v>
      </c>
      <c r="AH851" s="16" t="str">
        <f t="shared" ref="AH851:AI851" si="1714">IF(OR(B851="",ISBLANK(B851)),"Missing","Valid")</f>
        <v>Valid</v>
      </c>
      <c r="AI851" s="16" t="str">
        <f t="shared" si="1714"/>
        <v>Valid</v>
      </c>
      <c r="AJ851" s="16" t="b">
        <v>0</v>
      </c>
      <c r="AK851" s="16" t="b">
        <v>0</v>
      </c>
      <c r="AL851" s="16" t="b">
        <v>0</v>
      </c>
      <c r="AM851" s="16" t="b">
        <v>0</v>
      </c>
      <c r="AN851" s="16" t="b">
        <v>0</v>
      </c>
      <c r="AO851" s="16" t="b">
        <v>0</v>
      </c>
      <c r="AP851" s="16" t="b">
        <v>0</v>
      </c>
      <c r="AQ851" s="17">
        <f t="shared" si="9"/>
        <v>0.2</v>
      </c>
      <c r="AR851" s="12">
        <f t="shared" si="10"/>
        <v>1631.1120000000001</v>
      </c>
      <c r="AS851" s="18">
        <f t="shared" si="11"/>
        <v>-2.00000000018008E-3</v>
      </c>
      <c r="AT851" s="12">
        <f t="shared" si="12"/>
        <v>732.38200000000006</v>
      </c>
      <c r="AU851" s="18">
        <f t="shared" si="13"/>
        <v>-335.80200000000008</v>
      </c>
      <c r="AV851" s="19">
        <f t="shared" si="14"/>
        <v>0.44900779345624336</v>
      </c>
      <c r="AW851" s="20" t="str">
        <f t="shared" si="15"/>
        <v>March</v>
      </c>
      <c r="AX851" s="21">
        <f t="shared" si="16"/>
        <v>2024</v>
      </c>
    </row>
    <row r="852" spans="1:50" ht="15.75" customHeight="1">
      <c r="A852" s="10" t="s">
        <v>2651</v>
      </c>
      <c r="B852" s="11">
        <v>45473</v>
      </c>
      <c r="C852" s="11">
        <v>45476</v>
      </c>
      <c r="D852" s="10" t="s">
        <v>2652</v>
      </c>
      <c r="E852" s="10" t="s">
        <v>143</v>
      </c>
      <c r="F852" s="10" t="s">
        <v>124</v>
      </c>
      <c r="G852" s="10" t="s">
        <v>67</v>
      </c>
      <c r="H852" s="10" t="s">
        <v>128</v>
      </c>
      <c r="I852" s="10" t="s">
        <v>129</v>
      </c>
      <c r="J852" s="10" t="s">
        <v>57</v>
      </c>
      <c r="K852" s="10" t="s">
        <v>58</v>
      </c>
      <c r="L852" s="10" t="s">
        <v>2653</v>
      </c>
      <c r="M852" s="10" t="s">
        <v>79</v>
      </c>
      <c r="N852" s="12">
        <v>6</v>
      </c>
      <c r="O852" s="12">
        <v>1211.01</v>
      </c>
      <c r="P852" s="12">
        <v>0</v>
      </c>
      <c r="Q852" s="12">
        <v>7266.06</v>
      </c>
      <c r="R852" s="12">
        <v>6216.89</v>
      </c>
      <c r="S852" s="12">
        <v>1049.17</v>
      </c>
      <c r="T852" s="10" t="s">
        <v>61</v>
      </c>
      <c r="U852" s="13" t="s">
        <v>62</v>
      </c>
      <c r="V852" s="14" t="e">
        <f t="shared" ca="1" si="0"/>
        <v>#NAME?</v>
      </c>
      <c r="W852" s="10" t="str">
        <f ca="1">IFERROR(__xludf.DUMMYFUNCTION("IF(COUNTIF($A:$A,A846)=1,
""Unique"",
IF(COUNTUNIQUE(FILTER($V$2:$V$934,$A$2:$A$934=A846))&gt;1,
""Conflicting Duplicate"",
""Exact Duplicate""))"),"Unique")</f>
        <v>Unique</v>
      </c>
      <c r="X852" s="10" t="b">
        <f t="shared" ca="1" si="1"/>
        <v>1</v>
      </c>
      <c r="Y852" s="10" t="str">
        <f t="shared" si="2"/>
        <v>Unique</v>
      </c>
      <c r="Z852" s="10"/>
      <c r="AA852" s="10" t="str">
        <f t="shared" si="3"/>
        <v>Clean</v>
      </c>
      <c r="AB852" s="15" t="str">
        <f t="shared" si="4"/>
        <v>Valid</v>
      </c>
      <c r="AC852" s="15">
        <v>3</v>
      </c>
      <c r="AD852" s="16" t="str">
        <f t="shared" si="5"/>
        <v>Valid</v>
      </c>
      <c r="AE852" s="16" t="str">
        <f t="shared" si="6"/>
        <v>Valid</v>
      </c>
      <c r="AF852" s="16" t="str">
        <f t="shared" ref="AF852:AG852" si="1715">IF(ISNUMBER(B852),"Valid","Invalid")</f>
        <v>Valid</v>
      </c>
      <c r="AG852" s="16" t="str">
        <f t="shared" si="1715"/>
        <v>Valid</v>
      </c>
      <c r="AH852" s="16" t="str">
        <f t="shared" ref="AH852:AI852" si="1716">IF(OR(B852="",ISBLANK(B852)),"Missing","Valid")</f>
        <v>Valid</v>
      </c>
      <c r="AI852" s="16" t="str">
        <f t="shared" si="1716"/>
        <v>Valid</v>
      </c>
      <c r="AJ852" s="16" t="b">
        <v>0</v>
      </c>
      <c r="AK852" s="16" t="b">
        <v>0</v>
      </c>
      <c r="AL852" s="16" t="b">
        <v>0</v>
      </c>
      <c r="AM852" s="16" t="b">
        <v>0</v>
      </c>
      <c r="AN852" s="16" t="b">
        <v>0</v>
      </c>
      <c r="AO852" s="16" t="b">
        <v>0</v>
      </c>
      <c r="AP852" s="16" t="b">
        <v>0</v>
      </c>
      <c r="AQ852" s="17">
        <f t="shared" si="9"/>
        <v>0</v>
      </c>
      <c r="AR852" s="12">
        <f t="shared" si="10"/>
        <v>7266.0599999999995</v>
      </c>
      <c r="AS852" s="18">
        <f t="shared" si="11"/>
        <v>0</v>
      </c>
      <c r="AT852" s="12">
        <f t="shared" si="12"/>
        <v>1049.1699999999992</v>
      </c>
      <c r="AU852" s="18">
        <f t="shared" si="13"/>
        <v>0</v>
      </c>
      <c r="AV852" s="19">
        <f t="shared" si="14"/>
        <v>0.14439324750965438</v>
      </c>
      <c r="AW852" s="20" t="str">
        <f t="shared" si="15"/>
        <v>June</v>
      </c>
      <c r="AX852" s="21">
        <f t="shared" si="16"/>
        <v>2024</v>
      </c>
    </row>
    <row r="853" spans="1:50" ht="15.75" customHeight="1">
      <c r="A853" s="10" t="s">
        <v>2654</v>
      </c>
      <c r="B853" s="11">
        <v>45377</v>
      </c>
      <c r="C853" s="11">
        <v>45383</v>
      </c>
      <c r="D853" s="10" t="s">
        <v>2655</v>
      </c>
      <c r="E853" s="10" t="s">
        <v>52</v>
      </c>
      <c r="F853" s="10" t="s">
        <v>66</v>
      </c>
      <c r="G853" s="10" t="s">
        <v>92</v>
      </c>
      <c r="H853" s="10" t="s">
        <v>209</v>
      </c>
      <c r="I853" s="10" t="s">
        <v>210</v>
      </c>
      <c r="J853" s="10" t="s">
        <v>103</v>
      </c>
      <c r="K853" s="10" t="s">
        <v>104</v>
      </c>
      <c r="L853" s="10" t="s">
        <v>2656</v>
      </c>
      <c r="M853" s="10" t="s">
        <v>79</v>
      </c>
      <c r="N853" s="12">
        <v>2</v>
      </c>
      <c r="O853" s="12">
        <v>1161.3</v>
      </c>
      <c r="P853" s="12">
        <v>0.2</v>
      </c>
      <c r="Q853" s="12">
        <v>1858.08</v>
      </c>
      <c r="R853" s="12">
        <v>1590.75</v>
      </c>
      <c r="S853" s="12">
        <v>267.33</v>
      </c>
      <c r="T853" s="10" t="s">
        <v>61</v>
      </c>
      <c r="U853" s="13" t="s">
        <v>62</v>
      </c>
      <c r="V853" s="14" t="e">
        <f t="shared" ca="1" si="0"/>
        <v>#NAME?</v>
      </c>
      <c r="W853" s="10" t="str">
        <f ca="1">IFERROR(__xludf.DUMMYFUNCTION("IF(COUNTIF($A:$A,A847)=1,
""Unique"",
IF(COUNTUNIQUE(FILTER($V$2:$V$934,$A$2:$A$934=A847))&gt;1,
""Conflicting Duplicate"",
""Exact Duplicate""))"),"Unique")</f>
        <v>Unique</v>
      </c>
      <c r="X853" s="10" t="b">
        <f t="shared" ca="1" si="1"/>
        <v>1</v>
      </c>
      <c r="Y853" s="10" t="str">
        <f t="shared" si="2"/>
        <v>Unique</v>
      </c>
      <c r="Z853" s="10"/>
      <c r="AA853" s="10" t="str">
        <f t="shared" si="3"/>
        <v>Clean</v>
      </c>
      <c r="AB853" s="15" t="str">
        <f t="shared" si="4"/>
        <v>Valid</v>
      </c>
      <c r="AC853" s="15">
        <v>6</v>
      </c>
      <c r="AD853" s="16" t="str">
        <f t="shared" si="5"/>
        <v>Valid</v>
      </c>
      <c r="AE853" s="16" t="str">
        <f t="shared" si="6"/>
        <v>Valid</v>
      </c>
      <c r="AF853" s="16" t="str">
        <f t="shared" ref="AF853:AG853" si="1717">IF(ISNUMBER(B853),"Valid","Invalid")</f>
        <v>Valid</v>
      </c>
      <c r="AG853" s="16" t="str">
        <f t="shared" si="1717"/>
        <v>Valid</v>
      </c>
      <c r="AH853" s="16" t="str">
        <f t="shared" ref="AH853:AI853" si="1718">IF(OR(B853="",ISBLANK(B853)),"Missing","Valid")</f>
        <v>Valid</v>
      </c>
      <c r="AI853" s="16" t="str">
        <f t="shared" si="1718"/>
        <v>Valid</v>
      </c>
      <c r="AJ853" s="16" t="b">
        <v>0</v>
      </c>
      <c r="AK853" s="16" t="b">
        <v>0</v>
      </c>
      <c r="AL853" s="16" t="b">
        <v>0</v>
      </c>
      <c r="AM853" s="16" t="b">
        <v>0</v>
      </c>
      <c r="AN853" s="16" t="b">
        <v>0</v>
      </c>
      <c r="AO853" s="16" t="b">
        <v>0</v>
      </c>
      <c r="AP853" s="16" t="b">
        <v>0</v>
      </c>
      <c r="AQ853" s="17">
        <f t="shared" si="9"/>
        <v>0.2</v>
      </c>
      <c r="AR853" s="12">
        <f t="shared" si="10"/>
        <v>1858.08</v>
      </c>
      <c r="AS853" s="18">
        <f t="shared" si="11"/>
        <v>0</v>
      </c>
      <c r="AT853" s="12">
        <f t="shared" si="12"/>
        <v>267.32999999999993</v>
      </c>
      <c r="AU853" s="18">
        <f t="shared" si="13"/>
        <v>0</v>
      </c>
      <c r="AV853" s="19">
        <f t="shared" si="14"/>
        <v>0.14387432188065097</v>
      </c>
      <c r="AW853" s="20" t="str">
        <f t="shared" si="15"/>
        <v>March</v>
      </c>
      <c r="AX853" s="21">
        <f t="shared" si="16"/>
        <v>2024</v>
      </c>
    </row>
    <row r="854" spans="1:50" ht="15.75" customHeight="1">
      <c r="A854" s="10" t="s">
        <v>2657</v>
      </c>
      <c r="B854" s="11">
        <v>45383</v>
      </c>
      <c r="C854" s="11">
        <v>45390</v>
      </c>
      <c r="D854" s="10" t="s">
        <v>2658</v>
      </c>
      <c r="E854" s="10" t="s">
        <v>91</v>
      </c>
      <c r="F854" s="10" t="s">
        <v>53</v>
      </c>
      <c r="G854" s="10" t="s">
        <v>67</v>
      </c>
      <c r="H854" s="10" t="s">
        <v>195</v>
      </c>
      <c r="I854" s="10" t="s">
        <v>196</v>
      </c>
      <c r="J854" s="10" t="s">
        <v>70</v>
      </c>
      <c r="K854" s="10" t="s">
        <v>71</v>
      </c>
      <c r="L854" s="10" t="s">
        <v>2659</v>
      </c>
      <c r="M854" s="10" t="s">
        <v>60</v>
      </c>
      <c r="N854" s="12">
        <v>7</v>
      </c>
      <c r="O854" s="12">
        <v>4205.3500000000004</v>
      </c>
      <c r="P854" s="12">
        <v>0.15</v>
      </c>
      <c r="Q854" s="12">
        <v>25021.83</v>
      </c>
      <c r="R854" s="12">
        <v>15544.44</v>
      </c>
      <c r="S854" s="12">
        <v>9477.39</v>
      </c>
      <c r="T854" s="10" t="s">
        <v>140</v>
      </c>
      <c r="U854" s="13" t="s">
        <v>97</v>
      </c>
      <c r="V854" s="14" t="e">
        <f t="shared" ca="1" si="0"/>
        <v>#NAME?</v>
      </c>
      <c r="W854" s="10" t="str">
        <f ca="1">IFERROR(__xludf.DUMMYFUNCTION("IF(COUNTIF($A:$A,A848)=1,
""Unique"",
IF(COUNTUNIQUE(FILTER($V$2:$V$934,$A$2:$A$934=A848))&gt;1,
""Conflicting Duplicate"",
""Exact Duplicate""))"),"Unique")</f>
        <v>Unique</v>
      </c>
      <c r="X854" s="10" t="b">
        <f t="shared" ca="1" si="1"/>
        <v>1</v>
      </c>
      <c r="Y854" s="10" t="str">
        <f t="shared" si="2"/>
        <v>Unique</v>
      </c>
      <c r="Z854" s="10"/>
      <c r="AA854" s="10" t="str">
        <f t="shared" si="3"/>
        <v>Clean</v>
      </c>
      <c r="AB854" s="15" t="str">
        <f t="shared" si="4"/>
        <v>Valid</v>
      </c>
      <c r="AC854" s="15">
        <v>7</v>
      </c>
      <c r="AD854" s="16" t="str">
        <f t="shared" si="5"/>
        <v>Valid</v>
      </c>
      <c r="AE854" s="16" t="str">
        <f t="shared" si="6"/>
        <v>Valid</v>
      </c>
      <c r="AF854" s="16" t="str">
        <f t="shared" ref="AF854:AG854" si="1719">IF(ISNUMBER(B854),"Valid","Invalid")</f>
        <v>Valid</v>
      </c>
      <c r="AG854" s="16" t="str">
        <f t="shared" si="1719"/>
        <v>Valid</v>
      </c>
      <c r="AH854" s="16" t="str">
        <f t="shared" ref="AH854:AI854" si="1720">IF(OR(B854="",ISBLANK(B854)),"Missing","Valid")</f>
        <v>Valid</v>
      </c>
      <c r="AI854" s="16" t="str">
        <f t="shared" si="1720"/>
        <v>Valid</v>
      </c>
      <c r="AJ854" s="16" t="b">
        <v>0</v>
      </c>
      <c r="AK854" s="16" t="b">
        <v>0</v>
      </c>
      <c r="AL854" s="16" t="b">
        <v>0</v>
      </c>
      <c r="AM854" s="16" t="b">
        <v>0</v>
      </c>
      <c r="AN854" s="16" t="b">
        <v>0</v>
      </c>
      <c r="AO854" s="16" t="b">
        <v>0</v>
      </c>
      <c r="AP854" s="16" t="b">
        <v>0</v>
      </c>
      <c r="AQ854" s="17">
        <f t="shared" si="9"/>
        <v>0.15</v>
      </c>
      <c r="AR854" s="12">
        <f t="shared" si="10"/>
        <v>25021.832500000004</v>
      </c>
      <c r="AS854" s="18">
        <f t="shared" si="11"/>
        <v>-2.5000000023283064E-3</v>
      </c>
      <c r="AT854" s="12">
        <f t="shared" si="12"/>
        <v>9477.3925000000036</v>
      </c>
      <c r="AU854" s="18">
        <f t="shared" si="13"/>
        <v>-2.5000000041472958E-3</v>
      </c>
      <c r="AV854" s="19">
        <f t="shared" si="14"/>
        <v>0.37876492459135447</v>
      </c>
      <c r="AW854" s="20" t="str">
        <f t="shared" si="15"/>
        <v>April</v>
      </c>
      <c r="AX854" s="21">
        <f t="shared" si="16"/>
        <v>2024</v>
      </c>
    </row>
    <row r="855" spans="1:50" ht="15.75" customHeight="1">
      <c r="A855" s="10" t="s">
        <v>2660</v>
      </c>
      <c r="B855" s="11">
        <v>45793</v>
      </c>
      <c r="C855" s="11">
        <v>45799</v>
      </c>
      <c r="D855" s="10" t="s">
        <v>2661</v>
      </c>
      <c r="E855" s="10" t="s">
        <v>82</v>
      </c>
      <c r="F855" s="10" t="s">
        <v>119</v>
      </c>
      <c r="G855" s="10" t="s">
        <v>83</v>
      </c>
      <c r="H855" s="10" t="s">
        <v>277</v>
      </c>
      <c r="I855" s="10" t="s">
        <v>278</v>
      </c>
      <c r="J855" s="10" t="s">
        <v>103</v>
      </c>
      <c r="K855" s="10" t="s">
        <v>104</v>
      </c>
      <c r="L855" s="10" t="s">
        <v>2662</v>
      </c>
      <c r="M855" s="10" t="s">
        <v>73</v>
      </c>
      <c r="N855" s="12">
        <v>8</v>
      </c>
      <c r="O855" s="12">
        <v>579.79999999999995</v>
      </c>
      <c r="P855" s="12">
        <v>0.2</v>
      </c>
      <c r="Q855" s="12">
        <v>3710.72</v>
      </c>
      <c r="R855" s="12">
        <v>3115.29</v>
      </c>
      <c r="S855" s="12">
        <v>595.42999999999995</v>
      </c>
      <c r="T855" s="10" t="s">
        <v>61</v>
      </c>
      <c r="U855" s="13" t="s">
        <v>62</v>
      </c>
      <c r="V855" s="14" t="e">
        <f t="shared" ca="1" si="0"/>
        <v>#NAME?</v>
      </c>
      <c r="W855" s="10" t="str">
        <f ca="1">IFERROR(__xludf.DUMMYFUNCTION("IF(COUNTIF($A:$A,A849)=1,
""Unique"",
IF(COUNTUNIQUE(FILTER($V$2:$V$934,$A$2:$A$934=A849))&gt;1,
""Conflicting Duplicate"",
""Exact Duplicate""))"),"Unique")</f>
        <v>Unique</v>
      </c>
      <c r="X855" s="10" t="b">
        <f t="shared" ca="1" si="1"/>
        <v>1</v>
      </c>
      <c r="Y855" s="10" t="str">
        <f t="shared" si="2"/>
        <v>Unique</v>
      </c>
      <c r="Z855" s="10"/>
      <c r="AA855" s="10" t="str">
        <f t="shared" si="3"/>
        <v>Clean</v>
      </c>
      <c r="AB855" s="15" t="str">
        <f t="shared" si="4"/>
        <v>Valid</v>
      </c>
      <c r="AC855" s="15">
        <v>6</v>
      </c>
      <c r="AD855" s="16" t="str">
        <f t="shared" si="5"/>
        <v>Valid</v>
      </c>
      <c r="AE855" s="16" t="str">
        <f t="shared" si="6"/>
        <v>Valid</v>
      </c>
      <c r="AF855" s="16" t="str">
        <f t="shared" ref="AF855:AG855" si="1721">IF(ISNUMBER(B855),"Valid","Invalid")</f>
        <v>Valid</v>
      </c>
      <c r="AG855" s="16" t="str">
        <f t="shared" si="1721"/>
        <v>Valid</v>
      </c>
      <c r="AH855" s="16" t="str">
        <f t="shared" ref="AH855:AI855" si="1722">IF(OR(B855="",ISBLANK(B855)),"Missing","Valid")</f>
        <v>Valid</v>
      </c>
      <c r="AI855" s="16" t="str">
        <f t="shared" si="1722"/>
        <v>Valid</v>
      </c>
      <c r="AJ855" s="16" t="b">
        <v>0</v>
      </c>
      <c r="AK855" s="16" t="b">
        <v>0</v>
      </c>
      <c r="AL855" s="16" t="b">
        <v>0</v>
      </c>
      <c r="AM855" s="16" t="b">
        <v>0</v>
      </c>
      <c r="AN855" s="16" t="b">
        <v>0</v>
      </c>
      <c r="AO855" s="16" t="b">
        <v>0</v>
      </c>
      <c r="AP855" s="16" t="b">
        <v>0</v>
      </c>
      <c r="AQ855" s="17">
        <f t="shared" si="9"/>
        <v>0.2</v>
      </c>
      <c r="AR855" s="12">
        <f t="shared" si="10"/>
        <v>3710.72</v>
      </c>
      <c r="AS855" s="18">
        <f t="shared" si="11"/>
        <v>0</v>
      </c>
      <c r="AT855" s="12">
        <f t="shared" si="12"/>
        <v>595.42999999999984</v>
      </c>
      <c r="AU855" s="18">
        <f t="shared" si="13"/>
        <v>0</v>
      </c>
      <c r="AV855" s="19">
        <f t="shared" si="14"/>
        <v>0.16046212055881334</v>
      </c>
      <c r="AW855" s="20" t="str">
        <f t="shared" si="15"/>
        <v>May</v>
      </c>
      <c r="AX855" s="21">
        <f t="shared" si="16"/>
        <v>2025</v>
      </c>
    </row>
    <row r="856" spans="1:50" ht="15.75" customHeight="1">
      <c r="A856" s="10" t="s">
        <v>2663</v>
      </c>
      <c r="B856" s="11">
        <v>45741</v>
      </c>
      <c r="C856" s="11">
        <v>45749</v>
      </c>
      <c r="D856" s="10" t="s">
        <v>2664</v>
      </c>
      <c r="E856" s="10" t="s">
        <v>143</v>
      </c>
      <c r="F856" s="10" t="s">
        <v>53</v>
      </c>
      <c r="G856" s="10" t="s">
        <v>83</v>
      </c>
      <c r="H856" s="10" t="s">
        <v>204</v>
      </c>
      <c r="I856" s="10" t="s">
        <v>205</v>
      </c>
      <c r="J856" s="10" t="s">
        <v>70</v>
      </c>
      <c r="K856" s="10" t="s">
        <v>187</v>
      </c>
      <c r="L856" s="10" t="s">
        <v>2665</v>
      </c>
      <c r="M856" s="10" t="s">
        <v>60</v>
      </c>
      <c r="N856" s="12">
        <v>4</v>
      </c>
      <c r="O856" s="12">
        <v>2233.64</v>
      </c>
      <c r="P856" s="12">
        <v>0.05</v>
      </c>
      <c r="Q856" s="12">
        <v>8487.83</v>
      </c>
      <c r="R856" s="12">
        <v>5245.72</v>
      </c>
      <c r="S856" s="12">
        <v>3242.11</v>
      </c>
      <c r="T856" s="10" t="s">
        <v>61</v>
      </c>
      <c r="U856" s="13" t="s">
        <v>62</v>
      </c>
      <c r="V856" s="14" t="e">
        <f t="shared" ca="1" si="0"/>
        <v>#NAME?</v>
      </c>
      <c r="W856" s="10" t="str">
        <f ca="1">IFERROR(__xludf.DUMMYFUNCTION("IF(COUNTIF($A:$A,A850)=1,
""Unique"",
IF(COUNTUNIQUE(FILTER($V$2:$V$934,$A$2:$A$934=A850))&gt;1,
""Conflicting Duplicate"",
""Exact Duplicate""))"),"Unique")</f>
        <v>Unique</v>
      </c>
      <c r="X856" s="10" t="b">
        <f t="shared" ca="1" si="1"/>
        <v>1</v>
      </c>
      <c r="Y856" s="10" t="str">
        <f t="shared" si="2"/>
        <v>Unique</v>
      </c>
      <c r="Z856" s="10"/>
      <c r="AA856" s="10" t="str">
        <f t="shared" si="3"/>
        <v>Clean</v>
      </c>
      <c r="AB856" s="15" t="str">
        <f t="shared" si="4"/>
        <v>Valid</v>
      </c>
      <c r="AC856" s="15">
        <v>8</v>
      </c>
      <c r="AD856" s="16" t="str">
        <f t="shared" si="5"/>
        <v>Valid</v>
      </c>
      <c r="AE856" s="16" t="str">
        <f t="shared" si="6"/>
        <v>Valid</v>
      </c>
      <c r="AF856" s="16" t="str">
        <f t="shared" ref="AF856:AG856" si="1723">IF(ISNUMBER(B856),"Valid","Invalid")</f>
        <v>Valid</v>
      </c>
      <c r="AG856" s="16" t="str">
        <f t="shared" si="1723"/>
        <v>Valid</v>
      </c>
      <c r="AH856" s="16" t="str">
        <f t="shared" ref="AH856:AI856" si="1724">IF(OR(B856="",ISBLANK(B856)),"Missing","Valid")</f>
        <v>Valid</v>
      </c>
      <c r="AI856" s="16" t="str">
        <f t="shared" si="1724"/>
        <v>Valid</v>
      </c>
      <c r="AJ856" s="16" t="b">
        <v>0</v>
      </c>
      <c r="AK856" s="16" t="b">
        <v>0</v>
      </c>
      <c r="AL856" s="16" t="b">
        <v>0</v>
      </c>
      <c r="AM856" s="16" t="b">
        <v>0</v>
      </c>
      <c r="AN856" s="16" t="b">
        <v>0</v>
      </c>
      <c r="AO856" s="16" t="b">
        <v>0</v>
      </c>
      <c r="AP856" s="16" t="b">
        <v>0</v>
      </c>
      <c r="AQ856" s="17">
        <f t="shared" si="9"/>
        <v>0.05</v>
      </c>
      <c r="AR856" s="12">
        <f t="shared" si="10"/>
        <v>8487.8319999999985</v>
      </c>
      <c r="AS856" s="18">
        <f t="shared" si="11"/>
        <v>-1.9999999985884642E-3</v>
      </c>
      <c r="AT856" s="12">
        <f t="shared" si="12"/>
        <v>3242.1119999999983</v>
      </c>
      <c r="AU856" s="18">
        <f t="shared" si="13"/>
        <v>-1.9999999981337169E-3</v>
      </c>
      <c r="AV856" s="19">
        <f t="shared" si="14"/>
        <v>0.38197174496384928</v>
      </c>
      <c r="AW856" s="20" t="str">
        <f t="shared" si="15"/>
        <v>March</v>
      </c>
      <c r="AX856" s="21">
        <f t="shared" si="16"/>
        <v>2025</v>
      </c>
    </row>
    <row r="857" spans="1:50" ht="15.75" customHeight="1">
      <c r="A857" s="10" t="s">
        <v>2666</v>
      </c>
      <c r="B857" s="11">
        <v>45498</v>
      </c>
      <c r="C857" s="11">
        <v>45506</v>
      </c>
      <c r="D857" s="10" t="s">
        <v>1152</v>
      </c>
      <c r="E857" s="10" t="s">
        <v>147</v>
      </c>
      <c r="F857" s="10" t="s">
        <v>53</v>
      </c>
      <c r="G857" s="10" t="s">
        <v>54</v>
      </c>
      <c r="H857" s="10" t="s">
        <v>55</v>
      </c>
      <c r="I857" s="10" t="s">
        <v>56</v>
      </c>
      <c r="J857" s="10" t="s">
        <v>57</v>
      </c>
      <c r="K857" s="10" t="s">
        <v>120</v>
      </c>
      <c r="L857" s="10" t="s">
        <v>2667</v>
      </c>
      <c r="M857" s="10" t="s">
        <v>60</v>
      </c>
      <c r="N857" s="12">
        <v>2</v>
      </c>
      <c r="O857" s="12">
        <v>2073.5300000000002</v>
      </c>
      <c r="P857" s="12">
        <v>0.25</v>
      </c>
      <c r="Q857" s="12">
        <v>3110.3</v>
      </c>
      <c r="R857" s="12">
        <v>2101.0300000000002</v>
      </c>
      <c r="S857" s="12">
        <v>1009.27</v>
      </c>
      <c r="T857" s="10" t="s">
        <v>61</v>
      </c>
      <c r="U857" s="13" t="s">
        <v>62</v>
      </c>
      <c r="V857" s="14" t="e">
        <f t="shared" ca="1" si="0"/>
        <v>#NAME?</v>
      </c>
      <c r="W857" s="10" t="str">
        <f ca="1">IFERROR(__xludf.DUMMYFUNCTION("IF(COUNTIF($A:$A,A851)=1,
""Unique"",
IF(COUNTUNIQUE(FILTER($V$2:$V$934,$A$2:$A$934=A851))&gt;1,
""Conflicting Duplicate"",
""Exact Duplicate""))"),"Exact Duplicate")</f>
        <v>Exact Duplicate</v>
      </c>
      <c r="X857" s="10" t="b">
        <f t="shared" ca="1" si="1"/>
        <v>1</v>
      </c>
      <c r="Y857" s="10" t="str">
        <f t="shared" si="2"/>
        <v>Unique</v>
      </c>
      <c r="Z857" s="10"/>
      <c r="AA857" s="10" t="str">
        <f t="shared" si="3"/>
        <v>Clean</v>
      </c>
      <c r="AB857" s="15" t="str">
        <f t="shared" si="4"/>
        <v>Valid</v>
      </c>
      <c r="AC857" s="15">
        <v>8</v>
      </c>
      <c r="AD857" s="16" t="str">
        <f t="shared" si="5"/>
        <v>Valid</v>
      </c>
      <c r="AE857" s="16" t="str">
        <f t="shared" si="6"/>
        <v>Valid</v>
      </c>
      <c r="AF857" s="16" t="str">
        <f t="shared" ref="AF857:AG857" si="1725">IF(ISNUMBER(B857),"Valid","Invalid")</f>
        <v>Valid</v>
      </c>
      <c r="AG857" s="16" t="str">
        <f t="shared" si="1725"/>
        <v>Valid</v>
      </c>
      <c r="AH857" s="16" t="str">
        <f t="shared" ref="AH857:AI857" si="1726">IF(OR(B857="",ISBLANK(B857)),"Missing","Valid")</f>
        <v>Valid</v>
      </c>
      <c r="AI857" s="16" t="str">
        <f t="shared" si="1726"/>
        <v>Valid</v>
      </c>
      <c r="AJ857" s="16" t="b">
        <v>0</v>
      </c>
      <c r="AK857" s="16" t="b">
        <v>0</v>
      </c>
      <c r="AL857" s="16" t="b">
        <v>0</v>
      </c>
      <c r="AM857" s="16" t="b">
        <v>0</v>
      </c>
      <c r="AN857" s="16" t="b">
        <v>0</v>
      </c>
      <c r="AO857" s="16" t="b">
        <v>0</v>
      </c>
      <c r="AP857" s="16" t="b">
        <v>0</v>
      </c>
      <c r="AQ857" s="17">
        <f t="shared" si="9"/>
        <v>0.25</v>
      </c>
      <c r="AR857" s="12">
        <f t="shared" si="10"/>
        <v>3110.2950000000001</v>
      </c>
      <c r="AS857" s="18">
        <f t="shared" si="11"/>
        <v>5.0000000001091394E-3</v>
      </c>
      <c r="AT857" s="12">
        <f t="shared" si="12"/>
        <v>1009.2649999999999</v>
      </c>
      <c r="AU857" s="18">
        <f t="shared" si="13"/>
        <v>5.0000000001091394E-3</v>
      </c>
      <c r="AV857" s="19">
        <f t="shared" si="14"/>
        <v>0.32449172827657824</v>
      </c>
      <c r="AW857" s="20" t="str">
        <f t="shared" si="15"/>
        <v>July</v>
      </c>
      <c r="AX857" s="21">
        <f t="shared" si="16"/>
        <v>2024</v>
      </c>
    </row>
    <row r="858" spans="1:50" ht="15.75" customHeight="1">
      <c r="A858" s="10" t="s">
        <v>2668</v>
      </c>
      <c r="B858" s="11">
        <v>45455</v>
      </c>
      <c r="C858" s="11">
        <v>45462</v>
      </c>
      <c r="D858" s="10" t="s">
        <v>1330</v>
      </c>
      <c r="E858" s="10" t="s">
        <v>170</v>
      </c>
      <c r="F858" s="10" t="s">
        <v>124</v>
      </c>
      <c r="G858" s="10" t="s">
        <v>83</v>
      </c>
      <c r="H858" s="10" t="s">
        <v>277</v>
      </c>
      <c r="I858" s="10" t="s">
        <v>278</v>
      </c>
      <c r="J858" s="10" t="s">
        <v>57</v>
      </c>
      <c r="K858" s="10" t="s">
        <v>153</v>
      </c>
      <c r="L858" s="10" t="s">
        <v>2669</v>
      </c>
      <c r="M858" s="10" t="s">
        <v>88</v>
      </c>
      <c r="N858" s="12">
        <v>4</v>
      </c>
      <c r="O858" s="12">
        <v>395.1</v>
      </c>
      <c r="P858" s="12">
        <v>-0.16</v>
      </c>
      <c r="Q858" s="12">
        <v>1185.3</v>
      </c>
      <c r="R858" s="12">
        <v>966.55</v>
      </c>
      <c r="S858" s="12">
        <v>218.75</v>
      </c>
      <c r="T858" s="10" t="s">
        <v>184</v>
      </c>
      <c r="U858" s="13" t="s">
        <v>97</v>
      </c>
      <c r="V858" s="14" t="e">
        <f t="shared" ca="1" si="0"/>
        <v>#NAME?</v>
      </c>
      <c r="W858" s="10" t="str">
        <f ca="1">IFERROR(__xludf.DUMMYFUNCTION("IF(COUNTIF($A:$A,A852)=1,
""Unique"",
IF(COUNTUNIQUE(FILTER($V$2:$V$934,$A$2:$A$934=A852))&gt;1,
""Conflicting Duplicate"",
""Exact Duplicate""))"),"Unique")</f>
        <v>Unique</v>
      </c>
      <c r="X858" s="10" t="b">
        <f t="shared" ca="1" si="1"/>
        <v>1</v>
      </c>
      <c r="Y858" s="10" t="str">
        <f t="shared" si="2"/>
        <v>Unique</v>
      </c>
      <c r="Z858" s="10"/>
      <c r="AA858" s="10" t="str">
        <f t="shared" si="3"/>
        <v>Invalid</v>
      </c>
      <c r="AB858" s="15" t="str">
        <f t="shared" si="4"/>
        <v>Valid</v>
      </c>
      <c r="AC858" s="15">
        <v>7</v>
      </c>
      <c r="AD858" s="16" t="str">
        <f t="shared" si="5"/>
        <v>Valid</v>
      </c>
      <c r="AE858" s="16" t="str">
        <f t="shared" si="6"/>
        <v>Valid</v>
      </c>
      <c r="AF858" s="16" t="str">
        <f t="shared" ref="AF858:AG858" si="1727">IF(ISNUMBER(B858),"Valid","Invalid")</f>
        <v>Valid</v>
      </c>
      <c r="AG858" s="16" t="str">
        <f t="shared" si="1727"/>
        <v>Valid</v>
      </c>
      <c r="AH858" s="16" t="str">
        <f t="shared" ref="AH858:AI858" si="1728">IF(OR(B858="",ISBLANK(B858)),"Missing","Valid")</f>
        <v>Valid</v>
      </c>
      <c r="AI858" s="16" t="str">
        <f t="shared" si="1728"/>
        <v>Valid</v>
      </c>
      <c r="AJ858" s="16" t="b">
        <v>0</v>
      </c>
      <c r="AK858" s="16" t="b">
        <v>0</v>
      </c>
      <c r="AL858" s="16" t="b">
        <v>0</v>
      </c>
      <c r="AM858" s="16" t="b">
        <v>1</v>
      </c>
      <c r="AN858" s="16" t="b">
        <v>0</v>
      </c>
      <c r="AO858" s="16" t="b">
        <v>0</v>
      </c>
      <c r="AP858" s="16" t="b">
        <v>1</v>
      </c>
      <c r="AQ858" s="17">
        <f t="shared" si="9"/>
        <v>-0.16</v>
      </c>
      <c r="AR858" s="12">
        <f t="shared" si="10"/>
        <v>1833.2639999999999</v>
      </c>
      <c r="AS858" s="18">
        <f t="shared" si="11"/>
        <v>-647.96399999999994</v>
      </c>
      <c r="AT858" s="12">
        <f t="shared" si="12"/>
        <v>866.71399999999994</v>
      </c>
      <c r="AU858" s="18">
        <f t="shared" si="13"/>
        <v>-647.96399999999994</v>
      </c>
      <c r="AV858" s="19">
        <f t="shared" si="14"/>
        <v>0.47277097024760206</v>
      </c>
      <c r="AW858" s="20" t="str">
        <f t="shared" si="15"/>
        <v>June</v>
      </c>
      <c r="AX858" s="21">
        <f t="shared" si="16"/>
        <v>2024</v>
      </c>
    </row>
    <row r="859" spans="1:50" ht="15.75" customHeight="1">
      <c r="A859" s="10" t="s">
        <v>2670</v>
      </c>
      <c r="B859" s="11">
        <v>45447</v>
      </c>
      <c r="C859" s="11">
        <v>45447</v>
      </c>
      <c r="D859" s="10" t="s">
        <v>2177</v>
      </c>
      <c r="E859" s="10" t="s">
        <v>161</v>
      </c>
      <c r="F859" s="10" t="s">
        <v>124</v>
      </c>
      <c r="G859" s="10" t="s">
        <v>83</v>
      </c>
      <c r="H859" s="10" t="s">
        <v>214</v>
      </c>
      <c r="I859" s="10" t="s">
        <v>215</v>
      </c>
      <c r="J859" s="10" t="s">
        <v>57</v>
      </c>
      <c r="K859" s="10" t="s">
        <v>153</v>
      </c>
      <c r="L859" s="10" t="s">
        <v>2671</v>
      </c>
      <c r="M859" s="10" t="s">
        <v>79</v>
      </c>
      <c r="N859" s="12">
        <v>6</v>
      </c>
      <c r="O859" s="12">
        <v>2708.97</v>
      </c>
      <c r="P859" s="12">
        <v>0.25</v>
      </c>
      <c r="Q859" s="12">
        <v>12190.36</v>
      </c>
      <c r="R859" s="12">
        <v>10176.99</v>
      </c>
      <c r="S859" s="12">
        <v>2013.37</v>
      </c>
      <c r="T859" s="10" t="s">
        <v>61</v>
      </c>
      <c r="U859" s="13" t="s">
        <v>62</v>
      </c>
      <c r="V859" s="14" t="e">
        <f t="shared" ca="1" si="0"/>
        <v>#NAME?</v>
      </c>
      <c r="W859" s="10" t="str">
        <f ca="1">IFERROR(__xludf.DUMMYFUNCTION("IF(COUNTIF($A:$A,A853)=1,
""Unique"",
IF(COUNTUNIQUE(FILTER($V$2:$V$934,$A$2:$A$934=A853))&gt;1,
""Conflicting Duplicate"",
""Exact Duplicate""))"),"Unique")</f>
        <v>Unique</v>
      </c>
      <c r="X859" s="10" t="b">
        <f t="shared" ca="1" si="1"/>
        <v>1</v>
      </c>
      <c r="Y859" s="10" t="str">
        <f t="shared" si="2"/>
        <v>Unique</v>
      </c>
      <c r="Z859" s="10"/>
      <c r="AA859" s="10" t="str">
        <f t="shared" si="3"/>
        <v>Clean</v>
      </c>
      <c r="AB859" s="15" t="str">
        <f t="shared" si="4"/>
        <v>Valid</v>
      </c>
      <c r="AC859" s="15">
        <v>0</v>
      </c>
      <c r="AD859" s="16" t="str">
        <f t="shared" si="5"/>
        <v>Valid</v>
      </c>
      <c r="AE859" s="16" t="str">
        <f t="shared" si="6"/>
        <v>Valid</v>
      </c>
      <c r="AF859" s="16" t="str">
        <f t="shared" ref="AF859:AG859" si="1729">IF(ISNUMBER(B859),"Valid","Invalid")</f>
        <v>Valid</v>
      </c>
      <c r="AG859" s="16" t="str">
        <f t="shared" si="1729"/>
        <v>Valid</v>
      </c>
      <c r="AH859" s="16" t="str">
        <f t="shared" ref="AH859:AI859" si="1730">IF(OR(B859="",ISBLANK(B859)),"Missing","Valid")</f>
        <v>Valid</v>
      </c>
      <c r="AI859" s="16" t="str">
        <f t="shared" si="1730"/>
        <v>Valid</v>
      </c>
      <c r="AJ859" s="16" t="b">
        <v>0</v>
      </c>
      <c r="AK859" s="16" t="b">
        <v>0</v>
      </c>
      <c r="AL859" s="16" t="b">
        <v>0</v>
      </c>
      <c r="AM859" s="16" t="b">
        <v>0</v>
      </c>
      <c r="AN859" s="16" t="b">
        <v>0</v>
      </c>
      <c r="AO859" s="16" t="b">
        <v>0</v>
      </c>
      <c r="AP859" s="16" t="b">
        <v>0</v>
      </c>
      <c r="AQ859" s="17">
        <f t="shared" si="9"/>
        <v>0.25</v>
      </c>
      <c r="AR859" s="12">
        <f t="shared" si="10"/>
        <v>12190.365</v>
      </c>
      <c r="AS859" s="18">
        <f t="shared" si="11"/>
        <v>-4.9999999991996447E-3</v>
      </c>
      <c r="AT859" s="12">
        <f t="shared" si="12"/>
        <v>2013.375</v>
      </c>
      <c r="AU859" s="18">
        <f t="shared" si="13"/>
        <v>-5.0000000001091394E-3</v>
      </c>
      <c r="AV859" s="19">
        <f t="shared" si="14"/>
        <v>0.16516117441930575</v>
      </c>
      <c r="AW859" s="20" t="str">
        <f t="shared" si="15"/>
        <v>June</v>
      </c>
      <c r="AX859" s="21">
        <f t="shared" si="16"/>
        <v>2024</v>
      </c>
    </row>
    <row r="860" spans="1:50" ht="15.75" customHeight="1">
      <c r="A860" s="10" t="s">
        <v>2672</v>
      </c>
      <c r="B860" s="11">
        <v>45414</v>
      </c>
      <c r="C860" s="11">
        <v>45421</v>
      </c>
      <c r="D860" s="10" t="s">
        <v>2673</v>
      </c>
      <c r="E860" s="10" t="s">
        <v>82</v>
      </c>
      <c r="F860" s="10" t="s">
        <v>53</v>
      </c>
      <c r="G860" s="10" t="s">
        <v>67</v>
      </c>
      <c r="H860" s="10" t="s">
        <v>68</v>
      </c>
      <c r="I860" s="10" t="s">
        <v>69</v>
      </c>
      <c r="J860" s="10" t="s">
        <v>103</v>
      </c>
      <c r="K860" s="10" t="s">
        <v>104</v>
      </c>
      <c r="L860" s="10" t="s">
        <v>2674</v>
      </c>
      <c r="M860" s="10" t="s">
        <v>60</v>
      </c>
      <c r="N860" s="12">
        <v>4</v>
      </c>
      <c r="O860" s="12">
        <v>2904.86</v>
      </c>
      <c r="P860" s="12">
        <v>0</v>
      </c>
      <c r="Q860" s="12">
        <v>11619.44</v>
      </c>
      <c r="R860" s="12">
        <v>7184.32</v>
      </c>
      <c r="S860" s="12">
        <v>4494.6400000000003</v>
      </c>
      <c r="T860" s="10" t="s">
        <v>61</v>
      </c>
      <c r="U860" s="13" t="s">
        <v>62</v>
      </c>
      <c r="V860" s="14" t="e">
        <f t="shared" ca="1" si="0"/>
        <v>#NAME?</v>
      </c>
      <c r="W860" s="10" t="str">
        <f ca="1">IFERROR(__xludf.DUMMYFUNCTION("IF(COUNTIF($A:$A,A854)=1,
""Unique"",
IF(COUNTUNIQUE(FILTER($V$2:$V$934,$A$2:$A$934=A854))&gt;1,
""Conflicting Duplicate"",
""Exact Duplicate""))"),"Unique")</f>
        <v>Unique</v>
      </c>
      <c r="X860" s="10" t="b">
        <f t="shared" ca="1" si="1"/>
        <v>1</v>
      </c>
      <c r="Y860" s="10" t="str">
        <f t="shared" si="2"/>
        <v>Unique</v>
      </c>
      <c r="Z860" s="10"/>
      <c r="AA860" s="10" t="str">
        <f t="shared" si="3"/>
        <v>Clean</v>
      </c>
      <c r="AB860" s="15" t="str">
        <f t="shared" si="4"/>
        <v>Valid</v>
      </c>
      <c r="AC860" s="15">
        <v>7</v>
      </c>
      <c r="AD860" s="16" t="str">
        <f t="shared" si="5"/>
        <v>Valid</v>
      </c>
      <c r="AE860" s="16" t="str">
        <f t="shared" si="6"/>
        <v>Valid</v>
      </c>
      <c r="AF860" s="16" t="str">
        <f t="shared" ref="AF860:AG860" si="1731">IF(ISNUMBER(B860),"Valid","Invalid")</f>
        <v>Valid</v>
      </c>
      <c r="AG860" s="16" t="str">
        <f t="shared" si="1731"/>
        <v>Valid</v>
      </c>
      <c r="AH860" s="16" t="str">
        <f t="shared" ref="AH860:AI860" si="1732">IF(OR(B860="",ISBLANK(B860)),"Missing","Valid")</f>
        <v>Valid</v>
      </c>
      <c r="AI860" s="16" t="str">
        <f t="shared" si="1732"/>
        <v>Valid</v>
      </c>
      <c r="AJ860" s="16" t="b">
        <v>0</v>
      </c>
      <c r="AK860" s="16" t="b">
        <v>0</v>
      </c>
      <c r="AL860" s="16" t="b">
        <v>0</v>
      </c>
      <c r="AM860" s="16" t="b">
        <v>0</v>
      </c>
      <c r="AN860" s="16" t="b">
        <v>0</v>
      </c>
      <c r="AO860" s="16" t="b">
        <v>0</v>
      </c>
      <c r="AP860" s="16" t="b">
        <v>0</v>
      </c>
      <c r="AQ860" s="17">
        <f t="shared" si="9"/>
        <v>0</v>
      </c>
      <c r="AR860" s="12">
        <f t="shared" si="10"/>
        <v>11619.44</v>
      </c>
      <c r="AS860" s="18">
        <f t="shared" si="11"/>
        <v>0</v>
      </c>
      <c r="AT860" s="12">
        <f t="shared" si="12"/>
        <v>4435.1200000000008</v>
      </c>
      <c r="AU860" s="18">
        <f t="shared" si="13"/>
        <v>59.519999999999527</v>
      </c>
      <c r="AV860" s="19">
        <f t="shared" si="14"/>
        <v>0.3816982574031107</v>
      </c>
      <c r="AW860" s="20" t="str">
        <f t="shared" si="15"/>
        <v>May</v>
      </c>
      <c r="AX860" s="21">
        <f t="shared" si="16"/>
        <v>2024</v>
      </c>
    </row>
    <row r="861" spans="1:50" ht="15.75" customHeight="1">
      <c r="A861" s="10" t="s">
        <v>2675</v>
      </c>
      <c r="B861" s="11">
        <v>45592</v>
      </c>
      <c r="C861" s="11">
        <v>45597</v>
      </c>
      <c r="D861" s="10" t="s">
        <v>2676</v>
      </c>
      <c r="E861" s="10" t="s">
        <v>118</v>
      </c>
      <c r="F861" s="10" t="s">
        <v>119</v>
      </c>
      <c r="G861" s="10" t="s">
        <v>83</v>
      </c>
      <c r="H861" s="10" t="s">
        <v>277</v>
      </c>
      <c r="I861" s="10" t="s">
        <v>278</v>
      </c>
      <c r="J861" s="10" t="s">
        <v>103</v>
      </c>
      <c r="K861" s="10" t="s">
        <v>200</v>
      </c>
      <c r="L861" s="10" t="s">
        <v>2677</v>
      </c>
      <c r="M861" s="10" t="s">
        <v>88</v>
      </c>
      <c r="N861" s="12">
        <v>6</v>
      </c>
      <c r="O861" s="12">
        <v>4399.2</v>
      </c>
      <c r="P861" s="12">
        <v>0.05</v>
      </c>
      <c r="Q861" s="12">
        <v>25075.439999999999</v>
      </c>
      <c r="R861" s="12">
        <v>16282.74</v>
      </c>
      <c r="S861" s="12">
        <v>8792.7000000000007</v>
      </c>
      <c r="T861" s="10" t="s">
        <v>61</v>
      </c>
      <c r="U861" s="13" t="s">
        <v>62</v>
      </c>
      <c r="V861" s="14" t="e">
        <f t="shared" ca="1" si="0"/>
        <v>#NAME?</v>
      </c>
      <c r="W861" s="10" t="str">
        <f ca="1">IFERROR(__xludf.DUMMYFUNCTION("IF(COUNTIF($A:$A,A855)=1,
""Unique"",
IF(COUNTUNIQUE(FILTER($V$2:$V$934,$A$2:$A$934=A855))&gt;1,
""Conflicting Duplicate"",
""Exact Duplicate""))"),"Unique")</f>
        <v>Unique</v>
      </c>
      <c r="X861" s="10" t="b">
        <f t="shared" ca="1" si="1"/>
        <v>1</v>
      </c>
      <c r="Y861" s="10" t="str">
        <f t="shared" si="2"/>
        <v>Unique</v>
      </c>
      <c r="Z861" s="10"/>
      <c r="AA861" s="10" t="str">
        <f t="shared" si="3"/>
        <v>Clean</v>
      </c>
      <c r="AB861" s="15" t="str">
        <f t="shared" si="4"/>
        <v>Valid</v>
      </c>
      <c r="AC861" s="15">
        <v>5</v>
      </c>
      <c r="AD861" s="16" t="str">
        <f t="shared" si="5"/>
        <v>Valid</v>
      </c>
      <c r="AE861" s="16" t="str">
        <f t="shared" si="6"/>
        <v>Valid</v>
      </c>
      <c r="AF861" s="16" t="str">
        <f t="shared" ref="AF861:AG861" si="1733">IF(ISNUMBER(B861),"Valid","Invalid")</f>
        <v>Valid</v>
      </c>
      <c r="AG861" s="16" t="str">
        <f t="shared" si="1733"/>
        <v>Valid</v>
      </c>
      <c r="AH861" s="16" t="str">
        <f t="shared" ref="AH861:AI861" si="1734">IF(OR(B861="",ISBLANK(B861)),"Missing","Valid")</f>
        <v>Valid</v>
      </c>
      <c r="AI861" s="16" t="str">
        <f t="shared" si="1734"/>
        <v>Valid</v>
      </c>
      <c r="AJ861" s="16" t="b">
        <v>0</v>
      </c>
      <c r="AK861" s="16" t="b">
        <v>0</v>
      </c>
      <c r="AL861" s="16" t="b">
        <v>0</v>
      </c>
      <c r="AM861" s="16" t="b">
        <v>0</v>
      </c>
      <c r="AN861" s="16" t="b">
        <v>0</v>
      </c>
      <c r="AO861" s="16" t="b">
        <v>0</v>
      </c>
      <c r="AP861" s="16" t="b">
        <v>0</v>
      </c>
      <c r="AQ861" s="17">
        <f t="shared" si="9"/>
        <v>0.05</v>
      </c>
      <c r="AR861" s="12">
        <f t="shared" si="10"/>
        <v>25075.439999999995</v>
      </c>
      <c r="AS861" s="18">
        <f t="shared" si="11"/>
        <v>0</v>
      </c>
      <c r="AT861" s="12">
        <f t="shared" si="12"/>
        <v>8792.6999999999953</v>
      </c>
      <c r="AU861" s="18">
        <f t="shared" si="13"/>
        <v>0</v>
      </c>
      <c r="AV861" s="19">
        <f t="shared" si="14"/>
        <v>0.35064987892535471</v>
      </c>
      <c r="AW861" s="20" t="str">
        <f t="shared" si="15"/>
        <v>October</v>
      </c>
      <c r="AX861" s="21">
        <f t="shared" si="16"/>
        <v>2024</v>
      </c>
    </row>
    <row r="862" spans="1:50" ht="15.75" customHeight="1">
      <c r="A862" s="10" t="s">
        <v>2678</v>
      </c>
      <c r="B862" s="11">
        <v>45324</v>
      </c>
      <c r="C862" s="11">
        <v>45326</v>
      </c>
      <c r="D862" s="10" t="s">
        <v>2679</v>
      </c>
      <c r="E862" s="10" t="s">
        <v>100</v>
      </c>
      <c r="F862" s="10" t="s">
        <v>124</v>
      </c>
      <c r="G862" s="10" t="s">
        <v>54</v>
      </c>
      <c r="H862" s="10" t="s">
        <v>165</v>
      </c>
      <c r="I862" s="10" t="s">
        <v>166</v>
      </c>
      <c r="J862" s="10" t="s">
        <v>57</v>
      </c>
      <c r="K862" s="10" t="s">
        <v>153</v>
      </c>
      <c r="L862" s="10" t="s">
        <v>2680</v>
      </c>
      <c r="M862" s="10" t="s">
        <v>60</v>
      </c>
      <c r="N862" s="12">
        <v>1</v>
      </c>
      <c r="O862" s="12">
        <v>4397.32</v>
      </c>
      <c r="P862" s="12">
        <v>0.05</v>
      </c>
      <c r="Q862" s="12">
        <v>4177.45</v>
      </c>
      <c r="R862" s="12">
        <v>2299.5</v>
      </c>
      <c r="S862" s="12">
        <v>1877.95</v>
      </c>
      <c r="T862" s="10" t="s">
        <v>61</v>
      </c>
      <c r="U862" s="13" t="s">
        <v>62</v>
      </c>
      <c r="V862" s="14" t="e">
        <f t="shared" ca="1" si="0"/>
        <v>#NAME?</v>
      </c>
      <c r="W862" s="10" t="str">
        <f ca="1">IFERROR(__xludf.DUMMYFUNCTION("IF(COUNTIF($A:$A,A856)=1,
""Unique"",
IF(COUNTUNIQUE(FILTER($V$2:$V$934,$A$2:$A$934=A856))&gt;1,
""Conflicting Duplicate"",
""Exact Duplicate""))"),"Unique")</f>
        <v>Unique</v>
      </c>
      <c r="X862" s="10" t="b">
        <f t="shared" ca="1" si="1"/>
        <v>1</v>
      </c>
      <c r="Y862" s="10" t="str">
        <f t="shared" si="2"/>
        <v>Unique</v>
      </c>
      <c r="Z862" s="10"/>
      <c r="AA862" s="10" t="str">
        <f t="shared" si="3"/>
        <v>Clean</v>
      </c>
      <c r="AB862" s="15" t="str">
        <f t="shared" si="4"/>
        <v>Valid</v>
      </c>
      <c r="AC862" s="15">
        <v>2</v>
      </c>
      <c r="AD862" s="16" t="str">
        <f t="shared" si="5"/>
        <v>Valid</v>
      </c>
      <c r="AE862" s="16" t="str">
        <f t="shared" si="6"/>
        <v>Valid</v>
      </c>
      <c r="AF862" s="16" t="str">
        <f t="shared" ref="AF862:AG862" si="1735">IF(ISNUMBER(B862),"Valid","Invalid")</f>
        <v>Valid</v>
      </c>
      <c r="AG862" s="16" t="str">
        <f t="shared" si="1735"/>
        <v>Valid</v>
      </c>
      <c r="AH862" s="16" t="str">
        <f t="shared" ref="AH862:AI862" si="1736">IF(OR(B862="",ISBLANK(B862)),"Missing","Valid")</f>
        <v>Valid</v>
      </c>
      <c r="AI862" s="16" t="str">
        <f t="shared" si="1736"/>
        <v>Valid</v>
      </c>
      <c r="AJ862" s="16" t="b">
        <v>0</v>
      </c>
      <c r="AK862" s="16" t="b">
        <v>0</v>
      </c>
      <c r="AL862" s="16" t="b">
        <v>0</v>
      </c>
      <c r="AM862" s="16" t="b">
        <v>0</v>
      </c>
      <c r="AN862" s="16" t="b">
        <v>0</v>
      </c>
      <c r="AO862" s="16" t="b">
        <v>0</v>
      </c>
      <c r="AP862" s="16" t="b">
        <v>0</v>
      </c>
      <c r="AQ862" s="17">
        <f t="shared" si="9"/>
        <v>0.05</v>
      </c>
      <c r="AR862" s="12">
        <f t="shared" si="10"/>
        <v>4177.4539999999997</v>
      </c>
      <c r="AS862" s="18">
        <f t="shared" si="11"/>
        <v>-3.9999999999054126E-3</v>
      </c>
      <c r="AT862" s="12">
        <f t="shared" si="12"/>
        <v>1877.9539999999997</v>
      </c>
      <c r="AU862" s="18">
        <f t="shared" si="13"/>
        <v>-3.9999999996780389E-3</v>
      </c>
      <c r="AV862" s="19">
        <f t="shared" si="14"/>
        <v>0.44954510570313877</v>
      </c>
      <c r="AW862" s="20" t="str">
        <f t="shared" si="15"/>
        <v>February</v>
      </c>
      <c r="AX862" s="21">
        <f t="shared" si="16"/>
        <v>2024</v>
      </c>
    </row>
    <row r="863" spans="1:50" ht="15.75" customHeight="1">
      <c r="A863" s="10" t="s">
        <v>2681</v>
      </c>
      <c r="B863" s="11">
        <v>45724</v>
      </c>
      <c r="C863" s="11">
        <v>45725</v>
      </c>
      <c r="D863" s="10" t="s">
        <v>2682</v>
      </c>
      <c r="E863" s="10" t="s">
        <v>143</v>
      </c>
      <c r="F863" s="10" t="s">
        <v>124</v>
      </c>
      <c r="G863" s="10" t="s">
        <v>54</v>
      </c>
      <c r="H863" s="10" t="s">
        <v>380</v>
      </c>
      <c r="I863" s="10" t="s">
        <v>381</v>
      </c>
      <c r="J863" s="10" t="s">
        <v>70</v>
      </c>
      <c r="K863" s="10" t="s">
        <v>86</v>
      </c>
      <c r="L863" s="10" t="s">
        <v>2683</v>
      </c>
      <c r="M863" s="10" t="s">
        <v>73</v>
      </c>
      <c r="N863" s="12">
        <v>4</v>
      </c>
      <c r="O863" s="12">
        <v>3405.68</v>
      </c>
      <c r="P863" s="12">
        <v>0.2</v>
      </c>
      <c r="Q863" s="12">
        <v>10898.18</v>
      </c>
      <c r="R863" s="12">
        <v>6231.41</v>
      </c>
      <c r="S863" s="12">
        <v>4666.7700000000004</v>
      </c>
      <c r="T863" s="10" t="s">
        <v>61</v>
      </c>
      <c r="U863" s="13" t="s">
        <v>62</v>
      </c>
      <c r="V863" s="14" t="e">
        <f t="shared" ca="1" si="0"/>
        <v>#NAME?</v>
      </c>
      <c r="W863" s="10" t="str">
        <f ca="1">IFERROR(__xludf.DUMMYFUNCTION("IF(COUNTIF($A:$A,A857)=1,
""Unique"",
IF(COUNTUNIQUE(FILTER($V$2:$V$934,$A$2:$A$934=A857))&gt;1,
""Conflicting Duplicate"",
""Exact Duplicate""))"),"Unique")</f>
        <v>Unique</v>
      </c>
      <c r="X863" s="10" t="b">
        <f t="shared" ca="1" si="1"/>
        <v>1</v>
      </c>
      <c r="Y863" s="10" t="str">
        <f t="shared" si="2"/>
        <v>Unique</v>
      </c>
      <c r="Z863" s="10"/>
      <c r="AA863" s="10" t="str">
        <f t="shared" si="3"/>
        <v>Clean</v>
      </c>
      <c r="AB863" s="15" t="str">
        <f t="shared" si="4"/>
        <v>Valid</v>
      </c>
      <c r="AC863" s="15">
        <v>1</v>
      </c>
      <c r="AD863" s="16" t="str">
        <f t="shared" si="5"/>
        <v>Valid</v>
      </c>
      <c r="AE863" s="16" t="str">
        <f t="shared" si="6"/>
        <v>Valid</v>
      </c>
      <c r="AF863" s="16" t="str">
        <f t="shared" ref="AF863:AG863" si="1737">IF(ISNUMBER(B863),"Valid","Invalid")</f>
        <v>Valid</v>
      </c>
      <c r="AG863" s="16" t="str">
        <f t="shared" si="1737"/>
        <v>Valid</v>
      </c>
      <c r="AH863" s="16" t="str">
        <f t="shared" ref="AH863:AI863" si="1738">IF(OR(B863="",ISBLANK(B863)),"Missing","Valid")</f>
        <v>Valid</v>
      </c>
      <c r="AI863" s="16" t="str">
        <f t="shared" si="1738"/>
        <v>Valid</v>
      </c>
      <c r="AJ863" s="16" t="b">
        <v>0</v>
      </c>
      <c r="AK863" s="16" t="b">
        <v>0</v>
      </c>
      <c r="AL863" s="16" t="b">
        <v>0</v>
      </c>
      <c r="AM863" s="16" t="b">
        <v>0</v>
      </c>
      <c r="AN863" s="16" t="b">
        <v>0</v>
      </c>
      <c r="AO863" s="16" t="b">
        <v>0</v>
      </c>
      <c r="AP863" s="16" t="b">
        <v>0</v>
      </c>
      <c r="AQ863" s="17">
        <f t="shared" si="9"/>
        <v>0.2</v>
      </c>
      <c r="AR863" s="12">
        <f t="shared" si="10"/>
        <v>10898.175999999999</v>
      </c>
      <c r="AS863" s="18">
        <f t="shared" si="11"/>
        <v>4.0000000008149073E-3</v>
      </c>
      <c r="AT863" s="12">
        <f t="shared" si="12"/>
        <v>4666.7659999999996</v>
      </c>
      <c r="AU863" s="18">
        <f t="shared" si="13"/>
        <v>4.0000000008149073E-3</v>
      </c>
      <c r="AV863" s="19">
        <f t="shared" si="14"/>
        <v>0.42821532704188298</v>
      </c>
      <c r="AW863" s="20" t="str">
        <f t="shared" si="15"/>
        <v>March</v>
      </c>
      <c r="AX863" s="21">
        <f t="shared" si="16"/>
        <v>2025</v>
      </c>
    </row>
    <row r="864" spans="1:50" ht="15.75" customHeight="1">
      <c r="A864" s="10" t="s">
        <v>2684</v>
      </c>
      <c r="B864" s="11">
        <v>45742</v>
      </c>
      <c r="C864" s="11">
        <v>45747</v>
      </c>
      <c r="D864" s="10" t="s">
        <v>2685</v>
      </c>
      <c r="E864" s="10" t="s">
        <v>143</v>
      </c>
      <c r="F864" s="10" t="s">
        <v>66</v>
      </c>
      <c r="G864" s="10" t="s">
        <v>67</v>
      </c>
      <c r="H864" s="10" t="s">
        <v>258</v>
      </c>
      <c r="I864" s="10" t="s">
        <v>259</v>
      </c>
      <c r="J864" s="10" t="s">
        <v>57</v>
      </c>
      <c r="K864" s="10" t="s">
        <v>182</v>
      </c>
      <c r="L864" s="10" t="s">
        <v>2686</v>
      </c>
      <c r="M864" s="10" t="s">
        <v>79</v>
      </c>
      <c r="N864" s="12">
        <v>5</v>
      </c>
      <c r="O864" s="12">
        <v>1395.14</v>
      </c>
      <c r="P864" s="12">
        <v>0</v>
      </c>
      <c r="Q864" s="12">
        <v>6975.7</v>
      </c>
      <c r="R864" s="12">
        <v>4797.88</v>
      </c>
      <c r="S864" s="12">
        <v>2177.8200000000002</v>
      </c>
      <c r="T864" s="10" t="s">
        <v>61</v>
      </c>
      <c r="U864" s="13" t="s">
        <v>97</v>
      </c>
      <c r="V864" s="14" t="e">
        <f t="shared" ca="1" si="0"/>
        <v>#NAME?</v>
      </c>
      <c r="W864" s="10" t="str">
        <f ca="1">IFERROR(__xludf.DUMMYFUNCTION("IF(COUNTIF($A:$A,A858)=1,
""Unique"",
IF(COUNTUNIQUE(FILTER($V$2:$V$934,$A$2:$A$934=A858))&gt;1,
""Conflicting Duplicate"",
""Exact Duplicate""))"),"Unique")</f>
        <v>Unique</v>
      </c>
      <c r="X864" s="10" t="b">
        <f t="shared" ca="1" si="1"/>
        <v>1</v>
      </c>
      <c r="Y864" s="10" t="str">
        <f t="shared" si="2"/>
        <v>Unique</v>
      </c>
      <c r="Z864" s="10"/>
      <c r="AA864" s="10" t="str">
        <f t="shared" si="3"/>
        <v>Clean</v>
      </c>
      <c r="AB864" s="15" t="str">
        <f t="shared" si="4"/>
        <v>Valid</v>
      </c>
      <c r="AC864" s="15">
        <v>5</v>
      </c>
      <c r="AD864" s="16" t="str">
        <f t="shared" si="5"/>
        <v>Valid</v>
      </c>
      <c r="AE864" s="16" t="str">
        <f t="shared" si="6"/>
        <v>Valid</v>
      </c>
      <c r="AF864" s="16" t="str">
        <f t="shared" ref="AF864:AG864" si="1739">IF(ISNUMBER(B864),"Valid","Invalid")</f>
        <v>Valid</v>
      </c>
      <c r="AG864" s="16" t="str">
        <f t="shared" si="1739"/>
        <v>Valid</v>
      </c>
      <c r="AH864" s="16" t="str">
        <f t="shared" ref="AH864:AI864" si="1740">IF(OR(B864="",ISBLANK(B864)),"Missing","Valid")</f>
        <v>Valid</v>
      </c>
      <c r="AI864" s="16" t="str">
        <f t="shared" si="1740"/>
        <v>Valid</v>
      </c>
      <c r="AJ864" s="16" t="b">
        <v>0</v>
      </c>
      <c r="AK864" s="16" t="b">
        <v>0</v>
      </c>
      <c r="AL864" s="16" t="b">
        <v>0</v>
      </c>
      <c r="AM864" s="16" t="b">
        <v>0</v>
      </c>
      <c r="AN864" s="16" t="b">
        <v>0</v>
      </c>
      <c r="AO864" s="16" t="b">
        <v>0</v>
      </c>
      <c r="AP864" s="16" t="b">
        <v>0</v>
      </c>
      <c r="AQ864" s="17">
        <f t="shared" si="9"/>
        <v>0</v>
      </c>
      <c r="AR864" s="12">
        <f t="shared" si="10"/>
        <v>6975.7000000000007</v>
      </c>
      <c r="AS864" s="18">
        <f t="shared" si="11"/>
        <v>0</v>
      </c>
      <c r="AT864" s="12">
        <f t="shared" si="12"/>
        <v>2177.8200000000006</v>
      </c>
      <c r="AU864" s="18">
        <f t="shared" si="13"/>
        <v>0</v>
      </c>
      <c r="AV864" s="19">
        <f t="shared" si="14"/>
        <v>0.3122009260719355</v>
      </c>
      <c r="AW864" s="20" t="str">
        <f t="shared" si="15"/>
        <v>March</v>
      </c>
      <c r="AX864" s="21">
        <f t="shared" si="16"/>
        <v>2025</v>
      </c>
    </row>
    <row r="865" spans="1:50" ht="15.75" customHeight="1">
      <c r="A865" s="10" t="s">
        <v>2687</v>
      </c>
      <c r="B865" s="11">
        <v>45906</v>
      </c>
      <c r="C865" s="11">
        <v>45908</v>
      </c>
      <c r="D865" s="10" t="s">
        <v>2688</v>
      </c>
      <c r="E865" s="10" t="s">
        <v>157</v>
      </c>
      <c r="F865" s="10" t="s">
        <v>124</v>
      </c>
      <c r="G865" s="10" t="s">
        <v>92</v>
      </c>
      <c r="H865" s="10" t="s">
        <v>101</v>
      </c>
      <c r="I865" s="10" t="s">
        <v>102</v>
      </c>
      <c r="J865" s="10" t="s">
        <v>70</v>
      </c>
      <c r="K865" s="10" t="s">
        <v>86</v>
      </c>
      <c r="L865" s="10" t="s">
        <v>2689</v>
      </c>
      <c r="M865" s="10" t="s">
        <v>73</v>
      </c>
      <c r="N865" s="12">
        <v>3</v>
      </c>
      <c r="O865" s="12">
        <v>2937.23</v>
      </c>
      <c r="P865" s="12">
        <v>0</v>
      </c>
      <c r="Q865" s="12">
        <v>8811.69</v>
      </c>
      <c r="R865" s="12">
        <v>6765.91</v>
      </c>
      <c r="S865" s="12">
        <v>2045.78</v>
      </c>
      <c r="T865" s="10" t="s">
        <v>61</v>
      </c>
      <c r="U865" s="13" t="s">
        <v>62</v>
      </c>
      <c r="V865" s="14" t="e">
        <f t="shared" ca="1" si="0"/>
        <v>#NAME?</v>
      </c>
      <c r="W865" s="10" t="str">
        <f ca="1">IFERROR(__xludf.DUMMYFUNCTION("IF(COUNTIF($A:$A,A859)=1,
""Unique"",
IF(COUNTUNIQUE(FILTER($V$2:$V$934,$A$2:$A$934=A859))&gt;1,
""Conflicting Duplicate"",
""Exact Duplicate""))"),"Unique")</f>
        <v>Unique</v>
      </c>
      <c r="X865" s="10" t="b">
        <f t="shared" ca="1" si="1"/>
        <v>1</v>
      </c>
      <c r="Y865" s="10" t="str">
        <f t="shared" si="2"/>
        <v>Unique</v>
      </c>
      <c r="Z865" s="10"/>
      <c r="AA865" s="10" t="str">
        <f t="shared" si="3"/>
        <v>Clean</v>
      </c>
      <c r="AB865" s="15" t="str">
        <f t="shared" si="4"/>
        <v>Valid</v>
      </c>
      <c r="AC865" s="15">
        <v>2</v>
      </c>
      <c r="AD865" s="16" t="str">
        <f t="shared" si="5"/>
        <v>Valid</v>
      </c>
      <c r="AE865" s="16" t="str">
        <f t="shared" si="6"/>
        <v>Valid</v>
      </c>
      <c r="AF865" s="16" t="str">
        <f t="shared" ref="AF865:AG865" si="1741">IF(ISNUMBER(B865),"Valid","Invalid")</f>
        <v>Valid</v>
      </c>
      <c r="AG865" s="16" t="str">
        <f t="shared" si="1741"/>
        <v>Valid</v>
      </c>
      <c r="AH865" s="16" t="str">
        <f t="shared" ref="AH865:AI865" si="1742">IF(OR(B865="",ISBLANK(B865)),"Missing","Valid")</f>
        <v>Valid</v>
      </c>
      <c r="AI865" s="16" t="str">
        <f t="shared" si="1742"/>
        <v>Valid</v>
      </c>
      <c r="AJ865" s="16" t="b">
        <v>0</v>
      </c>
      <c r="AK865" s="16" t="b">
        <v>0</v>
      </c>
      <c r="AL865" s="16" t="b">
        <v>0</v>
      </c>
      <c r="AM865" s="16" t="b">
        <v>0</v>
      </c>
      <c r="AN865" s="16" t="b">
        <v>0</v>
      </c>
      <c r="AO865" s="16" t="b">
        <v>0</v>
      </c>
      <c r="AP865" s="16" t="b">
        <v>0</v>
      </c>
      <c r="AQ865" s="17">
        <f t="shared" si="9"/>
        <v>0</v>
      </c>
      <c r="AR865" s="12">
        <f t="shared" si="10"/>
        <v>8811.69</v>
      </c>
      <c r="AS865" s="18">
        <f t="shared" si="11"/>
        <v>0</v>
      </c>
      <c r="AT865" s="12">
        <f t="shared" si="12"/>
        <v>2045.7800000000007</v>
      </c>
      <c r="AU865" s="18">
        <f t="shared" si="13"/>
        <v>0</v>
      </c>
      <c r="AV865" s="19">
        <f t="shared" si="14"/>
        <v>0.23216658779416893</v>
      </c>
      <c r="AW865" s="20" t="str">
        <f t="shared" si="15"/>
        <v>September</v>
      </c>
      <c r="AX865" s="21">
        <f t="shared" si="16"/>
        <v>2025</v>
      </c>
    </row>
    <row r="866" spans="1:50" ht="15.75" customHeight="1">
      <c r="A866" s="10" t="s">
        <v>2690</v>
      </c>
      <c r="B866" s="11">
        <v>45902</v>
      </c>
      <c r="C866" s="11">
        <v>45905</v>
      </c>
      <c r="D866" s="10" t="s">
        <v>2691</v>
      </c>
      <c r="E866" s="10" t="s">
        <v>100</v>
      </c>
      <c r="F866" s="10" t="s">
        <v>53</v>
      </c>
      <c r="G866" s="10" t="s">
        <v>83</v>
      </c>
      <c r="H866" s="10" t="s">
        <v>277</v>
      </c>
      <c r="I866" s="10" t="s">
        <v>278</v>
      </c>
      <c r="J866" s="10" t="s">
        <v>103</v>
      </c>
      <c r="K866" s="10" t="s">
        <v>200</v>
      </c>
      <c r="L866" s="10" t="s">
        <v>2692</v>
      </c>
      <c r="M866" s="10" t="s">
        <v>79</v>
      </c>
      <c r="N866" s="12">
        <v>5</v>
      </c>
      <c r="O866" s="12">
        <v>3406.87</v>
      </c>
      <c r="P866" s="12">
        <v>0</v>
      </c>
      <c r="Q866" s="12">
        <v>17034.349999999999</v>
      </c>
      <c r="R866" s="12">
        <v>14631.36</v>
      </c>
      <c r="S866" s="12">
        <v>2402.9899999999998</v>
      </c>
      <c r="T866" s="10" t="s">
        <v>61</v>
      </c>
      <c r="U866" s="13" t="s">
        <v>62</v>
      </c>
      <c r="V866" s="14" t="e">
        <f t="shared" ca="1" si="0"/>
        <v>#NAME?</v>
      </c>
      <c r="W866" s="10" t="str">
        <f ca="1">IFERROR(__xludf.DUMMYFUNCTION("IF(COUNTIF($A:$A,A860)=1,
""Unique"",
IF(COUNTUNIQUE(FILTER($V$2:$V$934,$A$2:$A$934=A860))&gt;1,
""Conflicting Duplicate"",
""Exact Duplicate""))"),"Unique")</f>
        <v>Unique</v>
      </c>
      <c r="X866" s="10" t="b">
        <f t="shared" ca="1" si="1"/>
        <v>1</v>
      </c>
      <c r="Y866" s="10" t="str">
        <f t="shared" si="2"/>
        <v>Unique</v>
      </c>
      <c r="Z866" s="10"/>
      <c r="AA866" s="10" t="str">
        <f t="shared" si="3"/>
        <v>Clean</v>
      </c>
      <c r="AB866" s="15" t="str">
        <f t="shared" si="4"/>
        <v>Valid</v>
      </c>
      <c r="AC866" s="15">
        <v>3</v>
      </c>
      <c r="AD866" s="16" t="str">
        <f t="shared" si="5"/>
        <v>Valid</v>
      </c>
      <c r="AE866" s="16" t="str">
        <f t="shared" si="6"/>
        <v>Valid</v>
      </c>
      <c r="AF866" s="16" t="str">
        <f t="shared" ref="AF866:AG866" si="1743">IF(ISNUMBER(B866),"Valid","Invalid")</f>
        <v>Valid</v>
      </c>
      <c r="AG866" s="16" t="str">
        <f t="shared" si="1743"/>
        <v>Valid</v>
      </c>
      <c r="AH866" s="16" t="str">
        <f t="shared" ref="AH866:AI866" si="1744">IF(OR(B866="",ISBLANK(B866)),"Missing","Valid")</f>
        <v>Valid</v>
      </c>
      <c r="AI866" s="16" t="str">
        <f t="shared" si="1744"/>
        <v>Valid</v>
      </c>
      <c r="AJ866" s="16" t="b">
        <v>0</v>
      </c>
      <c r="AK866" s="16" t="b">
        <v>0</v>
      </c>
      <c r="AL866" s="16" t="b">
        <v>0</v>
      </c>
      <c r="AM866" s="16" t="b">
        <v>0</v>
      </c>
      <c r="AN866" s="16" t="b">
        <v>0</v>
      </c>
      <c r="AO866" s="16" t="b">
        <v>0</v>
      </c>
      <c r="AP866" s="16" t="b">
        <v>0</v>
      </c>
      <c r="AQ866" s="17">
        <f t="shared" si="9"/>
        <v>0</v>
      </c>
      <c r="AR866" s="12">
        <f t="shared" si="10"/>
        <v>17034.349999999999</v>
      </c>
      <c r="AS866" s="18">
        <f t="shared" si="11"/>
        <v>0</v>
      </c>
      <c r="AT866" s="12">
        <f t="shared" si="12"/>
        <v>2402.989999999998</v>
      </c>
      <c r="AU866" s="18">
        <f t="shared" si="13"/>
        <v>0</v>
      </c>
      <c r="AV866" s="19">
        <f t="shared" si="14"/>
        <v>0.14106731398615141</v>
      </c>
      <c r="AW866" s="20" t="str">
        <f t="shared" si="15"/>
        <v>September</v>
      </c>
      <c r="AX866" s="21">
        <f t="shared" si="16"/>
        <v>2025</v>
      </c>
    </row>
    <row r="867" spans="1:50" ht="15.75" customHeight="1">
      <c r="A867" s="10" t="s">
        <v>2693</v>
      </c>
      <c r="B867" s="11">
        <v>45694</v>
      </c>
      <c r="C867" s="11">
        <v>45702</v>
      </c>
      <c r="D867" s="10" t="s">
        <v>2694</v>
      </c>
      <c r="E867" s="10" t="s">
        <v>294</v>
      </c>
      <c r="F867" s="10" t="s">
        <v>53</v>
      </c>
      <c r="G867" s="10" t="s">
        <v>92</v>
      </c>
      <c r="H867" s="10" t="s">
        <v>93</v>
      </c>
      <c r="I867" s="10" t="s">
        <v>94</v>
      </c>
      <c r="J867" s="10" t="s">
        <v>57</v>
      </c>
      <c r="K867" s="10" t="s">
        <v>120</v>
      </c>
      <c r="L867" s="10" t="s">
        <v>2695</v>
      </c>
      <c r="M867" s="10" t="s">
        <v>60</v>
      </c>
      <c r="N867" s="12">
        <v>2</v>
      </c>
      <c r="O867" s="12">
        <v>3992.04</v>
      </c>
      <c r="P867" s="12">
        <v>0</v>
      </c>
      <c r="Q867" s="12">
        <v>7984.08</v>
      </c>
      <c r="R867" s="12">
        <v>5658.05</v>
      </c>
      <c r="S867" s="12">
        <v>2326.0300000000002</v>
      </c>
      <c r="T867" s="10" t="s">
        <v>61</v>
      </c>
      <c r="U867" s="13" t="s">
        <v>62</v>
      </c>
      <c r="V867" s="14" t="e">
        <f t="shared" ca="1" si="0"/>
        <v>#NAME?</v>
      </c>
      <c r="W867" s="10" t="str">
        <f ca="1">IFERROR(__xludf.DUMMYFUNCTION("IF(COUNTIF($A:$A,A861)=1,
""Unique"",
IF(COUNTUNIQUE(FILTER($V$2:$V$934,$A$2:$A$934=A861))&gt;1,
""Conflicting Duplicate"",
""Exact Duplicate""))"),"Unique")</f>
        <v>Unique</v>
      </c>
      <c r="X867" s="10" t="b">
        <f t="shared" ca="1" si="1"/>
        <v>1</v>
      </c>
      <c r="Y867" s="10" t="str">
        <f t="shared" si="2"/>
        <v>Unique</v>
      </c>
      <c r="Z867" s="10"/>
      <c r="AA867" s="10" t="str">
        <f t="shared" si="3"/>
        <v>Clean</v>
      </c>
      <c r="AB867" s="15" t="str">
        <f t="shared" si="4"/>
        <v>Valid</v>
      </c>
      <c r="AC867" s="15">
        <v>8</v>
      </c>
      <c r="AD867" s="16" t="str">
        <f t="shared" si="5"/>
        <v>Valid</v>
      </c>
      <c r="AE867" s="16" t="str">
        <f t="shared" si="6"/>
        <v>Valid</v>
      </c>
      <c r="AF867" s="16" t="str">
        <f t="shared" ref="AF867:AG867" si="1745">IF(ISNUMBER(B867),"Valid","Invalid")</f>
        <v>Valid</v>
      </c>
      <c r="AG867" s="16" t="str">
        <f t="shared" si="1745"/>
        <v>Valid</v>
      </c>
      <c r="AH867" s="16" t="str">
        <f t="shared" ref="AH867:AI867" si="1746">IF(OR(B867="",ISBLANK(B867)),"Missing","Valid")</f>
        <v>Valid</v>
      </c>
      <c r="AI867" s="16" t="str">
        <f t="shared" si="1746"/>
        <v>Valid</v>
      </c>
      <c r="AJ867" s="16" t="b">
        <v>0</v>
      </c>
      <c r="AK867" s="16" t="b">
        <v>0</v>
      </c>
      <c r="AL867" s="16" t="b">
        <v>0</v>
      </c>
      <c r="AM867" s="16" t="b">
        <v>0</v>
      </c>
      <c r="AN867" s="16" t="b">
        <v>0</v>
      </c>
      <c r="AO867" s="16" t="b">
        <v>0</v>
      </c>
      <c r="AP867" s="16" t="b">
        <v>0</v>
      </c>
      <c r="AQ867" s="17">
        <f t="shared" si="9"/>
        <v>0</v>
      </c>
      <c r="AR867" s="12">
        <f t="shared" si="10"/>
        <v>7984.08</v>
      </c>
      <c r="AS867" s="18">
        <f t="shared" si="11"/>
        <v>0</v>
      </c>
      <c r="AT867" s="12">
        <f t="shared" si="12"/>
        <v>2326.0299999999997</v>
      </c>
      <c r="AU867" s="18">
        <f t="shared" si="13"/>
        <v>0</v>
      </c>
      <c r="AV867" s="19">
        <f t="shared" si="14"/>
        <v>0.29133350367230787</v>
      </c>
      <c r="AW867" s="20" t="str">
        <f t="shared" si="15"/>
        <v>February</v>
      </c>
      <c r="AX867" s="21">
        <f t="shared" si="16"/>
        <v>2025</v>
      </c>
    </row>
    <row r="868" spans="1:50" ht="15.75" customHeight="1">
      <c r="A868" s="10" t="s">
        <v>2696</v>
      </c>
      <c r="B868" s="11">
        <v>45714</v>
      </c>
      <c r="C868" s="11">
        <v>45722</v>
      </c>
      <c r="D868" s="10" t="s">
        <v>2697</v>
      </c>
      <c r="E868" s="10" t="s">
        <v>143</v>
      </c>
      <c r="F868" s="10" t="s">
        <v>53</v>
      </c>
      <c r="G868" s="10" t="s">
        <v>67</v>
      </c>
      <c r="H868" s="10" t="s">
        <v>174</v>
      </c>
      <c r="I868" s="10" t="s">
        <v>175</v>
      </c>
      <c r="J868" s="10" t="s">
        <v>70</v>
      </c>
      <c r="K868" s="10" t="s">
        <v>187</v>
      </c>
      <c r="L868" s="10" t="s">
        <v>2698</v>
      </c>
      <c r="M868" s="10" t="s">
        <v>79</v>
      </c>
      <c r="N868" s="12">
        <v>9</v>
      </c>
      <c r="O868" s="12">
        <v>3043.37</v>
      </c>
      <c r="P868" s="12">
        <v>0.2</v>
      </c>
      <c r="Q868" s="12">
        <v>21912.26</v>
      </c>
      <c r="R868" s="12">
        <v>16367.78</v>
      </c>
      <c r="S868" s="12">
        <v>5544.48</v>
      </c>
      <c r="T868" s="10" t="s">
        <v>140</v>
      </c>
      <c r="U868" s="13" t="s">
        <v>97</v>
      </c>
      <c r="V868" s="14" t="e">
        <f t="shared" ca="1" si="0"/>
        <v>#NAME?</v>
      </c>
      <c r="W868" s="10" t="str">
        <f ca="1">IFERROR(__xludf.DUMMYFUNCTION("IF(COUNTIF($A:$A,A862)=1,
""Unique"",
IF(COUNTUNIQUE(FILTER($V$2:$V$934,$A$2:$A$934=A862))&gt;1,
""Conflicting Duplicate"",
""Exact Duplicate""))"),"Unique")</f>
        <v>Unique</v>
      </c>
      <c r="X868" s="10" t="b">
        <f t="shared" ca="1" si="1"/>
        <v>1</v>
      </c>
      <c r="Y868" s="10" t="str">
        <f t="shared" si="2"/>
        <v>Unique</v>
      </c>
      <c r="Z868" s="10"/>
      <c r="AA868" s="10" t="str">
        <f t="shared" si="3"/>
        <v>Clean</v>
      </c>
      <c r="AB868" s="15" t="str">
        <f t="shared" si="4"/>
        <v>Valid</v>
      </c>
      <c r="AC868" s="15">
        <v>8</v>
      </c>
      <c r="AD868" s="16" t="str">
        <f t="shared" si="5"/>
        <v>Valid</v>
      </c>
      <c r="AE868" s="16" t="str">
        <f t="shared" si="6"/>
        <v>Valid</v>
      </c>
      <c r="AF868" s="16" t="str">
        <f t="shared" ref="AF868:AG868" si="1747">IF(ISNUMBER(B868),"Valid","Invalid")</f>
        <v>Valid</v>
      </c>
      <c r="AG868" s="16" t="str">
        <f t="shared" si="1747"/>
        <v>Valid</v>
      </c>
      <c r="AH868" s="16" t="str">
        <f t="shared" ref="AH868:AI868" si="1748">IF(OR(B868="",ISBLANK(B868)),"Missing","Valid")</f>
        <v>Valid</v>
      </c>
      <c r="AI868" s="16" t="str">
        <f t="shared" si="1748"/>
        <v>Valid</v>
      </c>
      <c r="AJ868" s="16" t="b">
        <v>0</v>
      </c>
      <c r="AK868" s="16" t="b">
        <v>0</v>
      </c>
      <c r="AL868" s="16" t="b">
        <v>0</v>
      </c>
      <c r="AM868" s="16" t="b">
        <v>0</v>
      </c>
      <c r="AN868" s="16" t="b">
        <v>0</v>
      </c>
      <c r="AO868" s="16" t="b">
        <v>0</v>
      </c>
      <c r="AP868" s="16" t="b">
        <v>0</v>
      </c>
      <c r="AQ868" s="17">
        <f t="shared" si="9"/>
        <v>0.2</v>
      </c>
      <c r="AR868" s="12">
        <f t="shared" si="10"/>
        <v>21912.263999999999</v>
      </c>
      <c r="AS868" s="18">
        <f t="shared" si="11"/>
        <v>-4.0000000008149073E-3</v>
      </c>
      <c r="AT868" s="12">
        <f t="shared" si="12"/>
        <v>5544.4839999999986</v>
      </c>
      <c r="AU868" s="18">
        <f t="shared" si="13"/>
        <v>-3.9999999989959178E-3</v>
      </c>
      <c r="AV868" s="19">
        <f t="shared" si="14"/>
        <v>0.25303108797885965</v>
      </c>
      <c r="AW868" s="20" t="str">
        <f t="shared" si="15"/>
        <v>February</v>
      </c>
      <c r="AX868" s="21">
        <f t="shared" si="16"/>
        <v>2025</v>
      </c>
    </row>
    <row r="869" spans="1:50" ht="15.75" customHeight="1">
      <c r="A869" s="10" t="s">
        <v>2699</v>
      </c>
      <c r="B869" s="11">
        <v>45617</v>
      </c>
      <c r="C869" s="11">
        <v>45618</v>
      </c>
      <c r="D869" s="10" t="s">
        <v>2700</v>
      </c>
      <c r="E869" s="10" t="s">
        <v>147</v>
      </c>
      <c r="F869" s="10" t="s">
        <v>124</v>
      </c>
      <c r="G869" s="10" t="s">
        <v>83</v>
      </c>
      <c r="H869" s="10" t="s">
        <v>113</v>
      </c>
      <c r="I869" s="10" t="s">
        <v>114</v>
      </c>
      <c r="J869" s="10" t="s">
        <v>103</v>
      </c>
      <c r="K869" s="10" t="s">
        <v>104</v>
      </c>
      <c r="L869" s="10" t="s">
        <v>2701</v>
      </c>
      <c r="M869" s="10" t="s">
        <v>73</v>
      </c>
      <c r="N869" s="12">
        <v>6</v>
      </c>
      <c r="O869" s="12">
        <v>1043.49</v>
      </c>
      <c r="P869" s="12">
        <v>0.25</v>
      </c>
      <c r="Q869" s="12">
        <v>4695.7</v>
      </c>
      <c r="R869" s="12">
        <v>3871.69</v>
      </c>
      <c r="S869" s="12">
        <v>824.01</v>
      </c>
      <c r="T869" s="10" t="s">
        <v>184</v>
      </c>
      <c r="U869" s="13" t="s">
        <v>97</v>
      </c>
      <c r="V869" s="14" t="e">
        <f t="shared" ca="1" si="0"/>
        <v>#NAME?</v>
      </c>
      <c r="W869" s="10" t="str">
        <f ca="1">IFERROR(__xludf.DUMMYFUNCTION("IF(COUNTIF($A:$A,A863)=1,
""Unique"",
IF(COUNTUNIQUE(FILTER($V$2:$V$934,$A$2:$A$934=A863))&gt;1,
""Conflicting Duplicate"",
""Exact Duplicate""))"),"Unique")</f>
        <v>Unique</v>
      </c>
      <c r="X869" s="10" t="b">
        <f t="shared" ca="1" si="1"/>
        <v>1</v>
      </c>
      <c r="Y869" s="10" t="str">
        <f t="shared" si="2"/>
        <v>Unique</v>
      </c>
      <c r="Z869" s="10"/>
      <c r="AA869" s="10" t="str">
        <f t="shared" si="3"/>
        <v>Clean</v>
      </c>
      <c r="AB869" s="15" t="str">
        <f t="shared" si="4"/>
        <v>Valid</v>
      </c>
      <c r="AC869" s="15">
        <v>1</v>
      </c>
      <c r="AD869" s="16" t="str">
        <f t="shared" si="5"/>
        <v>Valid</v>
      </c>
      <c r="AE869" s="16" t="str">
        <f t="shared" si="6"/>
        <v>Valid</v>
      </c>
      <c r="AF869" s="16" t="str">
        <f t="shared" ref="AF869:AG869" si="1749">IF(ISNUMBER(B869),"Valid","Invalid")</f>
        <v>Valid</v>
      </c>
      <c r="AG869" s="16" t="str">
        <f t="shared" si="1749"/>
        <v>Valid</v>
      </c>
      <c r="AH869" s="16" t="str">
        <f t="shared" ref="AH869:AI869" si="1750">IF(OR(B869="",ISBLANK(B869)),"Missing","Valid")</f>
        <v>Valid</v>
      </c>
      <c r="AI869" s="16" t="str">
        <f t="shared" si="1750"/>
        <v>Valid</v>
      </c>
      <c r="AJ869" s="16" t="b">
        <v>0</v>
      </c>
      <c r="AK869" s="16" t="b">
        <v>0</v>
      </c>
      <c r="AL869" s="16" t="b">
        <v>0</v>
      </c>
      <c r="AM869" s="16" t="b">
        <v>0</v>
      </c>
      <c r="AN869" s="16" t="b">
        <v>0</v>
      </c>
      <c r="AO869" s="16" t="b">
        <v>0</v>
      </c>
      <c r="AP869" s="16" t="b">
        <v>0</v>
      </c>
      <c r="AQ869" s="17">
        <f t="shared" si="9"/>
        <v>0.25</v>
      </c>
      <c r="AR869" s="12">
        <f t="shared" si="10"/>
        <v>4695.7049999999999</v>
      </c>
      <c r="AS869" s="18">
        <f t="shared" si="11"/>
        <v>-5.0000000001091394E-3</v>
      </c>
      <c r="AT869" s="12">
        <f t="shared" si="12"/>
        <v>824.01499999999987</v>
      </c>
      <c r="AU869" s="18">
        <f t="shared" si="13"/>
        <v>-4.9999999998817657E-3</v>
      </c>
      <c r="AV869" s="19">
        <f t="shared" si="14"/>
        <v>0.17548270174553127</v>
      </c>
      <c r="AW869" s="20" t="str">
        <f t="shared" si="15"/>
        <v>November</v>
      </c>
      <c r="AX869" s="21">
        <f t="shared" si="16"/>
        <v>2024</v>
      </c>
    </row>
    <row r="870" spans="1:50" ht="15.75" customHeight="1">
      <c r="A870" s="10" t="s">
        <v>2702</v>
      </c>
      <c r="B870" s="11">
        <v>45758</v>
      </c>
      <c r="C870" s="11">
        <v>45762</v>
      </c>
      <c r="D870" s="10" t="s">
        <v>2703</v>
      </c>
      <c r="E870" s="10" t="s">
        <v>100</v>
      </c>
      <c r="F870" s="10" t="s">
        <v>124</v>
      </c>
      <c r="G870" s="10" t="s">
        <v>83</v>
      </c>
      <c r="H870" s="10" t="s">
        <v>204</v>
      </c>
      <c r="I870" s="10" t="s">
        <v>205</v>
      </c>
      <c r="J870" s="10" t="s">
        <v>57</v>
      </c>
      <c r="K870" s="10" t="s">
        <v>153</v>
      </c>
      <c r="L870" s="10" t="s">
        <v>2704</v>
      </c>
      <c r="M870" s="10" t="s">
        <v>73</v>
      </c>
      <c r="N870" s="12">
        <v>9</v>
      </c>
      <c r="O870" s="12">
        <v>224.94</v>
      </c>
      <c r="P870" s="12">
        <v>0.05</v>
      </c>
      <c r="Q870" s="12">
        <v>1923.24</v>
      </c>
      <c r="R870" s="12">
        <v>1093.6600000000001</v>
      </c>
      <c r="S870" s="12">
        <v>829.58</v>
      </c>
      <c r="T870" s="10" t="s">
        <v>61</v>
      </c>
      <c r="U870" s="13" t="s">
        <v>62</v>
      </c>
      <c r="V870" s="14" t="e">
        <f t="shared" ca="1" si="0"/>
        <v>#NAME?</v>
      </c>
      <c r="W870" s="10" t="str">
        <f ca="1">IFERROR(__xludf.DUMMYFUNCTION("IF(COUNTIF($A:$A,A864)=1,
""Unique"",
IF(COUNTUNIQUE(FILTER($V$2:$V$934,$A$2:$A$934=A864))&gt;1,
""Conflicting Duplicate"",
""Exact Duplicate""))"),"Unique")</f>
        <v>Unique</v>
      </c>
      <c r="X870" s="10" t="b">
        <f t="shared" ca="1" si="1"/>
        <v>1</v>
      </c>
      <c r="Y870" s="10" t="str">
        <f t="shared" si="2"/>
        <v>Unique</v>
      </c>
      <c r="Z870" s="10"/>
      <c r="AA870" s="10" t="str">
        <f t="shared" si="3"/>
        <v>Clean</v>
      </c>
      <c r="AB870" s="15" t="str">
        <f t="shared" si="4"/>
        <v>Valid</v>
      </c>
      <c r="AC870" s="15">
        <v>4</v>
      </c>
      <c r="AD870" s="16" t="str">
        <f t="shared" si="5"/>
        <v>Valid</v>
      </c>
      <c r="AE870" s="16" t="str">
        <f t="shared" si="6"/>
        <v>Valid</v>
      </c>
      <c r="AF870" s="16" t="str">
        <f t="shared" ref="AF870:AG870" si="1751">IF(ISNUMBER(B870),"Valid","Invalid")</f>
        <v>Valid</v>
      </c>
      <c r="AG870" s="16" t="str">
        <f t="shared" si="1751"/>
        <v>Valid</v>
      </c>
      <c r="AH870" s="16" t="str">
        <f t="shared" ref="AH870:AI870" si="1752">IF(OR(B870="",ISBLANK(B870)),"Missing","Valid")</f>
        <v>Valid</v>
      </c>
      <c r="AI870" s="16" t="str">
        <f t="shared" si="1752"/>
        <v>Valid</v>
      </c>
      <c r="AJ870" s="16" t="b">
        <v>0</v>
      </c>
      <c r="AK870" s="16" t="b">
        <v>0</v>
      </c>
      <c r="AL870" s="16" t="b">
        <v>0</v>
      </c>
      <c r="AM870" s="16" t="b">
        <v>0</v>
      </c>
      <c r="AN870" s="16" t="b">
        <v>0</v>
      </c>
      <c r="AO870" s="16" t="b">
        <v>0</v>
      </c>
      <c r="AP870" s="16" t="b">
        <v>0</v>
      </c>
      <c r="AQ870" s="17">
        <f t="shared" si="9"/>
        <v>0.05</v>
      </c>
      <c r="AR870" s="12">
        <f t="shared" si="10"/>
        <v>1923.2369999999999</v>
      </c>
      <c r="AS870" s="18">
        <f t="shared" si="11"/>
        <v>3.0000000001564331E-3</v>
      </c>
      <c r="AT870" s="12">
        <f t="shared" si="12"/>
        <v>829.57699999999977</v>
      </c>
      <c r="AU870" s="18">
        <f t="shared" si="13"/>
        <v>3.0000000002701199E-3</v>
      </c>
      <c r="AV870" s="19">
        <f t="shared" si="14"/>
        <v>0.43134413491420964</v>
      </c>
      <c r="AW870" s="20" t="str">
        <f t="shared" si="15"/>
        <v>April</v>
      </c>
      <c r="AX870" s="21">
        <f t="shared" si="16"/>
        <v>2025</v>
      </c>
    </row>
    <row r="871" spans="1:50" ht="15.75" customHeight="1">
      <c r="A871" s="10" t="s">
        <v>2705</v>
      </c>
      <c r="B871" s="11">
        <v>45722</v>
      </c>
      <c r="C871" s="11">
        <v>45723</v>
      </c>
      <c r="D871" s="10" t="s">
        <v>2706</v>
      </c>
      <c r="E871" s="10" t="s">
        <v>170</v>
      </c>
      <c r="F871" s="10" t="s">
        <v>124</v>
      </c>
      <c r="G871" s="10" t="s">
        <v>234</v>
      </c>
      <c r="H871" s="10" t="s">
        <v>380</v>
      </c>
      <c r="I871" s="10" t="s">
        <v>381</v>
      </c>
      <c r="J871" s="10" t="s">
        <v>70</v>
      </c>
      <c r="K871" s="10" t="s">
        <v>95</v>
      </c>
      <c r="L871" s="10" t="s">
        <v>1177</v>
      </c>
      <c r="M871" s="10" t="s">
        <v>73</v>
      </c>
      <c r="N871" s="12">
        <v>6</v>
      </c>
      <c r="O871" s="12">
        <v>796.65</v>
      </c>
      <c r="P871" s="12">
        <v>0.1</v>
      </c>
      <c r="Q871" s="12">
        <v>4301.91</v>
      </c>
      <c r="R871" s="12">
        <v>2374.4</v>
      </c>
      <c r="S871" s="12">
        <v>1927.51</v>
      </c>
      <c r="T871" s="10" t="s">
        <v>61</v>
      </c>
      <c r="U871" s="13" t="s">
        <v>62</v>
      </c>
      <c r="V871" s="14" t="e">
        <f t="shared" ca="1" si="0"/>
        <v>#NAME?</v>
      </c>
      <c r="W871" s="10" t="str">
        <f ca="1">IFERROR(__xludf.DUMMYFUNCTION("IF(COUNTIF($A:$A,A865)=1,
""Unique"",
IF(COUNTUNIQUE(FILTER($V$2:$V$934,$A$2:$A$934=A865))&gt;1,
""Conflicting Duplicate"",
""Exact Duplicate""))"),"Unique")</f>
        <v>Unique</v>
      </c>
      <c r="X871" s="10" t="b">
        <f t="shared" ca="1" si="1"/>
        <v>1</v>
      </c>
      <c r="Y871" s="10" t="str">
        <f t="shared" si="2"/>
        <v>Unique</v>
      </c>
      <c r="Z871" s="10"/>
      <c r="AA871" s="10" t="str">
        <f t="shared" si="3"/>
        <v>Warning</v>
      </c>
      <c r="AB871" s="15" t="str">
        <f t="shared" si="4"/>
        <v>Valid</v>
      </c>
      <c r="AC871" s="15">
        <v>1</v>
      </c>
      <c r="AD871" s="16" t="str">
        <f t="shared" si="5"/>
        <v>Valid</v>
      </c>
      <c r="AE871" s="16" t="str">
        <f t="shared" si="6"/>
        <v>Valid</v>
      </c>
      <c r="AF871" s="16" t="str">
        <f t="shared" ref="AF871:AG871" si="1753">IF(ISNUMBER(B871),"Valid","Invalid")</f>
        <v>Valid</v>
      </c>
      <c r="AG871" s="16" t="str">
        <f t="shared" si="1753"/>
        <v>Valid</v>
      </c>
      <c r="AH871" s="16" t="str">
        <f t="shared" ref="AH871:AI871" si="1754">IF(OR(B871="",ISBLANK(B871)),"Missing","Valid")</f>
        <v>Valid</v>
      </c>
      <c r="AI871" s="16" t="str">
        <f t="shared" si="1754"/>
        <v>Valid</v>
      </c>
      <c r="AJ871" s="16" t="b">
        <v>1</v>
      </c>
      <c r="AK871" s="16" t="b">
        <v>0</v>
      </c>
      <c r="AL871" s="16" t="b">
        <v>0</v>
      </c>
      <c r="AM871" s="16" t="b">
        <v>0</v>
      </c>
      <c r="AN871" s="16" t="b">
        <v>0</v>
      </c>
      <c r="AO871" s="16" t="b">
        <v>0</v>
      </c>
      <c r="AP871" s="16" t="b">
        <v>1</v>
      </c>
      <c r="AQ871" s="17">
        <f t="shared" si="9"/>
        <v>0.1</v>
      </c>
      <c r="AR871" s="12">
        <f t="shared" si="10"/>
        <v>4301.91</v>
      </c>
      <c r="AS871" s="18">
        <f t="shared" si="11"/>
        <v>0</v>
      </c>
      <c r="AT871" s="12">
        <f t="shared" si="12"/>
        <v>1927.5099999999998</v>
      </c>
      <c r="AU871" s="18">
        <f t="shared" si="13"/>
        <v>0</v>
      </c>
      <c r="AV871" s="19">
        <f t="shared" si="14"/>
        <v>0.44805911792668834</v>
      </c>
      <c r="AW871" s="20" t="str">
        <f t="shared" si="15"/>
        <v>March</v>
      </c>
      <c r="AX871" s="21">
        <f t="shared" si="16"/>
        <v>2025</v>
      </c>
    </row>
    <row r="872" spans="1:50" ht="15.75" customHeight="1">
      <c r="A872" s="10" t="s">
        <v>2707</v>
      </c>
      <c r="B872" s="11">
        <v>45814</v>
      </c>
      <c r="C872" s="11">
        <v>45815</v>
      </c>
      <c r="D872" s="10" t="s">
        <v>2708</v>
      </c>
      <c r="E872" s="10" t="s">
        <v>100</v>
      </c>
      <c r="F872" s="10" t="s">
        <v>119</v>
      </c>
      <c r="G872" s="10" t="s">
        <v>92</v>
      </c>
      <c r="H872" s="10" t="s">
        <v>219</v>
      </c>
      <c r="I872" s="10" t="s">
        <v>220</v>
      </c>
      <c r="J872" s="10" t="s">
        <v>70</v>
      </c>
      <c r="K872" s="10" t="s">
        <v>71</v>
      </c>
      <c r="L872" s="10" t="s">
        <v>2709</v>
      </c>
      <c r="M872" s="10" t="s">
        <v>88</v>
      </c>
      <c r="N872" s="12">
        <v>9</v>
      </c>
      <c r="O872" s="12">
        <v>2932.92</v>
      </c>
      <c r="P872" s="12">
        <v>0.15</v>
      </c>
      <c r="Q872" s="12">
        <v>22436.84</v>
      </c>
      <c r="R872" s="12">
        <v>17454.669999999998</v>
      </c>
      <c r="S872" s="12">
        <v>4982.17</v>
      </c>
      <c r="T872" s="10" t="s">
        <v>61</v>
      </c>
      <c r="U872" s="13" t="s">
        <v>97</v>
      </c>
      <c r="V872" s="14" t="e">
        <f t="shared" ca="1" si="0"/>
        <v>#NAME?</v>
      </c>
      <c r="W872" s="10" t="str">
        <f ca="1">IFERROR(__xludf.DUMMYFUNCTION("IF(COUNTIF($A:$A,A866)=1,
""Unique"",
IF(COUNTUNIQUE(FILTER($V$2:$V$934,$A$2:$A$934=A866))&gt;1,
""Conflicting Duplicate"",
""Exact Duplicate""))"),"Unique")</f>
        <v>Unique</v>
      </c>
      <c r="X872" s="10" t="b">
        <f t="shared" ca="1" si="1"/>
        <v>1</v>
      </c>
      <c r="Y872" s="10" t="str">
        <f t="shared" si="2"/>
        <v>Unique</v>
      </c>
      <c r="Z872" s="10"/>
      <c r="AA872" s="10" t="str">
        <f t="shared" si="3"/>
        <v>Clean</v>
      </c>
      <c r="AB872" s="15" t="str">
        <f t="shared" si="4"/>
        <v>Valid</v>
      </c>
      <c r="AC872" s="15">
        <v>1</v>
      </c>
      <c r="AD872" s="16" t="str">
        <f t="shared" si="5"/>
        <v>Valid</v>
      </c>
      <c r="AE872" s="16" t="str">
        <f t="shared" si="6"/>
        <v>Valid</v>
      </c>
      <c r="AF872" s="16" t="str">
        <f t="shared" ref="AF872:AG872" si="1755">IF(ISNUMBER(B872),"Valid","Invalid")</f>
        <v>Valid</v>
      </c>
      <c r="AG872" s="16" t="str">
        <f t="shared" si="1755"/>
        <v>Valid</v>
      </c>
      <c r="AH872" s="16" t="str">
        <f t="shared" ref="AH872:AI872" si="1756">IF(OR(B872="",ISBLANK(B872)),"Missing","Valid")</f>
        <v>Valid</v>
      </c>
      <c r="AI872" s="16" t="str">
        <f t="shared" si="1756"/>
        <v>Valid</v>
      </c>
      <c r="AJ872" s="16" t="b">
        <v>0</v>
      </c>
      <c r="AK872" s="16" t="b">
        <v>0</v>
      </c>
      <c r="AL872" s="16" t="b">
        <v>0</v>
      </c>
      <c r="AM872" s="16" t="b">
        <v>0</v>
      </c>
      <c r="AN872" s="16" t="b">
        <v>0</v>
      </c>
      <c r="AO872" s="16" t="b">
        <v>0</v>
      </c>
      <c r="AP872" s="16" t="b">
        <v>0</v>
      </c>
      <c r="AQ872" s="17">
        <f t="shared" si="9"/>
        <v>0.15</v>
      </c>
      <c r="AR872" s="12">
        <f t="shared" si="10"/>
        <v>22436.838</v>
      </c>
      <c r="AS872" s="18">
        <f t="shared" si="11"/>
        <v>2.0000000004074536E-3</v>
      </c>
      <c r="AT872" s="12">
        <f t="shared" si="12"/>
        <v>4982.1680000000015</v>
      </c>
      <c r="AU872" s="18">
        <f t="shared" si="13"/>
        <v>1.9999999985884642E-3</v>
      </c>
      <c r="AV872" s="19">
        <f t="shared" si="14"/>
        <v>0.22205303617203109</v>
      </c>
      <c r="AW872" s="20" t="str">
        <f t="shared" si="15"/>
        <v>June</v>
      </c>
      <c r="AX872" s="21">
        <f t="shared" si="16"/>
        <v>2025</v>
      </c>
    </row>
    <row r="873" spans="1:50" ht="15.75" customHeight="1">
      <c r="A873" s="10" t="s">
        <v>2710</v>
      </c>
      <c r="B873" s="11">
        <v>45342</v>
      </c>
      <c r="C873" s="11">
        <v>45344</v>
      </c>
      <c r="D873" s="10" t="s">
        <v>2581</v>
      </c>
      <c r="E873" s="10" t="s">
        <v>108</v>
      </c>
      <c r="F873" s="10" t="s">
        <v>66</v>
      </c>
      <c r="G873" s="10" t="s">
        <v>83</v>
      </c>
      <c r="H873" s="10" t="s">
        <v>84</v>
      </c>
      <c r="I873" s="10" t="s">
        <v>85</v>
      </c>
      <c r="J873" s="10" t="s">
        <v>103</v>
      </c>
      <c r="K873" s="10" t="s">
        <v>104</v>
      </c>
      <c r="L873" s="10" t="s">
        <v>2711</v>
      </c>
      <c r="M873" s="10" t="s">
        <v>79</v>
      </c>
      <c r="N873" s="12">
        <v>9</v>
      </c>
      <c r="O873" s="12">
        <v>2186.23</v>
      </c>
      <c r="P873" s="12">
        <v>0</v>
      </c>
      <c r="Q873" s="12">
        <v>19676.07</v>
      </c>
      <c r="R873" s="12">
        <v>12458.62</v>
      </c>
      <c r="S873" s="12">
        <v>7217.45</v>
      </c>
      <c r="T873" s="10" t="s">
        <v>131</v>
      </c>
      <c r="U873" s="13" t="s">
        <v>97</v>
      </c>
      <c r="V873" s="14" t="e">
        <f t="shared" ca="1" si="0"/>
        <v>#NAME?</v>
      </c>
      <c r="W873" s="10" t="str">
        <f ca="1">IFERROR(__xludf.DUMMYFUNCTION("IF(COUNTIF($A:$A,A867)=1,
""Unique"",
IF(COUNTUNIQUE(FILTER($V$2:$V$934,$A$2:$A$934=A867))&gt;1,
""Conflicting Duplicate"",
""Exact Duplicate""))"),"Unique")</f>
        <v>Unique</v>
      </c>
      <c r="X873" s="10" t="b">
        <f t="shared" ca="1" si="1"/>
        <v>1</v>
      </c>
      <c r="Y873" s="10" t="str">
        <f t="shared" si="2"/>
        <v>Unique</v>
      </c>
      <c r="Z873" s="10"/>
      <c r="AA873" s="10" t="str">
        <f t="shared" si="3"/>
        <v>Clean</v>
      </c>
      <c r="AB873" s="15" t="str">
        <f t="shared" si="4"/>
        <v>Valid</v>
      </c>
      <c r="AC873" s="15">
        <v>2</v>
      </c>
      <c r="AD873" s="16" t="str">
        <f t="shared" si="5"/>
        <v>Valid</v>
      </c>
      <c r="AE873" s="16" t="str">
        <f t="shared" si="6"/>
        <v>Valid</v>
      </c>
      <c r="AF873" s="16" t="str">
        <f t="shared" ref="AF873:AG873" si="1757">IF(ISNUMBER(B873),"Valid","Invalid")</f>
        <v>Valid</v>
      </c>
      <c r="AG873" s="16" t="str">
        <f t="shared" si="1757"/>
        <v>Valid</v>
      </c>
      <c r="AH873" s="16" t="str">
        <f t="shared" ref="AH873:AI873" si="1758">IF(OR(B873="",ISBLANK(B873)),"Missing","Valid")</f>
        <v>Valid</v>
      </c>
      <c r="AI873" s="16" t="str">
        <f t="shared" si="1758"/>
        <v>Valid</v>
      </c>
      <c r="AJ873" s="16" t="b">
        <v>0</v>
      </c>
      <c r="AK873" s="16" t="b">
        <v>0</v>
      </c>
      <c r="AL873" s="16" t="b">
        <v>0</v>
      </c>
      <c r="AM873" s="16" t="b">
        <v>0</v>
      </c>
      <c r="AN873" s="16" t="b">
        <v>0</v>
      </c>
      <c r="AO873" s="16" t="b">
        <v>0</v>
      </c>
      <c r="AP873" s="16" t="b">
        <v>0</v>
      </c>
      <c r="AQ873" s="17">
        <f t="shared" si="9"/>
        <v>0</v>
      </c>
      <c r="AR873" s="12">
        <f t="shared" si="10"/>
        <v>19676.07</v>
      </c>
      <c r="AS873" s="18">
        <f t="shared" si="11"/>
        <v>0</v>
      </c>
      <c r="AT873" s="12">
        <f t="shared" si="12"/>
        <v>7217.4499999999989</v>
      </c>
      <c r="AU873" s="18">
        <f t="shared" si="13"/>
        <v>0</v>
      </c>
      <c r="AV873" s="19">
        <f t="shared" si="14"/>
        <v>0.36681359641432454</v>
      </c>
      <c r="AW873" s="20" t="str">
        <f t="shared" si="15"/>
        <v>February</v>
      </c>
      <c r="AX873" s="21">
        <f t="shared" si="16"/>
        <v>2024</v>
      </c>
    </row>
    <row r="874" spans="1:50" ht="15.75" customHeight="1">
      <c r="A874" s="10" t="s">
        <v>2712</v>
      </c>
      <c r="B874" s="11">
        <v>45597</v>
      </c>
      <c r="C874" s="11">
        <v>45598</v>
      </c>
      <c r="D874" s="10" t="s">
        <v>1990</v>
      </c>
      <c r="E874" s="10" t="s">
        <v>52</v>
      </c>
      <c r="F874" s="10" t="s">
        <v>119</v>
      </c>
      <c r="G874" s="10" t="s">
        <v>67</v>
      </c>
      <c r="H874" s="10" t="s">
        <v>128</v>
      </c>
      <c r="I874" s="10" t="s">
        <v>129</v>
      </c>
      <c r="J874" s="10" t="s">
        <v>70</v>
      </c>
      <c r="K874" s="10" t="s">
        <v>86</v>
      </c>
      <c r="L874" s="10" t="s">
        <v>2713</v>
      </c>
      <c r="M874" s="10" t="s">
        <v>88</v>
      </c>
      <c r="N874" s="12">
        <v>5</v>
      </c>
      <c r="O874" s="12">
        <v>2212.02</v>
      </c>
      <c r="P874" s="12">
        <v>0.2</v>
      </c>
      <c r="Q874" s="12">
        <v>8848.08</v>
      </c>
      <c r="R874" s="12">
        <v>5691.56</v>
      </c>
      <c r="S874" s="12">
        <v>3156.52</v>
      </c>
      <c r="T874" s="10" t="s">
        <v>61</v>
      </c>
      <c r="U874" s="13" t="s">
        <v>62</v>
      </c>
      <c r="V874" s="14" t="e">
        <f t="shared" ca="1" si="0"/>
        <v>#NAME?</v>
      </c>
      <c r="W874" s="10" t="str">
        <f ca="1">IFERROR(__xludf.DUMMYFUNCTION("IF(COUNTIF($A:$A,A868)=1,
""Unique"",
IF(COUNTUNIQUE(FILTER($V$2:$V$934,$A$2:$A$934=A868))&gt;1,
""Conflicting Duplicate"",
""Exact Duplicate""))"),"Unique")</f>
        <v>Unique</v>
      </c>
      <c r="X874" s="10" t="b">
        <f t="shared" ca="1" si="1"/>
        <v>1</v>
      </c>
      <c r="Y874" s="10" t="str">
        <f t="shared" si="2"/>
        <v>Unique</v>
      </c>
      <c r="Z874" s="10"/>
      <c r="AA874" s="10" t="str">
        <f t="shared" si="3"/>
        <v>Clean</v>
      </c>
      <c r="AB874" s="15" t="str">
        <f t="shared" si="4"/>
        <v>Valid</v>
      </c>
      <c r="AC874" s="15">
        <v>1</v>
      </c>
      <c r="AD874" s="16" t="str">
        <f t="shared" si="5"/>
        <v>Valid</v>
      </c>
      <c r="AE874" s="16" t="str">
        <f t="shared" si="6"/>
        <v>Valid</v>
      </c>
      <c r="AF874" s="16" t="str">
        <f t="shared" ref="AF874:AG874" si="1759">IF(ISNUMBER(B874),"Valid","Invalid")</f>
        <v>Valid</v>
      </c>
      <c r="AG874" s="16" t="str">
        <f t="shared" si="1759"/>
        <v>Valid</v>
      </c>
      <c r="AH874" s="16" t="str">
        <f t="shared" ref="AH874:AI874" si="1760">IF(OR(B874="",ISBLANK(B874)),"Missing","Valid")</f>
        <v>Valid</v>
      </c>
      <c r="AI874" s="16" t="str">
        <f t="shared" si="1760"/>
        <v>Valid</v>
      </c>
      <c r="AJ874" s="16" t="b">
        <v>0</v>
      </c>
      <c r="AK874" s="16" t="b">
        <v>0</v>
      </c>
      <c r="AL874" s="16" t="b">
        <v>0</v>
      </c>
      <c r="AM874" s="16" t="b">
        <v>0</v>
      </c>
      <c r="AN874" s="16" t="b">
        <v>0</v>
      </c>
      <c r="AO874" s="16" t="b">
        <v>0</v>
      </c>
      <c r="AP874" s="16" t="b">
        <v>0</v>
      </c>
      <c r="AQ874" s="17">
        <f t="shared" si="9"/>
        <v>0.2</v>
      </c>
      <c r="AR874" s="12">
        <f t="shared" si="10"/>
        <v>8848.08</v>
      </c>
      <c r="AS874" s="18">
        <f t="shared" si="11"/>
        <v>0</v>
      </c>
      <c r="AT874" s="12">
        <f t="shared" si="12"/>
        <v>3156.5199999999995</v>
      </c>
      <c r="AU874" s="18">
        <f t="shared" si="13"/>
        <v>0</v>
      </c>
      <c r="AV874" s="19">
        <f t="shared" si="14"/>
        <v>0.35674632236598219</v>
      </c>
      <c r="AW874" s="20" t="str">
        <f t="shared" si="15"/>
        <v>November</v>
      </c>
      <c r="AX874" s="21">
        <f t="shared" si="16"/>
        <v>2024</v>
      </c>
    </row>
    <row r="875" spans="1:50" ht="15.75" customHeight="1">
      <c r="A875" s="10" t="s">
        <v>2714</v>
      </c>
      <c r="B875" s="11">
        <v>45689</v>
      </c>
      <c r="C875" s="11">
        <v>45696</v>
      </c>
      <c r="D875" s="10" t="s">
        <v>2715</v>
      </c>
      <c r="E875" s="10" t="s">
        <v>118</v>
      </c>
      <c r="F875" s="10" t="s">
        <v>124</v>
      </c>
      <c r="G875" s="10" t="s">
        <v>92</v>
      </c>
      <c r="H875" s="10" t="s">
        <v>209</v>
      </c>
      <c r="I875" s="10" t="s">
        <v>210</v>
      </c>
      <c r="J875" s="10" t="s">
        <v>57</v>
      </c>
      <c r="K875" s="10" t="s">
        <v>153</v>
      </c>
      <c r="L875" s="10" t="s">
        <v>2716</v>
      </c>
      <c r="M875" s="10" t="s">
        <v>60</v>
      </c>
      <c r="N875" s="12">
        <v>8</v>
      </c>
      <c r="O875" s="12">
        <v>623.30999999999995</v>
      </c>
      <c r="P875" s="12">
        <v>0.1</v>
      </c>
      <c r="Q875" s="12">
        <v>4487.83</v>
      </c>
      <c r="R875" s="12">
        <v>2633.78</v>
      </c>
      <c r="S875" s="12">
        <v>1854.05</v>
      </c>
      <c r="T875" s="10" t="s">
        <v>61</v>
      </c>
      <c r="U875" s="13" t="s">
        <v>62</v>
      </c>
      <c r="V875" s="14" t="e">
        <f t="shared" ca="1" si="0"/>
        <v>#NAME?</v>
      </c>
      <c r="W875" s="10" t="str">
        <f ca="1">IFERROR(__xludf.DUMMYFUNCTION("IF(COUNTIF($A:$A,A869)=1,
""Unique"",
IF(COUNTUNIQUE(FILTER($V$2:$V$934,$A$2:$A$934=A869))&gt;1,
""Conflicting Duplicate"",
""Exact Duplicate""))"),"Unique")</f>
        <v>Unique</v>
      </c>
      <c r="X875" s="10" t="b">
        <f t="shared" ca="1" si="1"/>
        <v>1</v>
      </c>
      <c r="Y875" s="10" t="str">
        <f t="shared" si="2"/>
        <v>Unique</v>
      </c>
      <c r="Z875" s="10"/>
      <c r="AA875" s="10" t="str">
        <f t="shared" si="3"/>
        <v>Clean</v>
      </c>
      <c r="AB875" s="15" t="str">
        <f t="shared" si="4"/>
        <v>Valid</v>
      </c>
      <c r="AC875" s="15">
        <v>7</v>
      </c>
      <c r="AD875" s="16" t="str">
        <f t="shared" si="5"/>
        <v>Valid</v>
      </c>
      <c r="AE875" s="16" t="str">
        <f t="shared" si="6"/>
        <v>Valid</v>
      </c>
      <c r="AF875" s="16" t="str">
        <f t="shared" ref="AF875:AG875" si="1761">IF(ISNUMBER(B875),"Valid","Invalid")</f>
        <v>Valid</v>
      </c>
      <c r="AG875" s="16" t="str">
        <f t="shared" si="1761"/>
        <v>Valid</v>
      </c>
      <c r="AH875" s="16" t="str">
        <f t="shared" ref="AH875:AI875" si="1762">IF(OR(B875="",ISBLANK(B875)),"Missing","Valid")</f>
        <v>Valid</v>
      </c>
      <c r="AI875" s="16" t="str">
        <f t="shared" si="1762"/>
        <v>Valid</v>
      </c>
      <c r="AJ875" s="16" t="b">
        <v>0</v>
      </c>
      <c r="AK875" s="16" t="b">
        <v>0</v>
      </c>
      <c r="AL875" s="16" t="b">
        <v>0</v>
      </c>
      <c r="AM875" s="16" t="b">
        <v>0</v>
      </c>
      <c r="AN875" s="16" t="b">
        <v>0</v>
      </c>
      <c r="AO875" s="16" t="b">
        <v>0</v>
      </c>
      <c r="AP875" s="16" t="b">
        <v>0</v>
      </c>
      <c r="AQ875" s="17">
        <f t="shared" si="9"/>
        <v>0.1</v>
      </c>
      <c r="AR875" s="12">
        <f t="shared" si="10"/>
        <v>4487.8319999999994</v>
      </c>
      <c r="AS875" s="18">
        <f t="shared" si="11"/>
        <v>-1.9999999994979589E-3</v>
      </c>
      <c r="AT875" s="12">
        <f t="shared" si="12"/>
        <v>1854.0519999999992</v>
      </c>
      <c r="AU875" s="18">
        <f t="shared" si="13"/>
        <v>-1.9999999992705852E-3</v>
      </c>
      <c r="AV875" s="19">
        <f t="shared" si="14"/>
        <v>0.41312865543986482</v>
      </c>
      <c r="AW875" s="20" t="str">
        <f t="shared" si="15"/>
        <v>February</v>
      </c>
      <c r="AX875" s="21">
        <f t="shared" si="16"/>
        <v>2025</v>
      </c>
    </row>
    <row r="876" spans="1:50" ht="15.75" customHeight="1">
      <c r="A876" s="10" t="s">
        <v>2717</v>
      </c>
      <c r="B876" s="11">
        <v>45853</v>
      </c>
      <c r="C876" s="11">
        <v>45854</v>
      </c>
      <c r="D876" s="10" t="s">
        <v>2718</v>
      </c>
      <c r="E876" s="10" t="s">
        <v>100</v>
      </c>
      <c r="F876" s="10" t="s">
        <v>66</v>
      </c>
      <c r="G876" s="10" t="s">
        <v>92</v>
      </c>
      <c r="H876" s="10" t="s">
        <v>93</v>
      </c>
      <c r="I876" s="10" t="s">
        <v>94</v>
      </c>
      <c r="J876" s="10" t="s">
        <v>57</v>
      </c>
      <c r="K876" s="10" t="s">
        <v>58</v>
      </c>
      <c r="L876" s="10" t="s">
        <v>2719</v>
      </c>
      <c r="M876" s="10" t="s">
        <v>88</v>
      </c>
      <c r="N876" s="12">
        <v>8</v>
      </c>
      <c r="O876" s="12">
        <v>3924.88</v>
      </c>
      <c r="P876" s="12">
        <v>0.05</v>
      </c>
      <c r="Q876" s="12">
        <v>29829.09</v>
      </c>
      <c r="R876" s="12">
        <v>20710.18</v>
      </c>
      <c r="S876" s="12">
        <v>9118.91</v>
      </c>
      <c r="T876" s="10" t="s">
        <v>61</v>
      </c>
      <c r="U876" s="13" t="s">
        <v>62</v>
      </c>
      <c r="V876" s="14" t="e">
        <f t="shared" ca="1" si="0"/>
        <v>#NAME?</v>
      </c>
      <c r="W876" s="10" t="str">
        <f ca="1">IFERROR(__xludf.DUMMYFUNCTION("IF(COUNTIF($A:$A,A870)=1,
""Unique"",
IF(COUNTUNIQUE(FILTER($V$2:$V$934,$A$2:$A$934=A870))&gt;1,
""Conflicting Duplicate"",
""Exact Duplicate""))"),"Unique")</f>
        <v>Unique</v>
      </c>
      <c r="X876" s="10" t="b">
        <f t="shared" ca="1" si="1"/>
        <v>1</v>
      </c>
      <c r="Y876" s="10" t="str">
        <f t="shared" si="2"/>
        <v>Unique</v>
      </c>
      <c r="Z876" s="10"/>
      <c r="AA876" s="10" t="str">
        <f t="shared" si="3"/>
        <v>Clean</v>
      </c>
      <c r="AB876" s="15" t="str">
        <f t="shared" si="4"/>
        <v>Valid</v>
      </c>
      <c r="AC876" s="15">
        <v>1</v>
      </c>
      <c r="AD876" s="16" t="str">
        <f t="shared" si="5"/>
        <v>Valid</v>
      </c>
      <c r="AE876" s="16" t="str">
        <f t="shared" si="6"/>
        <v>Valid</v>
      </c>
      <c r="AF876" s="16" t="str">
        <f t="shared" ref="AF876:AG876" si="1763">IF(ISNUMBER(B876),"Valid","Invalid")</f>
        <v>Valid</v>
      </c>
      <c r="AG876" s="16" t="str">
        <f t="shared" si="1763"/>
        <v>Valid</v>
      </c>
      <c r="AH876" s="16" t="str">
        <f t="shared" ref="AH876:AI876" si="1764">IF(OR(B876="",ISBLANK(B876)),"Missing","Valid")</f>
        <v>Valid</v>
      </c>
      <c r="AI876" s="16" t="str">
        <f t="shared" si="1764"/>
        <v>Valid</v>
      </c>
      <c r="AJ876" s="16" t="b">
        <v>0</v>
      </c>
      <c r="AK876" s="16" t="b">
        <v>0</v>
      </c>
      <c r="AL876" s="16" t="b">
        <v>0</v>
      </c>
      <c r="AM876" s="16" t="b">
        <v>0</v>
      </c>
      <c r="AN876" s="16" t="b">
        <v>0</v>
      </c>
      <c r="AO876" s="16" t="b">
        <v>0</v>
      </c>
      <c r="AP876" s="16" t="b">
        <v>0</v>
      </c>
      <c r="AQ876" s="17">
        <f t="shared" si="9"/>
        <v>0.05</v>
      </c>
      <c r="AR876" s="12">
        <f t="shared" si="10"/>
        <v>29829.088</v>
      </c>
      <c r="AS876" s="18">
        <f t="shared" si="11"/>
        <v>2.0000000004074536E-3</v>
      </c>
      <c r="AT876" s="12">
        <f t="shared" si="12"/>
        <v>9118.9079999999994</v>
      </c>
      <c r="AU876" s="18">
        <f t="shared" si="13"/>
        <v>2.0000000004074536E-3</v>
      </c>
      <c r="AV876" s="19">
        <f t="shared" si="14"/>
        <v>0.30570522303598419</v>
      </c>
      <c r="AW876" s="20" t="str">
        <f t="shared" si="15"/>
        <v>July</v>
      </c>
      <c r="AX876" s="21">
        <f t="shared" si="16"/>
        <v>2025</v>
      </c>
    </row>
    <row r="877" spans="1:50" ht="15.75" customHeight="1">
      <c r="A877" s="10" t="s">
        <v>2720</v>
      </c>
      <c r="B877" s="11">
        <v>45514</v>
      </c>
      <c r="C877" s="11">
        <v>45515</v>
      </c>
      <c r="D877" s="10" t="s">
        <v>2721</v>
      </c>
      <c r="E877" s="10" t="s">
        <v>65</v>
      </c>
      <c r="F877" s="10" t="s">
        <v>119</v>
      </c>
      <c r="G877" s="10" t="s">
        <v>92</v>
      </c>
      <c r="H877" s="10" t="s">
        <v>93</v>
      </c>
      <c r="I877" s="10" t="s">
        <v>94</v>
      </c>
      <c r="J877" s="10" t="s">
        <v>103</v>
      </c>
      <c r="K877" s="10" t="s">
        <v>109</v>
      </c>
      <c r="L877" s="10" t="s">
        <v>2722</v>
      </c>
      <c r="M877" s="10" t="s">
        <v>79</v>
      </c>
      <c r="N877" s="12">
        <v>7</v>
      </c>
      <c r="O877" s="12">
        <v>3852.62</v>
      </c>
      <c r="P877" s="12">
        <v>0.2</v>
      </c>
      <c r="Q877" s="12">
        <v>21574.67</v>
      </c>
      <c r="R877" s="12">
        <v>14672.83</v>
      </c>
      <c r="S877" s="12">
        <v>6901.84</v>
      </c>
      <c r="T877" s="10" t="s">
        <v>61</v>
      </c>
      <c r="U877" s="13" t="s">
        <v>62</v>
      </c>
      <c r="V877" s="14" t="e">
        <f t="shared" ca="1" si="0"/>
        <v>#NAME?</v>
      </c>
      <c r="W877" s="10" t="str">
        <f ca="1">IFERROR(__xludf.DUMMYFUNCTION("IF(COUNTIF($A:$A,A871)=1,
""Unique"",
IF(COUNTUNIQUE(FILTER($V$2:$V$934,$A$2:$A$934=A871))&gt;1,
""Conflicting Duplicate"",
""Exact Duplicate""))"),"Unique")</f>
        <v>Unique</v>
      </c>
      <c r="X877" s="10" t="b">
        <f t="shared" ca="1" si="1"/>
        <v>1</v>
      </c>
      <c r="Y877" s="10" t="str">
        <f t="shared" si="2"/>
        <v>Unique</v>
      </c>
      <c r="Z877" s="10"/>
      <c r="AA877" s="10" t="str">
        <f t="shared" si="3"/>
        <v>Clean</v>
      </c>
      <c r="AB877" s="15" t="str">
        <f t="shared" si="4"/>
        <v>Valid</v>
      </c>
      <c r="AC877" s="15">
        <v>1</v>
      </c>
      <c r="AD877" s="16" t="str">
        <f t="shared" si="5"/>
        <v>Valid</v>
      </c>
      <c r="AE877" s="16" t="str">
        <f t="shared" si="6"/>
        <v>Valid</v>
      </c>
      <c r="AF877" s="16" t="str">
        <f t="shared" ref="AF877:AG877" si="1765">IF(ISNUMBER(B877),"Valid","Invalid")</f>
        <v>Valid</v>
      </c>
      <c r="AG877" s="16" t="str">
        <f t="shared" si="1765"/>
        <v>Valid</v>
      </c>
      <c r="AH877" s="16" t="str">
        <f t="shared" ref="AH877:AI877" si="1766">IF(OR(B877="",ISBLANK(B877)),"Missing","Valid")</f>
        <v>Valid</v>
      </c>
      <c r="AI877" s="16" t="str">
        <f t="shared" si="1766"/>
        <v>Valid</v>
      </c>
      <c r="AJ877" s="16" t="b">
        <v>0</v>
      </c>
      <c r="AK877" s="16" t="b">
        <v>0</v>
      </c>
      <c r="AL877" s="16" t="b">
        <v>0</v>
      </c>
      <c r="AM877" s="16" t="b">
        <v>0</v>
      </c>
      <c r="AN877" s="16" t="b">
        <v>0</v>
      </c>
      <c r="AO877" s="16" t="b">
        <v>0</v>
      </c>
      <c r="AP877" s="16" t="b">
        <v>0</v>
      </c>
      <c r="AQ877" s="17">
        <f t="shared" si="9"/>
        <v>0.2</v>
      </c>
      <c r="AR877" s="12">
        <f t="shared" si="10"/>
        <v>21574.672000000002</v>
      </c>
      <c r="AS877" s="18">
        <f t="shared" si="11"/>
        <v>-2.0000000040454324E-3</v>
      </c>
      <c r="AT877" s="12">
        <f t="shared" si="12"/>
        <v>6901.8420000000024</v>
      </c>
      <c r="AU877" s="18">
        <f t="shared" si="13"/>
        <v>-2.000000002226443E-3</v>
      </c>
      <c r="AV877" s="19">
        <f t="shared" si="14"/>
        <v>0.31990484026825539</v>
      </c>
      <c r="AW877" s="20" t="str">
        <f t="shared" si="15"/>
        <v>August</v>
      </c>
      <c r="AX877" s="21">
        <f t="shared" si="16"/>
        <v>2024</v>
      </c>
    </row>
    <row r="878" spans="1:50" ht="15.75" customHeight="1">
      <c r="A878" s="10" t="s">
        <v>2723</v>
      </c>
      <c r="B878" s="11">
        <v>45614</v>
      </c>
      <c r="C878" s="11">
        <v>45616</v>
      </c>
      <c r="D878" s="10" t="s">
        <v>2724</v>
      </c>
      <c r="E878" s="10" t="s">
        <v>143</v>
      </c>
      <c r="F878" s="10" t="s">
        <v>53</v>
      </c>
      <c r="G878" s="10" t="s">
        <v>92</v>
      </c>
      <c r="H878" s="10" t="s">
        <v>55</v>
      </c>
      <c r="I878" s="10" t="s">
        <v>138</v>
      </c>
      <c r="J878" s="10" t="s">
        <v>70</v>
      </c>
      <c r="K878" s="10" t="s">
        <v>95</v>
      </c>
      <c r="L878" s="10" t="s">
        <v>875</v>
      </c>
      <c r="M878" s="10" t="s">
        <v>79</v>
      </c>
      <c r="N878" s="12">
        <v>6</v>
      </c>
      <c r="O878" s="12">
        <v>3790.22</v>
      </c>
      <c r="P878" s="12">
        <v>0</v>
      </c>
      <c r="Q878" s="12">
        <v>22741.32</v>
      </c>
      <c r="R878" s="12">
        <v>16388.57</v>
      </c>
      <c r="S878" s="12">
        <v>6352.75</v>
      </c>
      <c r="T878" s="10" t="s">
        <v>61</v>
      </c>
      <c r="U878" s="13" t="s">
        <v>62</v>
      </c>
      <c r="V878" s="14" t="e">
        <f t="shared" ca="1" si="0"/>
        <v>#NAME?</v>
      </c>
      <c r="W878" s="10" t="str">
        <f ca="1">IFERROR(__xludf.DUMMYFUNCTION("IF(COUNTIF($A:$A,A872)=1,
""Unique"",
IF(COUNTUNIQUE(FILTER($V$2:$V$934,$A$2:$A$934=A872))&gt;1,
""Conflicting Duplicate"",
""Exact Duplicate""))"),"Unique")</f>
        <v>Unique</v>
      </c>
      <c r="X878" s="10" t="b">
        <f t="shared" ca="1" si="1"/>
        <v>1</v>
      </c>
      <c r="Y878" s="10" t="str">
        <f t="shared" si="2"/>
        <v>Unique</v>
      </c>
      <c r="Z878" s="10"/>
      <c r="AA878" s="10" t="str">
        <f t="shared" si="3"/>
        <v>Clean</v>
      </c>
      <c r="AB878" s="15" t="str">
        <f t="shared" si="4"/>
        <v>Valid</v>
      </c>
      <c r="AC878" s="15">
        <v>2</v>
      </c>
      <c r="AD878" s="16" t="str">
        <f t="shared" si="5"/>
        <v>Valid</v>
      </c>
      <c r="AE878" s="16" t="str">
        <f t="shared" si="6"/>
        <v>Valid</v>
      </c>
      <c r="AF878" s="16" t="str">
        <f t="shared" ref="AF878:AG878" si="1767">IF(ISNUMBER(B878),"Valid","Invalid")</f>
        <v>Valid</v>
      </c>
      <c r="AG878" s="16" t="str">
        <f t="shared" si="1767"/>
        <v>Valid</v>
      </c>
      <c r="AH878" s="16" t="str">
        <f t="shared" ref="AH878:AI878" si="1768">IF(OR(B878="",ISBLANK(B878)),"Missing","Valid")</f>
        <v>Valid</v>
      </c>
      <c r="AI878" s="16" t="str">
        <f t="shared" si="1768"/>
        <v>Valid</v>
      </c>
      <c r="AJ878" s="16" t="b">
        <v>0</v>
      </c>
      <c r="AK878" s="16" t="b">
        <v>0</v>
      </c>
      <c r="AL878" s="16" t="b">
        <v>0</v>
      </c>
      <c r="AM878" s="16" t="b">
        <v>0</v>
      </c>
      <c r="AN878" s="16" t="b">
        <v>0</v>
      </c>
      <c r="AO878" s="16" t="b">
        <v>0</v>
      </c>
      <c r="AP878" s="16" t="b">
        <v>0</v>
      </c>
      <c r="AQ878" s="17">
        <f t="shared" si="9"/>
        <v>0</v>
      </c>
      <c r="AR878" s="12">
        <f t="shared" si="10"/>
        <v>22741.32</v>
      </c>
      <c r="AS878" s="18">
        <f t="shared" si="11"/>
        <v>0</v>
      </c>
      <c r="AT878" s="12">
        <f t="shared" si="12"/>
        <v>6352.75</v>
      </c>
      <c r="AU878" s="18">
        <f t="shared" si="13"/>
        <v>0</v>
      </c>
      <c r="AV878" s="19">
        <f t="shared" si="14"/>
        <v>0.27934834037777928</v>
      </c>
      <c r="AW878" s="20" t="str">
        <f t="shared" si="15"/>
        <v>November</v>
      </c>
      <c r="AX878" s="21">
        <f t="shared" si="16"/>
        <v>2024</v>
      </c>
    </row>
    <row r="879" spans="1:50" ht="15.75" customHeight="1">
      <c r="A879" s="10" t="s">
        <v>2725</v>
      </c>
      <c r="B879" s="11">
        <v>45895</v>
      </c>
      <c r="C879" s="11">
        <v>45903</v>
      </c>
      <c r="D879" s="10" t="s">
        <v>2726</v>
      </c>
      <c r="E879" s="10" t="s">
        <v>157</v>
      </c>
      <c r="F879" s="10" t="s">
        <v>53</v>
      </c>
      <c r="G879" s="10" t="s">
        <v>92</v>
      </c>
      <c r="H879" s="10" t="s">
        <v>55</v>
      </c>
      <c r="I879" s="10" t="s">
        <v>138</v>
      </c>
      <c r="J879" s="10" t="s">
        <v>57</v>
      </c>
      <c r="K879" s="10" t="s">
        <v>153</v>
      </c>
      <c r="L879" s="10" t="s">
        <v>2727</v>
      </c>
      <c r="M879" s="10" t="s">
        <v>60</v>
      </c>
      <c r="N879" s="12">
        <v>6</v>
      </c>
      <c r="O879" s="12">
        <v>674.36</v>
      </c>
      <c r="P879" s="12">
        <v>0.1</v>
      </c>
      <c r="Q879" s="12">
        <v>3641.54</v>
      </c>
      <c r="R879" s="12">
        <v>2690.37</v>
      </c>
      <c r="S879" s="12">
        <v>951.17</v>
      </c>
      <c r="T879" s="10" t="s">
        <v>61</v>
      </c>
      <c r="U879" s="13" t="s">
        <v>62</v>
      </c>
      <c r="V879" s="14" t="e">
        <f t="shared" ca="1" si="0"/>
        <v>#NAME?</v>
      </c>
      <c r="W879" s="10" t="str">
        <f ca="1">IFERROR(__xludf.DUMMYFUNCTION("IF(COUNTIF($A:$A,A873)=1,
""Unique"",
IF(COUNTUNIQUE(FILTER($V$2:$V$934,$A$2:$A$934=A873))&gt;1,
""Conflicting Duplicate"",
""Exact Duplicate""))"),"Unique")</f>
        <v>Unique</v>
      </c>
      <c r="X879" s="10" t="b">
        <f t="shared" ca="1" si="1"/>
        <v>1</v>
      </c>
      <c r="Y879" s="10" t="str">
        <f t="shared" si="2"/>
        <v>Unique</v>
      </c>
      <c r="Z879" s="10"/>
      <c r="AA879" s="10" t="str">
        <f t="shared" si="3"/>
        <v>Clean</v>
      </c>
      <c r="AB879" s="15" t="str">
        <f t="shared" si="4"/>
        <v>Valid</v>
      </c>
      <c r="AC879" s="15">
        <v>8</v>
      </c>
      <c r="AD879" s="16" t="str">
        <f t="shared" si="5"/>
        <v>Valid</v>
      </c>
      <c r="AE879" s="16" t="str">
        <f t="shared" si="6"/>
        <v>Valid</v>
      </c>
      <c r="AF879" s="16" t="str">
        <f t="shared" ref="AF879:AG879" si="1769">IF(ISNUMBER(B879),"Valid","Invalid")</f>
        <v>Valid</v>
      </c>
      <c r="AG879" s="16" t="str">
        <f t="shared" si="1769"/>
        <v>Valid</v>
      </c>
      <c r="AH879" s="16" t="str">
        <f t="shared" ref="AH879:AI879" si="1770">IF(OR(B879="",ISBLANK(B879)),"Missing","Valid")</f>
        <v>Valid</v>
      </c>
      <c r="AI879" s="16" t="str">
        <f t="shared" si="1770"/>
        <v>Valid</v>
      </c>
      <c r="AJ879" s="16" t="b">
        <v>0</v>
      </c>
      <c r="AK879" s="16" t="b">
        <v>0</v>
      </c>
      <c r="AL879" s="16" t="b">
        <v>0</v>
      </c>
      <c r="AM879" s="16" t="b">
        <v>0</v>
      </c>
      <c r="AN879" s="16" t="b">
        <v>0</v>
      </c>
      <c r="AO879" s="16" t="b">
        <v>0</v>
      </c>
      <c r="AP879" s="16" t="b">
        <v>0</v>
      </c>
      <c r="AQ879" s="17">
        <f t="shared" si="9"/>
        <v>0.1</v>
      </c>
      <c r="AR879" s="12">
        <f t="shared" si="10"/>
        <v>3641.5439999999999</v>
      </c>
      <c r="AS879" s="18">
        <f t="shared" si="11"/>
        <v>-3.9999999999054126E-3</v>
      </c>
      <c r="AT879" s="12">
        <f t="shared" si="12"/>
        <v>951.17399999999998</v>
      </c>
      <c r="AU879" s="18">
        <f t="shared" si="13"/>
        <v>-4.0000000000190994E-3</v>
      </c>
      <c r="AV879" s="19">
        <f t="shared" si="14"/>
        <v>0.26120074342092253</v>
      </c>
      <c r="AW879" s="20" t="str">
        <f t="shared" si="15"/>
        <v>August</v>
      </c>
      <c r="AX879" s="21">
        <f t="shared" si="16"/>
        <v>2025</v>
      </c>
    </row>
    <row r="880" spans="1:50" ht="15.75" customHeight="1">
      <c r="A880" s="10" t="s">
        <v>2728</v>
      </c>
      <c r="B880" s="11">
        <v>45313</v>
      </c>
      <c r="C880" s="11">
        <v>45313</v>
      </c>
      <c r="D880" s="10" t="s">
        <v>2729</v>
      </c>
      <c r="E880" s="10" t="s">
        <v>52</v>
      </c>
      <c r="F880" s="10" t="s">
        <v>119</v>
      </c>
      <c r="G880" s="10" t="s">
        <v>67</v>
      </c>
      <c r="H880" s="10" t="s">
        <v>128</v>
      </c>
      <c r="I880" s="10" t="s">
        <v>129</v>
      </c>
      <c r="J880" s="10" t="s">
        <v>57</v>
      </c>
      <c r="K880" s="10" t="s">
        <v>58</v>
      </c>
      <c r="L880" s="10" t="s">
        <v>2730</v>
      </c>
      <c r="M880" s="10" t="s">
        <v>79</v>
      </c>
      <c r="N880" s="12">
        <v>8</v>
      </c>
      <c r="O880" s="12">
        <v>1557.21</v>
      </c>
      <c r="P880" s="12">
        <v>0.05</v>
      </c>
      <c r="Q880" s="12">
        <v>11834.8</v>
      </c>
      <c r="R880" s="12">
        <v>9322.36</v>
      </c>
      <c r="S880" s="12">
        <v>2512.44</v>
      </c>
      <c r="T880" s="10" t="s">
        <v>61</v>
      </c>
      <c r="U880" s="13" t="s">
        <v>62</v>
      </c>
      <c r="V880" s="14" t="e">
        <f t="shared" ca="1" si="0"/>
        <v>#NAME?</v>
      </c>
      <c r="W880" s="10" t="str">
        <f ca="1">IFERROR(__xludf.DUMMYFUNCTION("IF(COUNTIF($A:$A,A874)=1,
""Unique"",
IF(COUNTUNIQUE(FILTER($V$2:$V$934,$A$2:$A$934=A874))&gt;1,
""Conflicting Duplicate"",
""Exact Duplicate""))"),"Unique")</f>
        <v>Unique</v>
      </c>
      <c r="X880" s="10" t="b">
        <f t="shared" ca="1" si="1"/>
        <v>1</v>
      </c>
      <c r="Y880" s="10" t="str">
        <f t="shared" si="2"/>
        <v>Unique</v>
      </c>
      <c r="Z880" s="10"/>
      <c r="AA880" s="10" t="str">
        <f t="shared" si="3"/>
        <v>Clean</v>
      </c>
      <c r="AB880" s="15" t="str">
        <f t="shared" si="4"/>
        <v>Valid</v>
      </c>
      <c r="AC880" s="15">
        <v>0</v>
      </c>
      <c r="AD880" s="16" t="str">
        <f t="shared" si="5"/>
        <v>Valid</v>
      </c>
      <c r="AE880" s="16" t="str">
        <f t="shared" si="6"/>
        <v>Valid</v>
      </c>
      <c r="AF880" s="16" t="str">
        <f t="shared" ref="AF880:AG880" si="1771">IF(ISNUMBER(B880),"Valid","Invalid")</f>
        <v>Valid</v>
      </c>
      <c r="AG880" s="16" t="str">
        <f t="shared" si="1771"/>
        <v>Valid</v>
      </c>
      <c r="AH880" s="16" t="str">
        <f t="shared" ref="AH880:AI880" si="1772">IF(OR(B880="",ISBLANK(B880)),"Missing","Valid")</f>
        <v>Valid</v>
      </c>
      <c r="AI880" s="16" t="str">
        <f t="shared" si="1772"/>
        <v>Valid</v>
      </c>
      <c r="AJ880" s="16" t="b">
        <v>0</v>
      </c>
      <c r="AK880" s="16" t="b">
        <v>0</v>
      </c>
      <c r="AL880" s="16" t="b">
        <v>0</v>
      </c>
      <c r="AM880" s="16" t="b">
        <v>0</v>
      </c>
      <c r="AN880" s="16" t="b">
        <v>0</v>
      </c>
      <c r="AO880" s="16" t="b">
        <v>0</v>
      </c>
      <c r="AP880" s="16" t="b">
        <v>0</v>
      </c>
      <c r="AQ880" s="17">
        <f t="shared" si="9"/>
        <v>0.05</v>
      </c>
      <c r="AR880" s="12">
        <f t="shared" si="10"/>
        <v>11834.796</v>
      </c>
      <c r="AS880" s="18">
        <f t="shared" si="11"/>
        <v>3.9999999989959178E-3</v>
      </c>
      <c r="AT880" s="12">
        <f t="shared" si="12"/>
        <v>2512.4359999999997</v>
      </c>
      <c r="AU880" s="18">
        <f t="shared" si="13"/>
        <v>4.0000000003601599E-3</v>
      </c>
      <c r="AV880" s="19">
        <f t="shared" si="14"/>
        <v>0.21229229468763125</v>
      </c>
      <c r="AW880" s="20" t="str">
        <f t="shared" si="15"/>
        <v>January</v>
      </c>
      <c r="AX880" s="21">
        <f t="shared" si="16"/>
        <v>2024</v>
      </c>
    </row>
    <row r="881" spans="1:50" ht="15.75" customHeight="1">
      <c r="A881" s="10" t="s">
        <v>2731</v>
      </c>
      <c r="B881" s="11">
        <v>45896</v>
      </c>
      <c r="C881" s="11">
        <v>45897</v>
      </c>
      <c r="D881" s="10" t="s">
        <v>2732</v>
      </c>
      <c r="E881" s="10" t="s">
        <v>91</v>
      </c>
      <c r="F881" s="10" t="s">
        <v>124</v>
      </c>
      <c r="G881" s="10" t="s">
        <v>54</v>
      </c>
      <c r="H881" s="10" t="s">
        <v>165</v>
      </c>
      <c r="I881" s="10" t="s">
        <v>166</v>
      </c>
      <c r="J881" s="10" t="s">
        <v>57</v>
      </c>
      <c r="K881" s="10" t="s">
        <v>77</v>
      </c>
      <c r="L881" s="10" t="s">
        <v>2733</v>
      </c>
      <c r="M881" s="10" t="s">
        <v>88</v>
      </c>
      <c r="N881" s="12">
        <v>6</v>
      </c>
      <c r="O881" s="12">
        <v>1182.03</v>
      </c>
      <c r="P881" s="12">
        <v>0.15</v>
      </c>
      <c r="Q881" s="12">
        <v>6028.35</v>
      </c>
      <c r="R881" s="12">
        <v>4433.63</v>
      </c>
      <c r="S881" s="12">
        <v>1594.72</v>
      </c>
      <c r="T881" s="10" t="s">
        <v>61</v>
      </c>
      <c r="U881" s="13" t="s">
        <v>62</v>
      </c>
      <c r="V881" s="14" t="e">
        <f t="shared" ca="1" si="0"/>
        <v>#NAME?</v>
      </c>
      <c r="W881" s="10" t="str">
        <f ca="1">IFERROR(__xludf.DUMMYFUNCTION("IF(COUNTIF($A:$A,A875)=1,
""Unique"",
IF(COUNTUNIQUE(FILTER($V$2:$V$934,$A$2:$A$934=A875))&gt;1,
""Conflicting Duplicate"",
""Exact Duplicate""))"),"Unique")</f>
        <v>Unique</v>
      </c>
      <c r="X881" s="10" t="b">
        <f t="shared" ca="1" si="1"/>
        <v>1</v>
      </c>
      <c r="Y881" s="10" t="str">
        <f t="shared" si="2"/>
        <v>Unique</v>
      </c>
      <c r="Z881" s="10"/>
      <c r="AA881" s="10" t="str">
        <f t="shared" si="3"/>
        <v>Clean</v>
      </c>
      <c r="AB881" s="15" t="str">
        <f t="shared" si="4"/>
        <v>Valid</v>
      </c>
      <c r="AC881" s="15">
        <v>1</v>
      </c>
      <c r="AD881" s="16" t="str">
        <f t="shared" si="5"/>
        <v>Valid</v>
      </c>
      <c r="AE881" s="16" t="str">
        <f t="shared" si="6"/>
        <v>Valid</v>
      </c>
      <c r="AF881" s="16" t="str">
        <f t="shared" ref="AF881:AG881" si="1773">IF(ISNUMBER(B881),"Valid","Invalid")</f>
        <v>Valid</v>
      </c>
      <c r="AG881" s="16" t="str">
        <f t="shared" si="1773"/>
        <v>Valid</v>
      </c>
      <c r="AH881" s="16" t="str">
        <f t="shared" ref="AH881:AI881" si="1774">IF(OR(B881="",ISBLANK(B881)),"Missing","Valid")</f>
        <v>Valid</v>
      </c>
      <c r="AI881" s="16" t="str">
        <f t="shared" si="1774"/>
        <v>Valid</v>
      </c>
      <c r="AJ881" s="16" t="b">
        <v>0</v>
      </c>
      <c r="AK881" s="16" t="b">
        <v>0</v>
      </c>
      <c r="AL881" s="16" t="b">
        <v>0</v>
      </c>
      <c r="AM881" s="16" t="b">
        <v>0</v>
      </c>
      <c r="AN881" s="16" t="b">
        <v>0</v>
      </c>
      <c r="AO881" s="16" t="b">
        <v>0</v>
      </c>
      <c r="AP881" s="16" t="b">
        <v>0</v>
      </c>
      <c r="AQ881" s="17">
        <f t="shared" si="9"/>
        <v>0.15</v>
      </c>
      <c r="AR881" s="12">
        <f t="shared" si="10"/>
        <v>6028.3530000000001</v>
      </c>
      <c r="AS881" s="18">
        <f t="shared" si="11"/>
        <v>-2.9999999997016857E-3</v>
      </c>
      <c r="AT881" s="12">
        <f t="shared" si="12"/>
        <v>1594.723</v>
      </c>
      <c r="AU881" s="18">
        <f t="shared" si="13"/>
        <v>-2.9999999999290594E-3</v>
      </c>
      <c r="AV881" s="19">
        <f t="shared" si="14"/>
        <v>0.26453709661660491</v>
      </c>
      <c r="AW881" s="20" t="str">
        <f t="shared" si="15"/>
        <v>August</v>
      </c>
      <c r="AX881" s="21">
        <f t="shared" si="16"/>
        <v>2025</v>
      </c>
    </row>
    <row r="882" spans="1:50" ht="15.75" customHeight="1">
      <c r="A882" s="10" t="s">
        <v>2734</v>
      </c>
      <c r="B882" s="11">
        <v>45359</v>
      </c>
      <c r="C882" s="11">
        <v>45366</v>
      </c>
      <c r="D882" s="10" t="s">
        <v>2735</v>
      </c>
      <c r="E882" s="10" t="s">
        <v>157</v>
      </c>
      <c r="F882" s="10" t="s">
        <v>66</v>
      </c>
      <c r="G882" s="10" t="s">
        <v>234</v>
      </c>
      <c r="H882" s="10" t="s">
        <v>151</v>
      </c>
      <c r="I882" s="10" t="s">
        <v>152</v>
      </c>
      <c r="J882" s="10" t="s">
        <v>70</v>
      </c>
      <c r="K882" s="10" t="s">
        <v>95</v>
      </c>
      <c r="L882" s="10" t="s">
        <v>2736</v>
      </c>
      <c r="M882" s="10" t="s">
        <v>79</v>
      </c>
      <c r="N882" s="12">
        <v>5</v>
      </c>
      <c r="O882" s="12">
        <v>3234.77</v>
      </c>
      <c r="P882" s="12">
        <v>0</v>
      </c>
      <c r="Q882" s="12">
        <v>16173.85</v>
      </c>
      <c r="R882" s="12">
        <v>13636.34</v>
      </c>
      <c r="S882" s="12">
        <v>2537.5100000000002</v>
      </c>
      <c r="T882" s="10" t="s">
        <v>61</v>
      </c>
      <c r="U882" s="13" t="s">
        <v>62</v>
      </c>
      <c r="V882" s="14" t="e">
        <f t="shared" ca="1" si="0"/>
        <v>#NAME?</v>
      </c>
      <c r="W882" s="10" t="str">
        <f ca="1">IFERROR(__xludf.DUMMYFUNCTION("IF(COUNTIF($A:$A,A876)=1,
""Unique"",
IF(COUNTUNIQUE(FILTER($V$2:$V$934,$A$2:$A$934=A876))&gt;1,
""Conflicting Duplicate"",
""Exact Duplicate""))"),"Unique")</f>
        <v>Unique</v>
      </c>
      <c r="X882" s="10" t="b">
        <f t="shared" ca="1" si="1"/>
        <v>1</v>
      </c>
      <c r="Y882" s="10" t="str">
        <f t="shared" si="2"/>
        <v>Unique</v>
      </c>
      <c r="Z882" s="10"/>
      <c r="AA882" s="10" t="str">
        <f t="shared" si="3"/>
        <v>Warning</v>
      </c>
      <c r="AB882" s="15" t="str">
        <f t="shared" si="4"/>
        <v>Valid</v>
      </c>
      <c r="AC882" s="15">
        <v>7</v>
      </c>
      <c r="AD882" s="16" t="str">
        <f t="shared" si="5"/>
        <v>Valid</v>
      </c>
      <c r="AE882" s="16" t="str">
        <f t="shared" si="6"/>
        <v>Valid</v>
      </c>
      <c r="AF882" s="16" t="str">
        <f t="shared" ref="AF882:AG882" si="1775">IF(ISNUMBER(B882),"Valid","Invalid")</f>
        <v>Valid</v>
      </c>
      <c r="AG882" s="16" t="str">
        <f t="shared" si="1775"/>
        <v>Valid</v>
      </c>
      <c r="AH882" s="16" t="str">
        <f t="shared" ref="AH882:AI882" si="1776">IF(OR(B882="",ISBLANK(B882)),"Missing","Valid")</f>
        <v>Valid</v>
      </c>
      <c r="AI882" s="16" t="str">
        <f t="shared" si="1776"/>
        <v>Valid</v>
      </c>
      <c r="AJ882" s="16" t="b">
        <v>1</v>
      </c>
      <c r="AK882" s="16" t="b">
        <v>0</v>
      </c>
      <c r="AL882" s="16" t="b">
        <v>0</v>
      </c>
      <c r="AM882" s="16" t="b">
        <v>0</v>
      </c>
      <c r="AN882" s="16" t="b">
        <v>0</v>
      </c>
      <c r="AO882" s="16" t="b">
        <v>0</v>
      </c>
      <c r="AP882" s="16" t="b">
        <v>1</v>
      </c>
      <c r="AQ882" s="17">
        <f t="shared" si="9"/>
        <v>0</v>
      </c>
      <c r="AR882" s="12">
        <f t="shared" si="10"/>
        <v>16173.85</v>
      </c>
      <c r="AS882" s="18">
        <f t="shared" si="11"/>
        <v>0</v>
      </c>
      <c r="AT882" s="12">
        <f t="shared" si="12"/>
        <v>2537.5100000000002</v>
      </c>
      <c r="AU882" s="18">
        <f t="shared" si="13"/>
        <v>0</v>
      </c>
      <c r="AV882" s="19">
        <f t="shared" si="14"/>
        <v>0.15688967067210344</v>
      </c>
      <c r="AW882" s="20" t="str">
        <f t="shared" si="15"/>
        <v>March</v>
      </c>
      <c r="AX882" s="21">
        <f t="shared" si="16"/>
        <v>2024</v>
      </c>
    </row>
    <row r="883" spans="1:50" ht="15.75" customHeight="1">
      <c r="A883" s="10" t="s">
        <v>2737</v>
      </c>
      <c r="B883" s="11">
        <v>45627</v>
      </c>
      <c r="C883" s="11">
        <v>45631</v>
      </c>
      <c r="D883" s="10" t="s">
        <v>2738</v>
      </c>
      <c r="E883" s="10" t="s">
        <v>91</v>
      </c>
      <c r="F883" s="10" t="s">
        <v>66</v>
      </c>
      <c r="G883" s="10" t="s">
        <v>83</v>
      </c>
      <c r="H883" s="10" t="s">
        <v>113</v>
      </c>
      <c r="I883" s="10" t="s">
        <v>114</v>
      </c>
      <c r="J883" s="10" t="s">
        <v>103</v>
      </c>
      <c r="K883" s="10" t="s">
        <v>109</v>
      </c>
      <c r="L883" s="10" t="s">
        <v>2739</v>
      </c>
      <c r="M883" s="10" t="s">
        <v>60</v>
      </c>
      <c r="N883" s="12">
        <v>9</v>
      </c>
      <c r="O883" s="12">
        <v>3726.75</v>
      </c>
      <c r="P883" s="12">
        <v>0.25</v>
      </c>
      <c r="Q883" s="12">
        <v>25155.56</v>
      </c>
      <c r="R883" s="12">
        <v>17592.689999999999</v>
      </c>
      <c r="S883" s="12">
        <v>7562.87</v>
      </c>
      <c r="T883" s="10" t="s">
        <v>61</v>
      </c>
      <c r="U883" s="13" t="s">
        <v>62</v>
      </c>
      <c r="V883" s="14" t="e">
        <f t="shared" ca="1" si="0"/>
        <v>#NAME?</v>
      </c>
      <c r="W883" s="10" t="str">
        <f ca="1">IFERROR(__xludf.DUMMYFUNCTION("IF(COUNTIF($A:$A,A877)=1,
""Unique"",
IF(COUNTUNIQUE(FILTER($V$2:$V$934,$A$2:$A$934=A877))&gt;1,
""Conflicting Duplicate"",
""Exact Duplicate""))"),"Unique")</f>
        <v>Unique</v>
      </c>
      <c r="X883" s="10" t="b">
        <f t="shared" ca="1" si="1"/>
        <v>1</v>
      </c>
      <c r="Y883" s="10" t="str">
        <f t="shared" si="2"/>
        <v>Unique</v>
      </c>
      <c r="Z883" s="10"/>
      <c r="AA883" s="10" t="str">
        <f t="shared" si="3"/>
        <v>Clean</v>
      </c>
      <c r="AB883" s="15" t="str">
        <f t="shared" si="4"/>
        <v>Valid</v>
      </c>
      <c r="AC883" s="15">
        <v>4</v>
      </c>
      <c r="AD883" s="16" t="str">
        <f t="shared" si="5"/>
        <v>Valid</v>
      </c>
      <c r="AE883" s="16" t="str">
        <f t="shared" si="6"/>
        <v>Valid</v>
      </c>
      <c r="AF883" s="16" t="str">
        <f t="shared" ref="AF883:AG883" si="1777">IF(ISNUMBER(B883),"Valid","Invalid")</f>
        <v>Valid</v>
      </c>
      <c r="AG883" s="16" t="str">
        <f t="shared" si="1777"/>
        <v>Valid</v>
      </c>
      <c r="AH883" s="16" t="str">
        <f t="shared" ref="AH883:AI883" si="1778">IF(OR(B883="",ISBLANK(B883)),"Missing","Valid")</f>
        <v>Valid</v>
      </c>
      <c r="AI883" s="16" t="str">
        <f t="shared" si="1778"/>
        <v>Valid</v>
      </c>
      <c r="AJ883" s="16" t="b">
        <v>0</v>
      </c>
      <c r="AK883" s="16" t="b">
        <v>0</v>
      </c>
      <c r="AL883" s="16" t="b">
        <v>0</v>
      </c>
      <c r="AM883" s="16" t="b">
        <v>0</v>
      </c>
      <c r="AN883" s="16" t="b">
        <v>0</v>
      </c>
      <c r="AO883" s="16" t="b">
        <v>0</v>
      </c>
      <c r="AP883" s="16" t="b">
        <v>0</v>
      </c>
      <c r="AQ883" s="17">
        <f t="shared" si="9"/>
        <v>0.25</v>
      </c>
      <c r="AR883" s="12">
        <f t="shared" si="10"/>
        <v>25155.5625</v>
      </c>
      <c r="AS883" s="18">
        <f t="shared" si="11"/>
        <v>-2.4999999986903276E-3</v>
      </c>
      <c r="AT883" s="12">
        <f t="shared" si="12"/>
        <v>7562.8725000000013</v>
      </c>
      <c r="AU883" s="18">
        <f t="shared" si="13"/>
        <v>-2.5000000014188117E-3</v>
      </c>
      <c r="AV883" s="19">
        <f t="shared" si="14"/>
        <v>0.30064414182747856</v>
      </c>
      <c r="AW883" s="20" t="str">
        <f t="shared" si="15"/>
        <v>December</v>
      </c>
      <c r="AX883" s="21">
        <f t="shared" si="16"/>
        <v>2024</v>
      </c>
    </row>
    <row r="884" spans="1:50" ht="15.75" customHeight="1">
      <c r="A884" s="10" t="s">
        <v>2740</v>
      </c>
      <c r="B884" s="11">
        <v>45690</v>
      </c>
      <c r="C884" s="11">
        <v>45698</v>
      </c>
      <c r="D884" s="10" t="s">
        <v>2741</v>
      </c>
      <c r="E884" s="10" t="s">
        <v>161</v>
      </c>
      <c r="F884" s="10" t="s">
        <v>119</v>
      </c>
      <c r="G884" s="10" t="s">
        <v>67</v>
      </c>
      <c r="H884" s="10" t="s">
        <v>174</v>
      </c>
      <c r="I884" s="10" t="s">
        <v>175</v>
      </c>
      <c r="J884" s="10" t="s">
        <v>103</v>
      </c>
      <c r="K884" s="10" t="s">
        <v>104</v>
      </c>
      <c r="L884" s="10" t="s">
        <v>2742</v>
      </c>
      <c r="M884" s="10" t="s">
        <v>88</v>
      </c>
      <c r="N884" s="12">
        <v>4</v>
      </c>
      <c r="O884" s="12">
        <v>1912.45</v>
      </c>
      <c r="P884" s="12">
        <v>0</v>
      </c>
      <c r="Q884" s="12">
        <v>7649.8</v>
      </c>
      <c r="R884" s="12">
        <v>4894.53</v>
      </c>
      <c r="S884" s="12">
        <v>2755.27</v>
      </c>
      <c r="T884" s="10" t="s">
        <v>140</v>
      </c>
      <c r="U884" s="13" t="s">
        <v>132</v>
      </c>
      <c r="V884" s="14" t="e">
        <f t="shared" ca="1" si="0"/>
        <v>#NAME?</v>
      </c>
      <c r="W884" s="10" t="str">
        <f ca="1">IFERROR(__xludf.DUMMYFUNCTION("IF(COUNTIF($A:$A,A878)=1,
""Unique"",
IF(COUNTUNIQUE(FILTER($V$2:$V$934,$A$2:$A$934=A878))&gt;1,
""Conflicting Duplicate"",
""Exact Duplicate""))"),"Unique")</f>
        <v>Unique</v>
      </c>
      <c r="X884" s="10" t="b">
        <f t="shared" ca="1" si="1"/>
        <v>1</v>
      </c>
      <c r="Y884" s="10" t="str">
        <f t="shared" si="2"/>
        <v>Unique</v>
      </c>
      <c r="Z884" s="10"/>
      <c r="AA884" s="10" t="str">
        <f t="shared" si="3"/>
        <v>Clean</v>
      </c>
      <c r="AB884" s="15" t="str">
        <f t="shared" si="4"/>
        <v>Valid</v>
      </c>
      <c r="AC884" s="15">
        <v>8</v>
      </c>
      <c r="AD884" s="16" t="str">
        <f t="shared" si="5"/>
        <v>Valid</v>
      </c>
      <c r="AE884" s="16" t="str">
        <f t="shared" si="6"/>
        <v>Valid</v>
      </c>
      <c r="AF884" s="16" t="str">
        <f t="shared" ref="AF884:AG884" si="1779">IF(ISNUMBER(B884),"Valid","Invalid")</f>
        <v>Valid</v>
      </c>
      <c r="AG884" s="16" t="str">
        <f t="shared" si="1779"/>
        <v>Valid</v>
      </c>
      <c r="AH884" s="16" t="str">
        <f t="shared" ref="AH884:AI884" si="1780">IF(OR(B884="",ISBLANK(B884)),"Missing","Valid")</f>
        <v>Valid</v>
      </c>
      <c r="AI884" s="16" t="str">
        <f t="shared" si="1780"/>
        <v>Valid</v>
      </c>
      <c r="AJ884" s="16" t="b">
        <v>0</v>
      </c>
      <c r="AK884" s="16" t="b">
        <v>0</v>
      </c>
      <c r="AL884" s="16" t="b">
        <v>0</v>
      </c>
      <c r="AM884" s="16" t="b">
        <v>0</v>
      </c>
      <c r="AN884" s="16" t="b">
        <v>0</v>
      </c>
      <c r="AO884" s="16" t="b">
        <v>0</v>
      </c>
      <c r="AP884" s="16" t="b">
        <v>0</v>
      </c>
      <c r="AQ884" s="17">
        <f t="shared" si="9"/>
        <v>0</v>
      </c>
      <c r="AR884" s="12">
        <f t="shared" si="10"/>
        <v>7649.8</v>
      </c>
      <c r="AS884" s="18">
        <f t="shared" si="11"/>
        <v>0</v>
      </c>
      <c r="AT884" s="12">
        <f t="shared" si="12"/>
        <v>2755.2700000000004</v>
      </c>
      <c r="AU884" s="18">
        <f t="shared" si="13"/>
        <v>0</v>
      </c>
      <c r="AV884" s="19">
        <f t="shared" si="14"/>
        <v>0.36017542942299152</v>
      </c>
      <c r="AW884" s="20" t="str">
        <f t="shared" si="15"/>
        <v>February</v>
      </c>
      <c r="AX884" s="21">
        <f t="shared" si="16"/>
        <v>2025</v>
      </c>
    </row>
    <row r="885" spans="1:50" ht="15.75" customHeight="1">
      <c r="A885" s="10" t="s">
        <v>2743</v>
      </c>
      <c r="B885" s="11">
        <v>45775</v>
      </c>
      <c r="C885" s="11">
        <v>45778</v>
      </c>
      <c r="D885" s="10" t="s">
        <v>2744</v>
      </c>
      <c r="E885" s="10" t="s">
        <v>157</v>
      </c>
      <c r="F885" s="10" t="s">
        <v>66</v>
      </c>
      <c r="G885" s="10" t="s">
        <v>92</v>
      </c>
      <c r="H885" s="10" t="s">
        <v>219</v>
      </c>
      <c r="I885" s="10" t="s">
        <v>220</v>
      </c>
      <c r="J885" s="10" t="s">
        <v>57</v>
      </c>
      <c r="K885" s="10" t="s">
        <v>153</v>
      </c>
      <c r="L885" s="10" t="s">
        <v>2745</v>
      </c>
      <c r="M885" s="10" t="s">
        <v>73</v>
      </c>
      <c r="N885" s="12">
        <v>1</v>
      </c>
      <c r="O885" s="12">
        <v>1620.87</v>
      </c>
      <c r="P885" s="12">
        <v>0</v>
      </c>
      <c r="Q885" s="12">
        <v>1620.87</v>
      </c>
      <c r="R885" s="12">
        <v>1103.6099999999999</v>
      </c>
      <c r="S885" s="12">
        <v>517.26</v>
      </c>
      <c r="T885" s="10" t="s">
        <v>61</v>
      </c>
      <c r="U885" s="13" t="s">
        <v>62</v>
      </c>
      <c r="V885" s="14" t="e">
        <f t="shared" ca="1" si="0"/>
        <v>#NAME?</v>
      </c>
      <c r="W885" s="10" t="str">
        <f ca="1">IFERROR(__xludf.DUMMYFUNCTION("IF(COUNTIF($A:$A,A879)=1,
""Unique"",
IF(COUNTUNIQUE(FILTER($V$2:$V$934,$A$2:$A$934=A879))&gt;1,
""Conflicting Duplicate"",
""Exact Duplicate""))"),"Unique")</f>
        <v>Unique</v>
      </c>
      <c r="X885" s="10" t="b">
        <f t="shared" ca="1" si="1"/>
        <v>1</v>
      </c>
      <c r="Y885" s="10" t="str">
        <f t="shared" si="2"/>
        <v>Unique</v>
      </c>
      <c r="Z885" s="10"/>
      <c r="AA885" s="10" t="str">
        <f t="shared" si="3"/>
        <v>Clean</v>
      </c>
      <c r="AB885" s="15" t="str">
        <f t="shared" si="4"/>
        <v>Valid</v>
      </c>
      <c r="AC885" s="15">
        <v>3</v>
      </c>
      <c r="AD885" s="16" t="str">
        <f t="shared" si="5"/>
        <v>Valid</v>
      </c>
      <c r="AE885" s="16" t="str">
        <f t="shared" si="6"/>
        <v>Valid</v>
      </c>
      <c r="AF885" s="16" t="str">
        <f t="shared" ref="AF885:AG885" si="1781">IF(ISNUMBER(B885),"Valid","Invalid")</f>
        <v>Valid</v>
      </c>
      <c r="AG885" s="16" t="str">
        <f t="shared" si="1781"/>
        <v>Valid</v>
      </c>
      <c r="AH885" s="16" t="str">
        <f t="shared" ref="AH885:AI885" si="1782">IF(OR(B885="",ISBLANK(B885)),"Missing","Valid")</f>
        <v>Valid</v>
      </c>
      <c r="AI885" s="16" t="str">
        <f t="shared" si="1782"/>
        <v>Valid</v>
      </c>
      <c r="AJ885" s="16" t="b">
        <v>0</v>
      </c>
      <c r="AK885" s="16" t="b">
        <v>0</v>
      </c>
      <c r="AL885" s="16" t="b">
        <v>0</v>
      </c>
      <c r="AM885" s="16" t="b">
        <v>0</v>
      </c>
      <c r="AN885" s="16" t="b">
        <v>0</v>
      </c>
      <c r="AO885" s="16" t="b">
        <v>0</v>
      </c>
      <c r="AP885" s="16" t="b">
        <v>0</v>
      </c>
      <c r="AQ885" s="17">
        <f t="shared" si="9"/>
        <v>0</v>
      </c>
      <c r="AR885" s="12">
        <f t="shared" si="10"/>
        <v>1620.87</v>
      </c>
      <c r="AS885" s="18">
        <f t="shared" si="11"/>
        <v>0</v>
      </c>
      <c r="AT885" s="12">
        <f t="shared" si="12"/>
        <v>517.26</v>
      </c>
      <c r="AU885" s="18">
        <f t="shared" si="13"/>
        <v>0</v>
      </c>
      <c r="AV885" s="19">
        <f t="shared" si="14"/>
        <v>0.31912491439782342</v>
      </c>
      <c r="AW885" s="20" t="str">
        <f t="shared" si="15"/>
        <v>April</v>
      </c>
      <c r="AX885" s="21">
        <f t="shared" si="16"/>
        <v>2025</v>
      </c>
    </row>
    <row r="886" spans="1:50" ht="15.75" customHeight="1">
      <c r="A886" s="10" t="s">
        <v>2746</v>
      </c>
      <c r="B886" s="11">
        <v>45675</v>
      </c>
      <c r="C886" s="11">
        <v>45682</v>
      </c>
      <c r="D886" s="10" t="s">
        <v>2747</v>
      </c>
      <c r="E886" s="10" t="s">
        <v>108</v>
      </c>
      <c r="F886" s="10" t="s">
        <v>124</v>
      </c>
      <c r="G886" s="10" t="s">
        <v>83</v>
      </c>
      <c r="H886" s="10" t="s">
        <v>204</v>
      </c>
      <c r="I886" s="10" t="s">
        <v>205</v>
      </c>
      <c r="J886" s="10" t="s">
        <v>57</v>
      </c>
      <c r="K886" s="10" t="s">
        <v>153</v>
      </c>
      <c r="L886" s="10" t="s">
        <v>2748</v>
      </c>
      <c r="M886" s="10" t="s">
        <v>73</v>
      </c>
      <c r="N886" s="12">
        <v>2</v>
      </c>
      <c r="O886" s="12">
        <v>2098.54</v>
      </c>
      <c r="P886" s="12">
        <v>0.15</v>
      </c>
      <c r="Q886" s="12">
        <v>3567.52</v>
      </c>
      <c r="R886" s="12">
        <v>2411.8000000000002</v>
      </c>
      <c r="S886" s="12">
        <v>1155.72</v>
      </c>
      <c r="T886" s="10" t="s">
        <v>61</v>
      </c>
      <c r="U886" s="13" t="s">
        <v>62</v>
      </c>
      <c r="V886" s="14" t="e">
        <f t="shared" ca="1" si="0"/>
        <v>#NAME?</v>
      </c>
      <c r="W886" s="10" t="str">
        <f ca="1">IFERROR(__xludf.DUMMYFUNCTION("IF(COUNTIF($A:$A,A880)=1,
""Unique"",
IF(COUNTUNIQUE(FILTER($V$2:$V$934,$A$2:$A$934=A880))&gt;1,
""Conflicting Duplicate"",
""Exact Duplicate""))"),"Unique")</f>
        <v>Unique</v>
      </c>
      <c r="X886" s="10" t="b">
        <f t="shared" ca="1" si="1"/>
        <v>1</v>
      </c>
      <c r="Y886" s="10" t="str">
        <f t="shared" si="2"/>
        <v>Unique</v>
      </c>
      <c r="Z886" s="10"/>
      <c r="AA886" s="10" t="str">
        <f t="shared" si="3"/>
        <v>Clean</v>
      </c>
      <c r="AB886" s="15" t="str">
        <f t="shared" si="4"/>
        <v>Valid</v>
      </c>
      <c r="AC886" s="15">
        <v>7</v>
      </c>
      <c r="AD886" s="16" t="str">
        <f t="shared" si="5"/>
        <v>Valid</v>
      </c>
      <c r="AE886" s="16" t="str">
        <f t="shared" si="6"/>
        <v>Valid</v>
      </c>
      <c r="AF886" s="16" t="str">
        <f t="shared" ref="AF886:AG886" si="1783">IF(ISNUMBER(B886),"Valid","Invalid")</f>
        <v>Valid</v>
      </c>
      <c r="AG886" s="16" t="str">
        <f t="shared" si="1783"/>
        <v>Valid</v>
      </c>
      <c r="AH886" s="16" t="str">
        <f t="shared" ref="AH886:AI886" si="1784">IF(OR(B886="",ISBLANK(B886)),"Missing","Valid")</f>
        <v>Valid</v>
      </c>
      <c r="AI886" s="16" t="str">
        <f t="shared" si="1784"/>
        <v>Valid</v>
      </c>
      <c r="AJ886" s="16" t="b">
        <v>0</v>
      </c>
      <c r="AK886" s="16" t="b">
        <v>0</v>
      </c>
      <c r="AL886" s="16" t="b">
        <v>0</v>
      </c>
      <c r="AM886" s="16" t="b">
        <v>0</v>
      </c>
      <c r="AN886" s="16" t="b">
        <v>0</v>
      </c>
      <c r="AO886" s="16" t="b">
        <v>0</v>
      </c>
      <c r="AP886" s="16" t="b">
        <v>0</v>
      </c>
      <c r="AQ886" s="17">
        <f t="shared" si="9"/>
        <v>0.15</v>
      </c>
      <c r="AR886" s="12">
        <f t="shared" si="10"/>
        <v>3567.518</v>
      </c>
      <c r="AS886" s="18">
        <f t="shared" si="11"/>
        <v>1.9999999999527063E-3</v>
      </c>
      <c r="AT886" s="12">
        <f t="shared" si="12"/>
        <v>1155.7179999999998</v>
      </c>
      <c r="AU886" s="18">
        <f t="shared" si="13"/>
        <v>2.00000000018008E-3</v>
      </c>
      <c r="AV886" s="19">
        <f t="shared" si="14"/>
        <v>0.32395575859743381</v>
      </c>
      <c r="AW886" s="20" t="str">
        <f t="shared" si="15"/>
        <v>January</v>
      </c>
      <c r="AX886" s="21">
        <f t="shared" si="16"/>
        <v>2025</v>
      </c>
    </row>
    <row r="887" spans="1:50" ht="15.75" customHeight="1">
      <c r="A887" s="10" t="s">
        <v>2749</v>
      </c>
      <c r="B887" s="11">
        <v>45296</v>
      </c>
      <c r="C887" s="11">
        <v>45296</v>
      </c>
      <c r="D887" s="10" t="s">
        <v>2750</v>
      </c>
      <c r="E887" s="10" t="s">
        <v>191</v>
      </c>
      <c r="F887" s="10" t="s">
        <v>53</v>
      </c>
      <c r="G887" s="10" t="s">
        <v>54</v>
      </c>
      <c r="H887" s="10" t="s">
        <v>55</v>
      </c>
      <c r="I887" s="10" t="s">
        <v>56</v>
      </c>
      <c r="J887" s="10" t="s">
        <v>70</v>
      </c>
      <c r="K887" s="10" t="s">
        <v>71</v>
      </c>
      <c r="L887" s="10" t="s">
        <v>2751</v>
      </c>
      <c r="M887" s="10" t="s">
        <v>88</v>
      </c>
      <c r="N887" s="12">
        <v>1</v>
      </c>
      <c r="O887" s="12">
        <v>2167.08</v>
      </c>
      <c r="P887" s="12">
        <v>0.25</v>
      </c>
      <c r="Q887" s="12">
        <v>1625.31</v>
      </c>
      <c r="R887" s="12">
        <v>1157.8900000000001</v>
      </c>
      <c r="S887" s="12">
        <v>467.42</v>
      </c>
      <c r="T887" s="10" t="s">
        <v>61</v>
      </c>
      <c r="U887" s="13" t="s">
        <v>62</v>
      </c>
      <c r="V887" s="14" t="e">
        <f t="shared" ca="1" si="0"/>
        <v>#NAME?</v>
      </c>
      <c r="W887" s="10" t="str">
        <f ca="1">IFERROR(__xludf.DUMMYFUNCTION("IF(COUNTIF($A:$A,A881)=1,
""Unique"",
IF(COUNTUNIQUE(FILTER($V$2:$V$934,$A$2:$A$934=A881))&gt;1,
""Conflicting Duplicate"",
""Exact Duplicate""))"),"Unique")</f>
        <v>Unique</v>
      </c>
      <c r="X887" s="10" t="b">
        <f t="shared" ca="1" si="1"/>
        <v>1</v>
      </c>
      <c r="Y887" s="10" t="str">
        <f t="shared" si="2"/>
        <v>Unique</v>
      </c>
      <c r="Z887" s="10"/>
      <c r="AA887" s="10" t="str">
        <f t="shared" si="3"/>
        <v>Clean</v>
      </c>
      <c r="AB887" s="15" t="str">
        <f t="shared" si="4"/>
        <v>Valid</v>
      </c>
      <c r="AC887" s="15">
        <v>0</v>
      </c>
      <c r="AD887" s="16" t="str">
        <f t="shared" si="5"/>
        <v>Valid</v>
      </c>
      <c r="AE887" s="16" t="str">
        <f t="shared" si="6"/>
        <v>Valid</v>
      </c>
      <c r="AF887" s="16" t="str">
        <f t="shared" ref="AF887:AG887" si="1785">IF(ISNUMBER(B887),"Valid","Invalid")</f>
        <v>Valid</v>
      </c>
      <c r="AG887" s="16" t="str">
        <f t="shared" si="1785"/>
        <v>Valid</v>
      </c>
      <c r="AH887" s="16" t="str">
        <f t="shared" ref="AH887:AI887" si="1786">IF(OR(B887="",ISBLANK(B887)),"Missing","Valid")</f>
        <v>Valid</v>
      </c>
      <c r="AI887" s="16" t="str">
        <f t="shared" si="1786"/>
        <v>Valid</v>
      </c>
      <c r="AJ887" s="16" t="b">
        <v>0</v>
      </c>
      <c r="AK887" s="16" t="b">
        <v>0</v>
      </c>
      <c r="AL887" s="16" t="b">
        <v>0</v>
      </c>
      <c r="AM887" s="16" t="b">
        <v>0</v>
      </c>
      <c r="AN887" s="16" t="b">
        <v>0</v>
      </c>
      <c r="AO887" s="16" t="b">
        <v>0</v>
      </c>
      <c r="AP887" s="16" t="b">
        <v>0</v>
      </c>
      <c r="AQ887" s="17">
        <f t="shared" si="9"/>
        <v>0.25</v>
      </c>
      <c r="AR887" s="12">
        <f t="shared" si="10"/>
        <v>1625.31</v>
      </c>
      <c r="AS887" s="18">
        <f t="shared" si="11"/>
        <v>0</v>
      </c>
      <c r="AT887" s="12">
        <f t="shared" si="12"/>
        <v>467.41999999999985</v>
      </c>
      <c r="AU887" s="18">
        <f t="shared" si="13"/>
        <v>0</v>
      </c>
      <c r="AV887" s="19">
        <f t="shared" si="14"/>
        <v>0.28758821394072509</v>
      </c>
      <c r="AW887" s="20" t="str">
        <f t="shared" si="15"/>
        <v>January</v>
      </c>
      <c r="AX887" s="21">
        <f t="shared" si="16"/>
        <v>2024</v>
      </c>
    </row>
    <row r="888" spans="1:50" ht="15.75" customHeight="1">
      <c r="A888" s="10" t="s">
        <v>2752</v>
      </c>
      <c r="B888" s="11">
        <v>45773</v>
      </c>
      <c r="C888" s="11">
        <v>45780</v>
      </c>
      <c r="D888" s="10" t="s">
        <v>2753</v>
      </c>
      <c r="E888" s="10" t="s">
        <v>82</v>
      </c>
      <c r="F888" s="10" t="s">
        <v>124</v>
      </c>
      <c r="G888" s="10" t="s">
        <v>83</v>
      </c>
      <c r="H888" s="10" t="s">
        <v>277</v>
      </c>
      <c r="I888" s="10" t="s">
        <v>278</v>
      </c>
      <c r="J888" s="10" t="s">
        <v>103</v>
      </c>
      <c r="K888" s="10" t="s">
        <v>104</v>
      </c>
      <c r="L888" s="10" t="s">
        <v>2754</v>
      </c>
      <c r="M888" s="10" t="s">
        <v>79</v>
      </c>
      <c r="N888" s="12">
        <v>7</v>
      </c>
      <c r="O888" s="12">
        <v>3989.9</v>
      </c>
      <c r="P888" s="12">
        <v>0.15</v>
      </c>
      <c r="Q888" s="12">
        <v>23739.9</v>
      </c>
      <c r="R888" s="12">
        <v>17716.52</v>
      </c>
      <c r="S888" s="12">
        <v>6023.38</v>
      </c>
      <c r="T888" s="10" t="s">
        <v>61</v>
      </c>
      <c r="U888" s="13" t="s">
        <v>97</v>
      </c>
      <c r="V888" s="14" t="e">
        <f t="shared" ca="1" si="0"/>
        <v>#NAME?</v>
      </c>
      <c r="W888" s="10" t="str">
        <f ca="1">IFERROR(__xludf.DUMMYFUNCTION("IF(COUNTIF($A:$A,A882)=1,
""Unique"",
IF(COUNTUNIQUE(FILTER($V$2:$V$934,$A$2:$A$934=A882))&gt;1,
""Conflicting Duplicate"",
""Exact Duplicate""))"),"Unique")</f>
        <v>Unique</v>
      </c>
      <c r="X888" s="10" t="b">
        <f t="shared" ca="1" si="1"/>
        <v>1</v>
      </c>
      <c r="Y888" s="10" t="str">
        <f t="shared" si="2"/>
        <v>Unique</v>
      </c>
      <c r="Z888" s="10"/>
      <c r="AA888" s="10" t="str">
        <f t="shared" si="3"/>
        <v>Clean</v>
      </c>
      <c r="AB888" s="15" t="str">
        <f t="shared" si="4"/>
        <v>Valid</v>
      </c>
      <c r="AC888" s="15">
        <v>7</v>
      </c>
      <c r="AD888" s="16" t="str">
        <f t="shared" si="5"/>
        <v>Valid</v>
      </c>
      <c r="AE888" s="16" t="str">
        <f t="shared" si="6"/>
        <v>Valid</v>
      </c>
      <c r="AF888" s="16" t="str">
        <f t="shared" ref="AF888:AG888" si="1787">IF(ISNUMBER(B888),"Valid","Invalid")</f>
        <v>Valid</v>
      </c>
      <c r="AG888" s="16" t="str">
        <f t="shared" si="1787"/>
        <v>Valid</v>
      </c>
      <c r="AH888" s="16" t="str">
        <f t="shared" ref="AH888:AI888" si="1788">IF(OR(B888="",ISBLANK(B888)),"Missing","Valid")</f>
        <v>Valid</v>
      </c>
      <c r="AI888" s="16" t="str">
        <f t="shared" si="1788"/>
        <v>Valid</v>
      </c>
      <c r="AJ888" s="16" t="b">
        <v>0</v>
      </c>
      <c r="AK888" s="16" t="b">
        <v>0</v>
      </c>
      <c r="AL888" s="16" t="b">
        <v>0</v>
      </c>
      <c r="AM888" s="16" t="b">
        <v>0</v>
      </c>
      <c r="AN888" s="16" t="b">
        <v>0</v>
      </c>
      <c r="AO888" s="16" t="b">
        <v>0</v>
      </c>
      <c r="AP888" s="16" t="b">
        <v>0</v>
      </c>
      <c r="AQ888" s="17">
        <f t="shared" si="9"/>
        <v>0.15</v>
      </c>
      <c r="AR888" s="12">
        <f t="shared" si="10"/>
        <v>23739.904999999999</v>
      </c>
      <c r="AS888" s="18">
        <f t="shared" si="11"/>
        <v>-4.9999999973806553E-3</v>
      </c>
      <c r="AT888" s="12">
        <f t="shared" si="12"/>
        <v>6023.3849999999984</v>
      </c>
      <c r="AU888" s="18">
        <f t="shared" si="13"/>
        <v>-4.99999999829015E-3</v>
      </c>
      <c r="AV888" s="19">
        <f t="shared" si="14"/>
        <v>0.25372405660427028</v>
      </c>
      <c r="AW888" s="20" t="str">
        <f t="shared" si="15"/>
        <v>April</v>
      </c>
      <c r="AX888" s="21">
        <f t="shared" si="16"/>
        <v>2025</v>
      </c>
    </row>
    <row r="889" spans="1:50" ht="15.75" customHeight="1">
      <c r="A889" s="10" t="s">
        <v>2755</v>
      </c>
      <c r="B889" s="11">
        <v>45455</v>
      </c>
      <c r="C889" s="11">
        <v>45461</v>
      </c>
      <c r="D889" s="10" t="s">
        <v>2756</v>
      </c>
      <c r="E889" s="10" t="s">
        <v>157</v>
      </c>
      <c r="F889" s="10" t="s">
        <v>66</v>
      </c>
      <c r="G889" s="10" t="s">
        <v>83</v>
      </c>
      <c r="H889" s="10" t="s">
        <v>113</v>
      </c>
      <c r="I889" s="10" t="s">
        <v>114</v>
      </c>
      <c r="J889" s="10" t="s">
        <v>57</v>
      </c>
      <c r="K889" s="10" t="s">
        <v>77</v>
      </c>
      <c r="L889" s="10" t="s">
        <v>2757</v>
      </c>
      <c r="M889" s="10" t="s">
        <v>88</v>
      </c>
      <c r="N889" s="12">
        <v>4</v>
      </c>
      <c r="O889" s="12">
        <v>4176.13</v>
      </c>
      <c r="P889" s="12">
        <v>0</v>
      </c>
      <c r="Q889" s="12">
        <v>16704.52</v>
      </c>
      <c r="R889" s="12">
        <v>10158.280000000001</v>
      </c>
      <c r="S889" s="12">
        <v>6546.24</v>
      </c>
      <c r="T889" s="10" t="s">
        <v>61</v>
      </c>
      <c r="U889" s="13" t="s">
        <v>62</v>
      </c>
      <c r="V889" s="14" t="e">
        <f t="shared" ca="1" si="0"/>
        <v>#NAME?</v>
      </c>
      <c r="W889" s="10" t="str">
        <f ca="1">IFERROR(__xludf.DUMMYFUNCTION("IF(COUNTIF($A:$A,A883)=1,
""Unique"",
IF(COUNTUNIQUE(FILTER($V$2:$V$934,$A$2:$A$934=A883))&gt;1,
""Conflicting Duplicate"",
""Exact Duplicate""))"),"Unique")</f>
        <v>Unique</v>
      </c>
      <c r="X889" s="10" t="b">
        <f t="shared" ca="1" si="1"/>
        <v>1</v>
      </c>
      <c r="Y889" s="10" t="str">
        <f t="shared" si="2"/>
        <v>Unique</v>
      </c>
      <c r="Z889" s="10"/>
      <c r="AA889" s="10" t="str">
        <f t="shared" si="3"/>
        <v>Clean</v>
      </c>
      <c r="AB889" s="15" t="str">
        <f t="shared" si="4"/>
        <v>Valid</v>
      </c>
      <c r="AC889" s="15">
        <v>6</v>
      </c>
      <c r="AD889" s="16" t="str">
        <f t="shared" si="5"/>
        <v>Valid</v>
      </c>
      <c r="AE889" s="16" t="str">
        <f t="shared" si="6"/>
        <v>Valid</v>
      </c>
      <c r="AF889" s="16" t="str">
        <f t="shared" ref="AF889:AG889" si="1789">IF(ISNUMBER(B889),"Valid","Invalid")</f>
        <v>Valid</v>
      </c>
      <c r="AG889" s="16" t="str">
        <f t="shared" si="1789"/>
        <v>Valid</v>
      </c>
      <c r="AH889" s="16" t="str">
        <f t="shared" ref="AH889:AI889" si="1790">IF(OR(B889="",ISBLANK(B889)),"Missing","Valid")</f>
        <v>Valid</v>
      </c>
      <c r="AI889" s="16" t="str">
        <f t="shared" si="1790"/>
        <v>Valid</v>
      </c>
      <c r="AJ889" s="16" t="b">
        <v>0</v>
      </c>
      <c r="AK889" s="16" t="b">
        <v>0</v>
      </c>
      <c r="AL889" s="16" t="b">
        <v>0</v>
      </c>
      <c r="AM889" s="16" t="b">
        <v>0</v>
      </c>
      <c r="AN889" s="16" t="b">
        <v>0</v>
      </c>
      <c r="AO889" s="16" t="b">
        <v>0</v>
      </c>
      <c r="AP889" s="16" t="b">
        <v>0</v>
      </c>
      <c r="AQ889" s="17">
        <f t="shared" si="9"/>
        <v>0</v>
      </c>
      <c r="AR889" s="12">
        <f t="shared" si="10"/>
        <v>16704.52</v>
      </c>
      <c r="AS889" s="18">
        <f t="shared" si="11"/>
        <v>0</v>
      </c>
      <c r="AT889" s="12">
        <f t="shared" si="12"/>
        <v>6546.24</v>
      </c>
      <c r="AU889" s="18">
        <f t="shared" si="13"/>
        <v>0</v>
      </c>
      <c r="AV889" s="19">
        <f t="shared" si="14"/>
        <v>0.39188435225914897</v>
      </c>
      <c r="AW889" s="20" t="str">
        <f t="shared" si="15"/>
        <v>June</v>
      </c>
      <c r="AX889" s="21">
        <f t="shared" si="16"/>
        <v>2024</v>
      </c>
    </row>
    <row r="890" spans="1:50" ht="15.75" customHeight="1">
      <c r="A890" s="10" t="s">
        <v>2758</v>
      </c>
      <c r="B890" s="11">
        <v>45875</v>
      </c>
      <c r="C890" s="11">
        <v>45876</v>
      </c>
      <c r="D890" s="10" t="s">
        <v>2759</v>
      </c>
      <c r="E890" s="10" t="s">
        <v>147</v>
      </c>
      <c r="F890" s="10" t="s">
        <v>66</v>
      </c>
      <c r="G890" s="10" t="s">
        <v>92</v>
      </c>
      <c r="H890" s="10" t="s">
        <v>93</v>
      </c>
      <c r="I890" s="10" t="s">
        <v>94</v>
      </c>
      <c r="J890" s="10" t="s">
        <v>57</v>
      </c>
      <c r="K890" s="10" t="s">
        <v>77</v>
      </c>
      <c r="L890" s="10" t="s">
        <v>2760</v>
      </c>
      <c r="M890" s="10" t="s">
        <v>88</v>
      </c>
      <c r="N890" s="12">
        <v>4</v>
      </c>
      <c r="O890" s="12">
        <v>3523.64</v>
      </c>
      <c r="P890" s="12">
        <v>0.1</v>
      </c>
      <c r="Q890" s="12">
        <v>12685.1</v>
      </c>
      <c r="R890" s="12">
        <v>10779.56</v>
      </c>
      <c r="S890" s="12">
        <v>1905.54</v>
      </c>
      <c r="T890" s="10" t="s">
        <v>131</v>
      </c>
      <c r="U890" s="13" t="s">
        <v>97</v>
      </c>
      <c r="V890" s="14" t="e">
        <f t="shared" ca="1" si="0"/>
        <v>#NAME?</v>
      </c>
      <c r="W890" s="10" t="str">
        <f ca="1">IFERROR(__xludf.DUMMYFUNCTION("IF(COUNTIF($A:$A,A884)=1,
""Unique"",
IF(COUNTUNIQUE(FILTER($V$2:$V$934,$A$2:$A$934=A884))&gt;1,
""Conflicting Duplicate"",
""Exact Duplicate""))"),"Unique")</f>
        <v>Unique</v>
      </c>
      <c r="X890" s="10" t="b">
        <f t="shared" ca="1" si="1"/>
        <v>1</v>
      </c>
      <c r="Y890" s="10" t="str">
        <f t="shared" si="2"/>
        <v>Unique</v>
      </c>
      <c r="Z890" s="10"/>
      <c r="AA890" s="10" t="str">
        <f t="shared" si="3"/>
        <v>Clean</v>
      </c>
      <c r="AB890" s="15" t="str">
        <f t="shared" si="4"/>
        <v>Valid</v>
      </c>
      <c r="AC890" s="15">
        <v>1</v>
      </c>
      <c r="AD890" s="16" t="str">
        <f t="shared" si="5"/>
        <v>Valid</v>
      </c>
      <c r="AE890" s="16" t="str">
        <f t="shared" si="6"/>
        <v>Valid</v>
      </c>
      <c r="AF890" s="16" t="str">
        <f t="shared" ref="AF890:AG890" si="1791">IF(ISNUMBER(B890),"Valid","Invalid")</f>
        <v>Valid</v>
      </c>
      <c r="AG890" s="16" t="str">
        <f t="shared" si="1791"/>
        <v>Valid</v>
      </c>
      <c r="AH890" s="16" t="str">
        <f t="shared" ref="AH890:AI890" si="1792">IF(OR(B890="",ISBLANK(B890)),"Missing","Valid")</f>
        <v>Valid</v>
      </c>
      <c r="AI890" s="16" t="str">
        <f t="shared" si="1792"/>
        <v>Valid</v>
      </c>
      <c r="AJ890" s="16" t="b">
        <v>0</v>
      </c>
      <c r="AK890" s="16" t="b">
        <v>0</v>
      </c>
      <c r="AL890" s="16" t="b">
        <v>0</v>
      </c>
      <c r="AM890" s="16" t="b">
        <v>0</v>
      </c>
      <c r="AN890" s="16" t="b">
        <v>0</v>
      </c>
      <c r="AO890" s="16" t="b">
        <v>0</v>
      </c>
      <c r="AP890" s="16" t="b">
        <v>0</v>
      </c>
      <c r="AQ890" s="17">
        <f t="shared" si="9"/>
        <v>0.1</v>
      </c>
      <c r="AR890" s="12">
        <f t="shared" si="10"/>
        <v>12685.103999999999</v>
      </c>
      <c r="AS890" s="18">
        <f t="shared" si="11"/>
        <v>-3.9999999989959178E-3</v>
      </c>
      <c r="AT890" s="12">
        <f t="shared" si="12"/>
        <v>1905.5439999999999</v>
      </c>
      <c r="AU890" s="18">
        <f t="shared" si="13"/>
        <v>-3.9999999999054126E-3</v>
      </c>
      <c r="AV890" s="19">
        <f t="shared" si="14"/>
        <v>0.15021902855506741</v>
      </c>
      <c r="AW890" s="20" t="str">
        <f t="shared" si="15"/>
        <v>August</v>
      </c>
      <c r="AX890" s="21">
        <f t="shared" si="16"/>
        <v>2025</v>
      </c>
    </row>
    <row r="891" spans="1:50" ht="15.75" customHeight="1">
      <c r="A891" s="10" t="s">
        <v>2761</v>
      </c>
      <c r="B891" s="11">
        <v>45726</v>
      </c>
      <c r="C891" s="11">
        <v>45727</v>
      </c>
      <c r="D891" s="10" t="s">
        <v>913</v>
      </c>
      <c r="E891" s="10" t="s">
        <v>118</v>
      </c>
      <c r="F891" s="10" t="s">
        <v>124</v>
      </c>
      <c r="G891" s="10" t="s">
        <v>92</v>
      </c>
      <c r="H891" s="10" t="s">
        <v>101</v>
      </c>
      <c r="I891" s="10" t="s">
        <v>102</v>
      </c>
      <c r="J891" s="10" t="s">
        <v>57</v>
      </c>
      <c r="K891" s="10" t="s">
        <v>153</v>
      </c>
      <c r="L891" s="10" t="s">
        <v>2762</v>
      </c>
      <c r="M891" s="10" t="s">
        <v>79</v>
      </c>
      <c r="N891" s="12">
        <v>2</v>
      </c>
      <c r="O891" s="12">
        <v>3922.08</v>
      </c>
      <c r="P891" s="12">
        <v>0.25</v>
      </c>
      <c r="Q891" s="12">
        <v>5883.12</v>
      </c>
      <c r="R891" s="12">
        <v>4647.91</v>
      </c>
      <c r="S891" s="12">
        <v>1235.21</v>
      </c>
      <c r="T891" s="10" t="s">
        <v>61</v>
      </c>
      <c r="U891" s="13" t="s">
        <v>132</v>
      </c>
      <c r="V891" s="14" t="e">
        <f t="shared" ca="1" si="0"/>
        <v>#NAME?</v>
      </c>
      <c r="W891" s="10" t="str">
        <f ca="1">IFERROR(__xludf.DUMMYFUNCTION("IF(COUNTIF($A:$A,A885)=1,
""Unique"",
IF(COUNTUNIQUE(FILTER($V$2:$V$934,$A$2:$A$934=A885))&gt;1,
""Conflicting Duplicate"",
""Exact Duplicate""))"),"Unique")</f>
        <v>Unique</v>
      </c>
      <c r="X891" s="10" t="b">
        <f t="shared" ca="1" si="1"/>
        <v>1</v>
      </c>
      <c r="Y891" s="10" t="str">
        <f t="shared" si="2"/>
        <v>Unique</v>
      </c>
      <c r="Z891" s="10"/>
      <c r="AA891" s="10" t="str">
        <f t="shared" si="3"/>
        <v>Clean</v>
      </c>
      <c r="AB891" s="15" t="str">
        <f t="shared" si="4"/>
        <v>Valid</v>
      </c>
      <c r="AC891" s="15">
        <v>1</v>
      </c>
      <c r="AD891" s="16" t="str">
        <f t="shared" si="5"/>
        <v>Valid</v>
      </c>
      <c r="AE891" s="16" t="str">
        <f t="shared" si="6"/>
        <v>Valid</v>
      </c>
      <c r="AF891" s="16" t="str">
        <f t="shared" ref="AF891:AG891" si="1793">IF(ISNUMBER(B891),"Valid","Invalid")</f>
        <v>Valid</v>
      </c>
      <c r="AG891" s="16" t="str">
        <f t="shared" si="1793"/>
        <v>Valid</v>
      </c>
      <c r="AH891" s="16" t="str">
        <f t="shared" ref="AH891:AI891" si="1794">IF(OR(B891="",ISBLANK(B891)),"Missing","Valid")</f>
        <v>Valid</v>
      </c>
      <c r="AI891" s="16" t="str">
        <f t="shared" si="1794"/>
        <v>Valid</v>
      </c>
      <c r="AJ891" s="16" t="b">
        <v>0</v>
      </c>
      <c r="AK891" s="16" t="b">
        <v>0</v>
      </c>
      <c r="AL891" s="16" t="b">
        <v>0</v>
      </c>
      <c r="AM891" s="16" t="b">
        <v>0</v>
      </c>
      <c r="AN891" s="16" t="b">
        <v>0</v>
      </c>
      <c r="AO891" s="16" t="b">
        <v>0</v>
      </c>
      <c r="AP891" s="16" t="b">
        <v>0</v>
      </c>
      <c r="AQ891" s="17">
        <f t="shared" si="9"/>
        <v>0.25</v>
      </c>
      <c r="AR891" s="12">
        <f t="shared" si="10"/>
        <v>5883.12</v>
      </c>
      <c r="AS891" s="18">
        <f t="shared" si="11"/>
        <v>0</v>
      </c>
      <c r="AT891" s="12">
        <f t="shared" si="12"/>
        <v>1235.21</v>
      </c>
      <c r="AU891" s="18">
        <f t="shared" si="13"/>
        <v>0</v>
      </c>
      <c r="AV891" s="19">
        <f t="shared" si="14"/>
        <v>0.20995832143488491</v>
      </c>
      <c r="AW891" s="20" t="str">
        <f t="shared" si="15"/>
        <v>March</v>
      </c>
      <c r="AX891" s="21">
        <f t="shared" si="16"/>
        <v>2025</v>
      </c>
    </row>
    <row r="892" spans="1:50" ht="15.75" customHeight="1">
      <c r="A892" s="10" t="s">
        <v>2763</v>
      </c>
      <c r="B892" s="11">
        <v>45427</v>
      </c>
      <c r="C892" s="11">
        <v>45433</v>
      </c>
      <c r="D892" s="10" t="s">
        <v>2764</v>
      </c>
      <c r="E892" s="10" t="s">
        <v>52</v>
      </c>
      <c r="F892" s="10" t="s">
        <v>53</v>
      </c>
      <c r="G892" s="10" t="s">
        <v>92</v>
      </c>
      <c r="H892" s="10" t="s">
        <v>219</v>
      </c>
      <c r="I892" s="10" t="s">
        <v>220</v>
      </c>
      <c r="J892" s="10" t="s">
        <v>57</v>
      </c>
      <c r="K892" s="10" t="s">
        <v>153</v>
      </c>
      <c r="L892" s="10" t="s">
        <v>2765</v>
      </c>
      <c r="M892" s="10" t="s">
        <v>88</v>
      </c>
      <c r="N892" s="12">
        <v>6</v>
      </c>
      <c r="O892" s="12">
        <v>2909.56</v>
      </c>
      <c r="P892" s="12">
        <v>0.2</v>
      </c>
      <c r="Q892" s="12">
        <v>13965.89</v>
      </c>
      <c r="R892" s="12">
        <v>11646.12</v>
      </c>
      <c r="S892" s="12">
        <v>2319.77</v>
      </c>
      <c r="T892" s="10" t="s">
        <v>61</v>
      </c>
      <c r="U892" s="13" t="s">
        <v>62</v>
      </c>
      <c r="V892" s="14" t="e">
        <f t="shared" ca="1" si="0"/>
        <v>#NAME?</v>
      </c>
      <c r="W892" s="10" t="str">
        <f ca="1">IFERROR(__xludf.DUMMYFUNCTION("IF(COUNTIF($A:$A,A886)=1,
""Unique"",
IF(COUNTUNIQUE(FILTER($V$2:$V$934,$A$2:$A$934=A886))&gt;1,
""Conflicting Duplicate"",
""Exact Duplicate""))"),"Unique")</f>
        <v>Unique</v>
      </c>
      <c r="X892" s="10" t="b">
        <f t="shared" ca="1" si="1"/>
        <v>1</v>
      </c>
      <c r="Y892" s="10" t="str">
        <f t="shared" si="2"/>
        <v>Unique</v>
      </c>
      <c r="Z892" s="10"/>
      <c r="AA892" s="10" t="str">
        <f t="shared" si="3"/>
        <v>Clean</v>
      </c>
      <c r="AB892" s="15" t="str">
        <f t="shared" si="4"/>
        <v>Valid</v>
      </c>
      <c r="AC892" s="15">
        <v>6</v>
      </c>
      <c r="AD892" s="16" t="str">
        <f t="shared" si="5"/>
        <v>Valid</v>
      </c>
      <c r="AE892" s="16" t="str">
        <f t="shared" si="6"/>
        <v>Valid</v>
      </c>
      <c r="AF892" s="16" t="str">
        <f t="shared" ref="AF892:AG892" si="1795">IF(ISNUMBER(B892),"Valid","Invalid")</f>
        <v>Valid</v>
      </c>
      <c r="AG892" s="16" t="str">
        <f t="shared" si="1795"/>
        <v>Valid</v>
      </c>
      <c r="AH892" s="16" t="str">
        <f t="shared" ref="AH892:AI892" si="1796">IF(OR(B892="",ISBLANK(B892)),"Missing","Valid")</f>
        <v>Valid</v>
      </c>
      <c r="AI892" s="16" t="str">
        <f t="shared" si="1796"/>
        <v>Valid</v>
      </c>
      <c r="AJ892" s="16" t="b">
        <v>0</v>
      </c>
      <c r="AK892" s="16" t="b">
        <v>0</v>
      </c>
      <c r="AL892" s="16" t="b">
        <v>0</v>
      </c>
      <c r="AM892" s="16" t="b">
        <v>0</v>
      </c>
      <c r="AN892" s="16" t="b">
        <v>0</v>
      </c>
      <c r="AO892" s="16" t="b">
        <v>0</v>
      </c>
      <c r="AP892" s="16" t="b">
        <v>0</v>
      </c>
      <c r="AQ892" s="17">
        <f t="shared" si="9"/>
        <v>0.2</v>
      </c>
      <c r="AR892" s="12">
        <f t="shared" si="10"/>
        <v>13965.888000000001</v>
      </c>
      <c r="AS892" s="18">
        <f t="shared" si="11"/>
        <v>1.9999999985884642E-3</v>
      </c>
      <c r="AT892" s="12">
        <f t="shared" si="12"/>
        <v>2319.768</v>
      </c>
      <c r="AU892" s="18">
        <f t="shared" si="13"/>
        <v>1.9999999999527063E-3</v>
      </c>
      <c r="AV892" s="19">
        <f t="shared" si="14"/>
        <v>0.16610243473239938</v>
      </c>
      <c r="AW892" s="20" t="str">
        <f t="shared" si="15"/>
        <v>May</v>
      </c>
      <c r="AX892" s="21">
        <f t="shared" si="16"/>
        <v>2024</v>
      </c>
    </row>
    <row r="893" spans="1:50" ht="15.75" customHeight="1">
      <c r="A893" s="10" t="s">
        <v>2766</v>
      </c>
      <c r="B893" s="11">
        <v>45573</v>
      </c>
      <c r="C893" s="11">
        <v>45574</v>
      </c>
      <c r="D893" s="10" t="s">
        <v>2767</v>
      </c>
      <c r="E893" s="10" t="s">
        <v>294</v>
      </c>
      <c r="F893" s="10" t="s">
        <v>119</v>
      </c>
      <c r="G893" s="10" t="s">
        <v>83</v>
      </c>
      <c r="H893" s="10" t="s">
        <v>277</v>
      </c>
      <c r="I893" s="10" t="s">
        <v>278</v>
      </c>
      <c r="J893" s="10" t="s">
        <v>103</v>
      </c>
      <c r="K893" s="10" t="s">
        <v>304</v>
      </c>
      <c r="L893" s="10" t="s">
        <v>2768</v>
      </c>
      <c r="M893" s="10" t="s">
        <v>73</v>
      </c>
      <c r="N893" s="12">
        <v>5</v>
      </c>
      <c r="O893" s="12">
        <v>2407.9699999999998</v>
      </c>
      <c r="P893" s="12">
        <v>0.1</v>
      </c>
      <c r="Q893" s="12">
        <v>10835.86</v>
      </c>
      <c r="R893" s="12">
        <v>6419.92</v>
      </c>
      <c r="S893" s="12">
        <v>4415.9399999999996</v>
      </c>
      <c r="T893" s="10" t="s">
        <v>184</v>
      </c>
      <c r="U893" s="13" t="s">
        <v>97</v>
      </c>
      <c r="V893" s="14" t="e">
        <f t="shared" ca="1" si="0"/>
        <v>#NAME?</v>
      </c>
      <c r="W893" s="10" t="str">
        <f ca="1">IFERROR(__xludf.DUMMYFUNCTION("IF(COUNTIF($A:$A,A887)=1,
""Unique"",
IF(COUNTUNIQUE(FILTER($V$2:$V$934,$A$2:$A$934=A887))&gt;1,
""Conflicting Duplicate"",
""Exact Duplicate""))"),"Unique")</f>
        <v>Unique</v>
      </c>
      <c r="X893" s="10" t="b">
        <f t="shared" ca="1" si="1"/>
        <v>1</v>
      </c>
      <c r="Y893" s="10" t="str">
        <f t="shared" si="2"/>
        <v>Unique</v>
      </c>
      <c r="Z893" s="10"/>
      <c r="AA893" s="10" t="str">
        <f t="shared" si="3"/>
        <v>Clean</v>
      </c>
      <c r="AB893" s="15" t="str">
        <f t="shared" si="4"/>
        <v>Valid</v>
      </c>
      <c r="AC893" s="15">
        <v>1</v>
      </c>
      <c r="AD893" s="16" t="str">
        <f t="shared" si="5"/>
        <v>Valid</v>
      </c>
      <c r="AE893" s="16" t="str">
        <f t="shared" si="6"/>
        <v>Valid</v>
      </c>
      <c r="AF893" s="16" t="str">
        <f t="shared" ref="AF893:AG893" si="1797">IF(ISNUMBER(B893),"Valid","Invalid")</f>
        <v>Valid</v>
      </c>
      <c r="AG893" s="16" t="str">
        <f t="shared" si="1797"/>
        <v>Valid</v>
      </c>
      <c r="AH893" s="16" t="str">
        <f t="shared" ref="AH893:AI893" si="1798">IF(OR(B893="",ISBLANK(B893)),"Missing","Valid")</f>
        <v>Valid</v>
      </c>
      <c r="AI893" s="16" t="str">
        <f t="shared" si="1798"/>
        <v>Valid</v>
      </c>
      <c r="AJ893" s="16" t="b">
        <v>0</v>
      </c>
      <c r="AK893" s="16" t="b">
        <v>0</v>
      </c>
      <c r="AL893" s="16" t="b">
        <v>0</v>
      </c>
      <c r="AM893" s="16" t="b">
        <v>0</v>
      </c>
      <c r="AN893" s="16" t="b">
        <v>0</v>
      </c>
      <c r="AO893" s="16" t="b">
        <v>0</v>
      </c>
      <c r="AP893" s="16" t="b">
        <v>0</v>
      </c>
      <c r="AQ893" s="17">
        <f t="shared" si="9"/>
        <v>0.1</v>
      </c>
      <c r="AR893" s="12">
        <f t="shared" si="10"/>
        <v>10835.865</v>
      </c>
      <c r="AS893" s="18">
        <f t="shared" si="11"/>
        <v>-4.9999999991996447E-3</v>
      </c>
      <c r="AT893" s="12">
        <f t="shared" si="12"/>
        <v>4415.9449999999997</v>
      </c>
      <c r="AU893" s="18">
        <f t="shared" si="13"/>
        <v>-5.0000000001091394E-3</v>
      </c>
      <c r="AV893" s="19">
        <f t="shared" si="14"/>
        <v>0.40753045557507406</v>
      </c>
      <c r="AW893" s="20" t="str">
        <f t="shared" si="15"/>
        <v>October</v>
      </c>
      <c r="AX893" s="21">
        <f t="shared" si="16"/>
        <v>2024</v>
      </c>
    </row>
    <row r="894" spans="1:50" ht="15.75" customHeight="1">
      <c r="A894" s="10" t="s">
        <v>2769</v>
      </c>
      <c r="B894" s="11">
        <v>45759</v>
      </c>
      <c r="C894" s="11">
        <v>45765</v>
      </c>
      <c r="D894" s="10" t="s">
        <v>2770</v>
      </c>
      <c r="E894" s="10" t="s">
        <v>76</v>
      </c>
      <c r="F894" s="10" t="s">
        <v>66</v>
      </c>
      <c r="G894" s="10" t="s">
        <v>67</v>
      </c>
      <c r="H894" s="10" t="s">
        <v>258</v>
      </c>
      <c r="I894" s="10" t="s">
        <v>259</v>
      </c>
      <c r="J894" s="10" t="s">
        <v>103</v>
      </c>
      <c r="K894" s="10" t="s">
        <v>109</v>
      </c>
      <c r="L894" s="10" t="s">
        <v>2771</v>
      </c>
      <c r="M894" s="10" t="s">
        <v>73</v>
      </c>
      <c r="N894" s="12">
        <v>1</v>
      </c>
      <c r="O894" s="12">
        <v>726.89</v>
      </c>
      <c r="P894" s="12">
        <v>0.2</v>
      </c>
      <c r="Q894" s="12">
        <v>581.51</v>
      </c>
      <c r="R894" s="12">
        <v>423.86</v>
      </c>
      <c r="S894" s="12">
        <v>157.65</v>
      </c>
      <c r="T894" s="10" t="s">
        <v>61</v>
      </c>
      <c r="U894" s="13" t="s">
        <v>62</v>
      </c>
      <c r="V894" s="14" t="e">
        <f t="shared" ca="1" si="0"/>
        <v>#NAME?</v>
      </c>
      <c r="W894" s="10" t="str">
        <f ca="1">IFERROR(__xludf.DUMMYFUNCTION("IF(COUNTIF($A:$A,A888)=1,
""Unique"",
IF(COUNTUNIQUE(FILTER($V$2:$V$934,$A$2:$A$934=A888))&gt;1,
""Conflicting Duplicate"",
""Exact Duplicate""))"),"Unique")</f>
        <v>Unique</v>
      </c>
      <c r="X894" s="10" t="b">
        <f t="shared" ca="1" si="1"/>
        <v>1</v>
      </c>
      <c r="Y894" s="10" t="str">
        <f t="shared" si="2"/>
        <v>Unique</v>
      </c>
      <c r="Z894" s="10"/>
      <c r="AA894" s="10" t="str">
        <f t="shared" si="3"/>
        <v>Clean</v>
      </c>
      <c r="AB894" s="15" t="str">
        <f t="shared" si="4"/>
        <v>Valid</v>
      </c>
      <c r="AC894" s="15">
        <v>6</v>
      </c>
      <c r="AD894" s="16" t="str">
        <f t="shared" si="5"/>
        <v>Valid</v>
      </c>
      <c r="AE894" s="16" t="str">
        <f t="shared" si="6"/>
        <v>Valid</v>
      </c>
      <c r="AF894" s="16" t="str">
        <f t="shared" ref="AF894:AG894" si="1799">IF(ISNUMBER(B894),"Valid","Invalid")</f>
        <v>Valid</v>
      </c>
      <c r="AG894" s="16" t="str">
        <f t="shared" si="1799"/>
        <v>Valid</v>
      </c>
      <c r="AH894" s="16" t="str">
        <f t="shared" ref="AH894:AI894" si="1800">IF(OR(B894="",ISBLANK(B894)),"Missing","Valid")</f>
        <v>Valid</v>
      </c>
      <c r="AI894" s="16" t="str">
        <f t="shared" si="1800"/>
        <v>Valid</v>
      </c>
      <c r="AJ894" s="16" t="b">
        <v>0</v>
      </c>
      <c r="AK894" s="16" t="b">
        <v>0</v>
      </c>
      <c r="AL894" s="16" t="b">
        <v>0</v>
      </c>
      <c r="AM894" s="16" t="b">
        <v>0</v>
      </c>
      <c r="AN894" s="16" t="b">
        <v>0</v>
      </c>
      <c r="AO894" s="16" t="b">
        <v>0</v>
      </c>
      <c r="AP894" s="16" t="b">
        <v>0</v>
      </c>
      <c r="AQ894" s="17">
        <f t="shared" si="9"/>
        <v>0.2</v>
      </c>
      <c r="AR894" s="12">
        <f t="shared" si="10"/>
        <v>581.51200000000006</v>
      </c>
      <c r="AS894" s="18">
        <f t="shared" si="11"/>
        <v>-2.0000000000663931E-3</v>
      </c>
      <c r="AT894" s="12">
        <f t="shared" si="12"/>
        <v>157.65200000000004</v>
      </c>
      <c r="AU894" s="18">
        <f t="shared" si="13"/>
        <v>-2.0000000000379714E-3</v>
      </c>
      <c r="AV894" s="19">
        <f t="shared" si="14"/>
        <v>0.27110704508247468</v>
      </c>
      <c r="AW894" s="20" t="str">
        <f t="shared" si="15"/>
        <v>April</v>
      </c>
      <c r="AX894" s="21">
        <f t="shared" si="16"/>
        <v>2025</v>
      </c>
    </row>
    <row r="895" spans="1:50" ht="15.75" customHeight="1">
      <c r="A895" s="10" t="s">
        <v>2772</v>
      </c>
      <c r="B895" s="11">
        <v>45449</v>
      </c>
      <c r="C895" s="11">
        <v>45451</v>
      </c>
      <c r="D895" s="10" t="s">
        <v>2773</v>
      </c>
      <c r="E895" s="10" t="s">
        <v>157</v>
      </c>
      <c r="F895" s="10" t="s">
        <v>119</v>
      </c>
      <c r="G895" s="10" t="s">
        <v>83</v>
      </c>
      <c r="H895" s="10" t="s">
        <v>204</v>
      </c>
      <c r="I895" s="10" t="s">
        <v>205</v>
      </c>
      <c r="J895" s="10" t="s">
        <v>70</v>
      </c>
      <c r="K895" s="10" t="s">
        <v>71</v>
      </c>
      <c r="L895" s="10" t="s">
        <v>2774</v>
      </c>
      <c r="M895" s="10" t="s">
        <v>60</v>
      </c>
      <c r="N895" s="12">
        <v>3</v>
      </c>
      <c r="O895" s="12">
        <v>395.49</v>
      </c>
      <c r="P895" s="12">
        <v>0.05</v>
      </c>
      <c r="Q895" s="12">
        <v>1127.1500000000001</v>
      </c>
      <c r="R895" s="12">
        <v>845.62</v>
      </c>
      <c r="S895" s="12">
        <v>281.52999999999997</v>
      </c>
      <c r="T895" s="10" t="s">
        <v>61</v>
      </c>
      <c r="U895" s="13" t="s">
        <v>132</v>
      </c>
      <c r="V895" s="14" t="e">
        <f t="shared" ca="1" si="0"/>
        <v>#NAME?</v>
      </c>
      <c r="W895" s="10" t="str">
        <f ca="1">IFERROR(__xludf.DUMMYFUNCTION("IF(COUNTIF($A:$A,A889)=1,
""Unique"",
IF(COUNTUNIQUE(FILTER($V$2:$V$934,$A$2:$A$934=A889))&gt;1,
""Conflicting Duplicate"",
""Exact Duplicate""))"),"Unique")</f>
        <v>Unique</v>
      </c>
      <c r="X895" s="10" t="b">
        <f t="shared" ca="1" si="1"/>
        <v>1</v>
      </c>
      <c r="Y895" s="10" t="str">
        <f t="shared" si="2"/>
        <v>Unique</v>
      </c>
      <c r="Z895" s="10"/>
      <c r="AA895" s="10" t="str">
        <f t="shared" si="3"/>
        <v>Clean</v>
      </c>
      <c r="AB895" s="15" t="str">
        <f t="shared" si="4"/>
        <v>Valid</v>
      </c>
      <c r="AC895" s="15">
        <v>2</v>
      </c>
      <c r="AD895" s="16" t="str">
        <f t="shared" si="5"/>
        <v>Valid</v>
      </c>
      <c r="AE895" s="16" t="str">
        <f t="shared" si="6"/>
        <v>Valid</v>
      </c>
      <c r="AF895" s="16" t="str">
        <f t="shared" ref="AF895:AG895" si="1801">IF(ISNUMBER(B895),"Valid","Invalid")</f>
        <v>Valid</v>
      </c>
      <c r="AG895" s="16" t="str">
        <f t="shared" si="1801"/>
        <v>Valid</v>
      </c>
      <c r="AH895" s="16" t="str">
        <f t="shared" ref="AH895:AI895" si="1802">IF(OR(B895="",ISBLANK(B895)),"Missing","Valid")</f>
        <v>Valid</v>
      </c>
      <c r="AI895" s="16" t="str">
        <f t="shared" si="1802"/>
        <v>Valid</v>
      </c>
      <c r="AJ895" s="16" t="b">
        <v>0</v>
      </c>
      <c r="AK895" s="16" t="b">
        <v>0</v>
      </c>
      <c r="AL895" s="16" t="b">
        <v>0</v>
      </c>
      <c r="AM895" s="16" t="b">
        <v>0</v>
      </c>
      <c r="AN895" s="16" t="b">
        <v>0</v>
      </c>
      <c r="AO895" s="16" t="b">
        <v>0</v>
      </c>
      <c r="AP895" s="16" t="b">
        <v>0</v>
      </c>
      <c r="AQ895" s="17">
        <f t="shared" si="9"/>
        <v>0.05</v>
      </c>
      <c r="AR895" s="12">
        <f t="shared" si="10"/>
        <v>1127.1465000000001</v>
      </c>
      <c r="AS895" s="18">
        <f t="shared" si="11"/>
        <v>3.5000000000309228E-3</v>
      </c>
      <c r="AT895" s="12">
        <f t="shared" si="12"/>
        <v>281.52650000000006</v>
      </c>
      <c r="AU895" s="18">
        <f t="shared" si="13"/>
        <v>3.499999999917236E-3</v>
      </c>
      <c r="AV895" s="19">
        <f t="shared" si="14"/>
        <v>0.24976921810962466</v>
      </c>
      <c r="AW895" s="20" t="str">
        <f t="shared" si="15"/>
        <v>June</v>
      </c>
      <c r="AX895" s="21">
        <f t="shared" si="16"/>
        <v>2024</v>
      </c>
    </row>
    <row r="896" spans="1:50" ht="15.75" customHeight="1">
      <c r="A896" s="10" t="s">
        <v>2775</v>
      </c>
      <c r="B896" s="11">
        <v>45344</v>
      </c>
      <c r="C896" s="11">
        <v>45351</v>
      </c>
      <c r="D896" s="10" t="s">
        <v>2776</v>
      </c>
      <c r="E896" s="10" t="s">
        <v>76</v>
      </c>
      <c r="F896" s="10" t="s">
        <v>124</v>
      </c>
      <c r="G896" s="10" t="s">
        <v>83</v>
      </c>
      <c r="H896" s="10" t="s">
        <v>84</v>
      </c>
      <c r="I896" s="10" t="s">
        <v>85</v>
      </c>
      <c r="J896" s="10" t="s">
        <v>70</v>
      </c>
      <c r="K896" s="10" t="s">
        <v>71</v>
      </c>
      <c r="L896" s="10" t="s">
        <v>2777</v>
      </c>
      <c r="M896" s="10" t="s">
        <v>79</v>
      </c>
      <c r="N896" s="12">
        <v>6</v>
      </c>
      <c r="O896" s="12">
        <v>4254.05</v>
      </c>
      <c r="P896" s="12">
        <v>0</v>
      </c>
      <c r="Q896" s="12">
        <v>25524.3</v>
      </c>
      <c r="R896" s="12">
        <v>16711.93</v>
      </c>
      <c r="S896" s="12">
        <v>8812.3700000000008</v>
      </c>
      <c r="T896" s="10" t="s">
        <v>61</v>
      </c>
      <c r="U896" s="13" t="s">
        <v>62</v>
      </c>
      <c r="V896" s="14" t="e">
        <f t="shared" ca="1" si="0"/>
        <v>#NAME?</v>
      </c>
      <c r="W896" s="10" t="str">
        <f ca="1">IFERROR(__xludf.DUMMYFUNCTION("IF(COUNTIF($A:$A,A890)=1,
""Unique"",
IF(COUNTUNIQUE(FILTER($V$2:$V$934,$A$2:$A$934=A890))&gt;1,
""Conflicting Duplicate"",
""Exact Duplicate""))"),"Unique")</f>
        <v>Unique</v>
      </c>
      <c r="X896" s="10" t="b">
        <f t="shared" ca="1" si="1"/>
        <v>1</v>
      </c>
      <c r="Y896" s="10" t="str">
        <f t="shared" si="2"/>
        <v>Unique</v>
      </c>
      <c r="Z896" s="10"/>
      <c r="AA896" s="10" t="str">
        <f t="shared" si="3"/>
        <v>Clean</v>
      </c>
      <c r="AB896" s="15" t="str">
        <f t="shared" si="4"/>
        <v>Valid</v>
      </c>
      <c r="AC896" s="15">
        <v>7</v>
      </c>
      <c r="AD896" s="16" t="str">
        <f t="shared" si="5"/>
        <v>Valid</v>
      </c>
      <c r="AE896" s="16" t="str">
        <f t="shared" si="6"/>
        <v>Valid</v>
      </c>
      <c r="AF896" s="16" t="str">
        <f t="shared" ref="AF896:AG896" si="1803">IF(ISNUMBER(B896),"Valid","Invalid")</f>
        <v>Valid</v>
      </c>
      <c r="AG896" s="16" t="str">
        <f t="shared" si="1803"/>
        <v>Valid</v>
      </c>
      <c r="AH896" s="16" t="str">
        <f t="shared" ref="AH896:AI896" si="1804">IF(OR(B896="",ISBLANK(B896)),"Missing","Valid")</f>
        <v>Valid</v>
      </c>
      <c r="AI896" s="16" t="str">
        <f t="shared" si="1804"/>
        <v>Valid</v>
      </c>
      <c r="AJ896" s="16" t="b">
        <v>0</v>
      </c>
      <c r="AK896" s="16" t="b">
        <v>0</v>
      </c>
      <c r="AL896" s="16" t="b">
        <v>0</v>
      </c>
      <c r="AM896" s="16" t="b">
        <v>0</v>
      </c>
      <c r="AN896" s="16" t="b">
        <v>0</v>
      </c>
      <c r="AO896" s="16" t="b">
        <v>0</v>
      </c>
      <c r="AP896" s="16" t="b">
        <v>0</v>
      </c>
      <c r="AQ896" s="17">
        <f t="shared" si="9"/>
        <v>0</v>
      </c>
      <c r="AR896" s="12">
        <f t="shared" si="10"/>
        <v>25524.300000000003</v>
      </c>
      <c r="AS896" s="18">
        <f t="shared" si="11"/>
        <v>0</v>
      </c>
      <c r="AT896" s="12">
        <f t="shared" si="12"/>
        <v>8812.3700000000026</v>
      </c>
      <c r="AU896" s="18">
        <f t="shared" si="13"/>
        <v>0</v>
      </c>
      <c r="AV896" s="19">
        <f t="shared" si="14"/>
        <v>0.34525413037771857</v>
      </c>
      <c r="AW896" s="20" t="str">
        <f t="shared" si="15"/>
        <v>February</v>
      </c>
      <c r="AX896" s="21">
        <f t="shared" si="16"/>
        <v>2024</v>
      </c>
    </row>
    <row r="897" spans="1:50" ht="15.75" customHeight="1">
      <c r="A897" s="10" t="s">
        <v>2778</v>
      </c>
      <c r="B897" s="11">
        <v>45601</v>
      </c>
      <c r="C897" s="11">
        <v>45606</v>
      </c>
      <c r="D897" s="10" t="s">
        <v>2779</v>
      </c>
      <c r="E897" s="10" t="s">
        <v>82</v>
      </c>
      <c r="F897" s="10" t="s">
        <v>53</v>
      </c>
      <c r="G897" s="10" t="s">
        <v>83</v>
      </c>
      <c r="H897" s="10" t="s">
        <v>214</v>
      </c>
      <c r="I897" s="10" t="s">
        <v>215</v>
      </c>
      <c r="J897" s="10" t="s">
        <v>70</v>
      </c>
      <c r="K897" s="10" t="s">
        <v>95</v>
      </c>
      <c r="L897" s="10" t="s">
        <v>2780</v>
      </c>
      <c r="M897" s="10" t="s">
        <v>73</v>
      </c>
      <c r="N897" s="12">
        <v>4</v>
      </c>
      <c r="O897" s="12">
        <v>711.18</v>
      </c>
      <c r="P897" s="12">
        <v>0.15</v>
      </c>
      <c r="Q897" s="12">
        <v>2418.0100000000002</v>
      </c>
      <c r="R897" s="12">
        <v>1441.89</v>
      </c>
      <c r="S897" s="12">
        <v>976.12</v>
      </c>
      <c r="T897" s="10" t="s">
        <v>140</v>
      </c>
      <c r="U897" s="13" t="s">
        <v>132</v>
      </c>
      <c r="V897" s="14" t="e">
        <f t="shared" ca="1" si="0"/>
        <v>#NAME?</v>
      </c>
      <c r="W897" s="10" t="str">
        <f ca="1">IFERROR(__xludf.DUMMYFUNCTION("IF(COUNTIF($A:$A,A891)=1,
""Unique"",
IF(COUNTUNIQUE(FILTER($V$2:$V$934,$A$2:$A$934=A891))&gt;1,
""Conflicting Duplicate"",
""Exact Duplicate""))"),"Unique")</f>
        <v>Unique</v>
      </c>
      <c r="X897" s="10" t="b">
        <f t="shared" ca="1" si="1"/>
        <v>1</v>
      </c>
      <c r="Y897" s="10" t="str">
        <f t="shared" si="2"/>
        <v>Unique</v>
      </c>
      <c r="Z897" s="10"/>
      <c r="AA897" s="10" t="str">
        <f t="shared" si="3"/>
        <v>Clean</v>
      </c>
      <c r="AB897" s="15" t="str">
        <f t="shared" si="4"/>
        <v>Valid</v>
      </c>
      <c r="AC897" s="15">
        <v>5</v>
      </c>
      <c r="AD897" s="16" t="str">
        <f t="shared" si="5"/>
        <v>Valid</v>
      </c>
      <c r="AE897" s="16" t="str">
        <f t="shared" si="6"/>
        <v>Valid</v>
      </c>
      <c r="AF897" s="16" t="str">
        <f t="shared" ref="AF897:AG897" si="1805">IF(ISNUMBER(B897),"Valid","Invalid")</f>
        <v>Valid</v>
      </c>
      <c r="AG897" s="16" t="str">
        <f t="shared" si="1805"/>
        <v>Valid</v>
      </c>
      <c r="AH897" s="16" t="str">
        <f t="shared" ref="AH897:AI897" si="1806">IF(OR(B897="",ISBLANK(B897)),"Missing","Valid")</f>
        <v>Valid</v>
      </c>
      <c r="AI897" s="16" t="str">
        <f t="shared" si="1806"/>
        <v>Valid</v>
      </c>
      <c r="AJ897" s="16" t="b">
        <v>0</v>
      </c>
      <c r="AK897" s="16" t="b">
        <v>0</v>
      </c>
      <c r="AL897" s="16" t="b">
        <v>0</v>
      </c>
      <c r="AM897" s="16" t="b">
        <v>0</v>
      </c>
      <c r="AN897" s="16" t="b">
        <v>0</v>
      </c>
      <c r="AO897" s="16" t="b">
        <v>0</v>
      </c>
      <c r="AP897" s="16" t="b">
        <v>0</v>
      </c>
      <c r="AQ897" s="17">
        <f t="shared" si="9"/>
        <v>0.15</v>
      </c>
      <c r="AR897" s="12">
        <f t="shared" si="10"/>
        <v>2418.0119999999997</v>
      </c>
      <c r="AS897" s="18">
        <f t="shared" si="11"/>
        <v>-1.9999999994979589E-3</v>
      </c>
      <c r="AT897" s="12">
        <f t="shared" si="12"/>
        <v>976.12199999999962</v>
      </c>
      <c r="AU897" s="18">
        <f t="shared" si="13"/>
        <v>-1.9999999996116458E-3</v>
      </c>
      <c r="AV897" s="19">
        <f t="shared" si="14"/>
        <v>0.40368782288921634</v>
      </c>
      <c r="AW897" s="20" t="str">
        <f t="shared" si="15"/>
        <v>November</v>
      </c>
      <c r="AX897" s="21">
        <f t="shared" si="16"/>
        <v>2024</v>
      </c>
    </row>
    <row r="898" spans="1:50" ht="15.75" customHeight="1">
      <c r="A898" s="10" t="s">
        <v>2781</v>
      </c>
      <c r="B898" s="11">
        <v>45650</v>
      </c>
      <c r="C898" s="11">
        <v>45651</v>
      </c>
      <c r="D898" s="10" t="s">
        <v>2782</v>
      </c>
      <c r="E898" s="10" t="s">
        <v>91</v>
      </c>
      <c r="F898" s="10" t="s">
        <v>66</v>
      </c>
      <c r="G898" s="10" t="s">
        <v>83</v>
      </c>
      <c r="H898" s="10" t="s">
        <v>277</v>
      </c>
      <c r="I898" s="10" t="s">
        <v>278</v>
      </c>
      <c r="J898" s="10" t="s">
        <v>103</v>
      </c>
      <c r="K898" s="10" t="s">
        <v>109</v>
      </c>
      <c r="L898" s="10" t="s">
        <v>2783</v>
      </c>
      <c r="M898" s="10" t="s">
        <v>60</v>
      </c>
      <c r="N898" s="12">
        <v>1</v>
      </c>
      <c r="O898" s="12">
        <v>3693.03</v>
      </c>
      <c r="P898" s="12">
        <v>0.05</v>
      </c>
      <c r="Q898" s="12">
        <v>3508.38</v>
      </c>
      <c r="R898" s="12">
        <v>2828.06</v>
      </c>
      <c r="S898" s="12">
        <v>680.32</v>
      </c>
      <c r="T898" s="10" t="s">
        <v>184</v>
      </c>
      <c r="U898" s="13" t="s">
        <v>132</v>
      </c>
      <c r="V898" s="14" t="e">
        <f t="shared" ca="1" si="0"/>
        <v>#NAME?</v>
      </c>
      <c r="W898" s="10" t="str">
        <f ca="1">IFERROR(__xludf.DUMMYFUNCTION("IF(COUNTIF($A:$A,A892)=1,
""Unique"",
IF(COUNTUNIQUE(FILTER($V$2:$V$934,$A$2:$A$934=A892))&gt;1,
""Conflicting Duplicate"",
""Exact Duplicate""))"),"Unique")</f>
        <v>Unique</v>
      </c>
      <c r="X898" s="10" t="b">
        <f t="shared" ca="1" si="1"/>
        <v>1</v>
      </c>
      <c r="Y898" s="10" t="str">
        <f t="shared" si="2"/>
        <v>Unique</v>
      </c>
      <c r="Z898" s="10"/>
      <c r="AA898" s="10" t="str">
        <f t="shared" si="3"/>
        <v>Clean</v>
      </c>
      <c r="AB898" s="15" t="str">
        <f t="shared" si="4"/>
        <v>Valid</v>
      </c>
      <c r="AC898" s="15">
        <v>1</v>
      </c>
      <c r="AD898" s="16" t="str">
        <f t="shared" si="5"/>
        <v>Valid</v>
      </c>
      <c r="AE898" s="16" t="str">
        <f t="shared" si="6"/>
        <v>Valid</v>
      </c>
      <c r="AF898" s="16" t="str">
        <f t="shared" ref="AF898:AG898" si="1807">IF(ISNUMBER(B898),"Valid","Invalid")</f>
        <v>Valid</v>
      </c>
      <c r="AG898" s="16" t="str">
        <f t="shared" si="1807"/>
        <v>Valid</v>
      </c>
      <c r="AH898" s="16" t="str">
        <f t="shared" ref="AH898:AI898" si="1808">IF(OR(B898="",ISBLANK(B898)),"Missing","Valid")</f>
        <v>Valid</v>
      </c>
      <c r="AI898" s="16" t="str">
        <f t="shared" si="1808"/>
        <v>Valid</v>
      </c>
      <c r="AJ898" s="16" t="b">
        <v>0</v>
      </c>
      <c r="AK898" s="16" t="b">
        <v>0</v>
      </c>
      <c r="AL898" s="16" t="b">
        <v>0</v>
      </c>
      <c r="AM898" s="16" t="b">
        <v>0</v>
      </c>
      <c r="AN898" s="16" t="b">
        <v>0</v>
      </c>
      <c r="AO898" s="16" t="b">
        <v>0</v>
      </c>
      <c r="AP898" s="16" t="b">
        <v>0</v>
      </c>
      <c r="AQ898" s="17">
        <f t="shared" si="9"/>
        <v>0.05</v>
      </c>
      <c r="AR898" s="12">
        <f t="shared" si="10"/>
        <v>3508.3784999999998</v>
      </c>
      <c r="AS898" s="18">
        <f t="shared" si="11"/>
        <v>1.5000000003055902E-3</v>
      </c>
      <c r="AT898" s="12">
        <f t="shared" si="12"/>
        <v>680.31849999999986</v>
      </c>
      <c r="AU898" s="18">
        <f t="shared" si="13"/>
        <v>1.5000000001919034E-3</v>
      </c>
      <c r="AV898" s="19">
        <f t="shared" si="14"/>
        <v>0.19391251542557336</v>
      </c>
      <c r="AW898" s="20" t="str">
        <f t="shared" si="15"/>
        <v>December</v>
      </c>
      <c r="AX898" s="21">
        <f t="shared" si="16"/>
        <v>2024</v>
      </c>
    </row>
    <row r="899" spans="1:50" ht="15.75" customHeight="1">
      <c r="A899" s="10" t="s">
        <v>2784</v>
      </c>
      <c r="B899" s="11">
        <v>45776</v>
      </c>
      <c r="C899" s="11">
        <v>45780</v>
      </c>
      <c r="D899" s="10" t="s">
        <v>2151</v>
      </c>
      <c r="E899" s="10" t="s">
        <v>170</v>
      </c>
      <c r="F899" s="10" t="s">
        <v>119</v>
      </c>
      <c r="G899" s="10" t="s">
        <v>54</v>
      </c>
      <c r="H899" s="10" t="s">
        <v>266</v>
      </c>
      <c r="I899" s="10" t="s">
        <v>267</v>
      </c>
      <c r="J899" s="10" t="s">
        <v>57</v>
      </c>
      <c r="K899" s="10" t="s">
        <v>58</v>
      </c>
      <c r="L899" s="10" t="s">
        <v>2785</v>
      </c>
      <c r="M899" s="10" t="s">
        <v>79</v>
      </c>
      <c r="N899" s="12">
        <v>4</v>
      </c>
      <c r="O899" s="12">
        <v>1786.65</v>
      </c>
      <c r="P899" s="12">
        <v>0.05</v>
      </c>
      <c r="Q899" s="12">
        <v>6789.27</v>
      </c>
      <c r="R899" s="12">
        <v>5626.43</v>
      </c>
      <c r="S899" s="12">
        <v>1162.8399999999999</v>
      </c>
      <c r="T899" s="10" t="s">
        <v>61</v>
      </c>
      <c r="U899" s="13" t="s">
        <v>62</v>
      </c>
      <c r="V899" s="14" t="e">
        <f t="shared" ca="1" si="0"/>
        <v>#NAME?</v>
      </c>
      <c r="W899" s="10" t="str">
        <f ca="1">IFERROR(__xludf.DUMMYFUNCTION("IF(COUNTIF($A:$A,A893)=1,
""Unique"",
IF(COUNTUNIQUE(FILTER($V$2:$V$934,$A$2:$A$934=A893))&gt;1,
""Conflicting Duplicate"",
""Exact Duplicate""))"),"Unique")</f>
        <v>Unique</v>
      </c>
      <c r="X899" s="10" t="b">
        <f t="shared" ca="1" si="1"/>
        <v>1</v>
      </c>
      <c r="Y899" s="10" t="str">
        <f t="shared" si="2"/>
        <v>Unique</v>
      </c>
      <c r="Z899" s="10"/>
      <c r="AA899" s="10" t="str">
        <f t="shared" si="3"/>
        <v>Clean</v>
      </c>
      <c r="AB899" s="15" t="str">
        <f t="shared" si="4"/>
        <v>Valid</v>
      </c>
      <c r="AC899" s="15">
        <v>4</v>
      </c>
      <c r="AD899" s="16" t="str">
        <f t="shared" si="5"/>
        <v>Valid</v>
      </c>
      <c r="AE899" s="16" t="str">
        <f t="shared" si="6"/>
        <v>Valid</v>
      </c>
      <c r="AF899" s="16" t="str">
        <f t="shared" ref="AF899:AG899" si="1809">IF(ISNUMBER(B899),"Valid","Invalid")</f>
        <v>Valid</v>
      </c>
      <c r="AG899" s="16" t="str">
        <f t="shared" si="1809"/>
        <v>Valid</v>
      </c>
      <c r="AH899" s="16" t="str">
        <f t="shared" ref="AH899:AI899" si="1810">IF(OR(B899="",ISBLANK(B899)),"Missing","Valid")</f>
        <v>Valid</v>
      </c>
      <c r="AI899" s="16" t="str">
        <f t="shared" si="1810"/>
        <v>Valid</v>
      </c>
      <c r="AJ899" s="16" t="b">
        <v>0</v>
      </c>
      <c r="AK899" s="16" t="b">
        <v>0</v>
      </c>
      <c r="AL899" s="16" t="b">
        <v>0</v>
      </c>
      <c r="AM899" s="16" t="b">
        <v>0</v>
      </c>
      <c r="AN899" s="16" t="b">
        <v>0</v>
      </c>
      <c r="AO899" s="16" t="b">
        <v>0</v>
      </c>
      <c r="AP899" s="16" t="b">
        <v>0</v>
      </c>
      <c r="AQ899" s="17">
        <f t="shared" si="9"/>
        <v>0.05</v>
      </c>
      <c r="AR899" s="12">
        <f t="shared" si="10"/>
        <v>6789.27</v>
      </c>
      <c r="AS899" s="18">
        <f t="shared" si="11"/>
        <v>0</v>
      </c>
      <c r="AT899" s="12">
        <f t="shared" si="12"/>
        <v>1162.8400000000001</v>
      </c>
      <c r="AU899" s="18">
        <f t="shared" si="13"/>
        <v>0</v>
      </c>
      <c r="AV899" s="19">
        <f t="shared" si="14"/>
        <v>0.17127614603631908</v>
      </c>
      <c r="AW899" s="20" t="str">
        <f t="shared" si="15"/>
        <v>April</v>
      </c>
      <c r="AX899" s="21">
        <f t="shared" si="16"/>
        <v>2025</v>
      </c>
    </row>
    <row r="900" spans="1:50" ht="15.75" customHeight="1">
      <c r="A900" s="10" t="s">
        <v>2786</v>
      </c>
      <c r="B900" s="11">
        <v>45445</v>
      </c>
      <c r="C900" s="11">
        <v>45451</v>
      </c>
      <c r="D900" s="10" t="s">
        <v>2787</v>
      </c>
      <c r="E900" s="10" t="s">
        <v>100</v>
      </c>
      <c r="F900" s="10" t="s">
        <v>53</v>
      </c>
      <c r="G900" s="10" t="s">
        <v>54</v>
      </c>
      <c r="H900" s="10" t="s">
        <v>380</v>
      </c>
      <c r="I900" s="10" t="s">
        <v>381</v>
      </c>
      <c r="J900" s="10" t="s">
        <v>70</v>
      </c>
      <c r="K900" s="10" t="s">
        <v>71</v>
      </c>
      <c r="L900" s="10" t="s">
        <v>2788</v>
      </c>
      <c r="M900" s="10" t="s">
        <v>79</v>
      </c>
      <c r="N900" s="12">
        <v>4</v>
      </c>
      <c r="O900" s="12">
        <v>1536.7</v>
      </c>
      <c r="P900" s="12">
        <v>0.2</v>
      </c>
      <c r="Q900" s="12">
        <v>4917.4399999999996</v>
      </c>
      <c r="R900" s="12">
        <v>3846.77</v>
      </c>
      <c r="S900" s="12">
        <v>1070.67</v>
      </c>
      <c r="T900" s="10" t="s">
        <v>61</v>
      </c>
      <c r="U900" s="13" t="s">
        <v>62</v>
      </c>
      <c r="V900" s="14" t="e">
        <f t="shared" ca="1" si="0"/>
        <v>#NAME?</v>
      </c>
      <c r="W900" s="10" t="str">
        <f ca="1">IFERROR(__xludf.DUMMYFUNCTION("IF(COUNTIF($A:$A,A894)=1,
""Unique"",
IF(COUNTUNIQUE(FILTER($V$2:$V$934,$A$2:$A$934=A894))&gt;1,
""Conflicting Duplicate"",
""Exact Duplicate""))"),"Unique")</f>
        <v>Unique</v>
      </c>
      <c r="X900" s="10" t="b">
        <f t="shared" ca="1" si="1"/>
        <v>1</v>
      </c>
      <c r="Y900" s="10" t="str">
        <f t="shared" si="2"/>
        <v>Unique</v>
      </c>
      <c r="Z900" s="10"/>
      <c r="AA900" s="10" t="str">
        <f t="shared" si="3"/>
        <v>Clean</v>
      </c>
      <c r="AB900" s="15" t="str">
        <f t="shared" si="4"/>
        <v>Valid</v>
      </c>
      <c r="AC900" s="15">
        <v>6</v>
      </c>
      <c r="AD900" s="16" t="str">
        <f t="shared" si="5"/>
        <v>Valid</v>
      </c>
      <c r="AE900" s="16" t="str">
        <f t="shared" si="6"/>
        <v>Valid</v>
      </c>
      <c r="AF900" s="16" t="str">
        <f t="shared" ref="AF900:AG900" si="1811">IF(ISNUMBER(B900),"Valid","Invalid")</f>
        <v>Valid</v>
      </c>
      <c r="AG900" s="16" t="str">
        <f t="shared" si="1811"/>
        <v>Valid</v>
      </c>
      <c r="AH900" s="16" t="str">
        <f t="shared" ref="AH900:AI900" si="1812">IF(OR(B900="",ISBLANK(B900)),"Missing","Valid")</f>
        <v>Valid</v>
      </c>
      <c r="AI900" s="16" t="str">
        <f t="shared" si="1812"/>
        <v>Valid</v>
      </c>
      <c r="AJ900" s="16" t="b">
        <v>0</v>
      </c>
      <c r="AK900" s="16" t="b">
        <v>0</v>
      </c>
      <c r="AL900" s="16" t="b">
        <v>0</v>
      </c>
      <c r="AM900" s="16" t="b">
        <v>0</v>
      </c>
      <c r="AN900" s="16" t="b">
        <v>0</v>
      </c>
      <c r="AO900" s="16" t="b">
        <v>0</v>
      </c>
      <c r="AP900" s="16" t="b">
        <v>0</v>
      </c>
      <c r="AQ900" s="17">
        <f t="shared" si="9"/>
        <v>0.2</v>
      </c>
      <c r="AR900" s="12">
        <f t="shared" si="10"/>
        <v>4917.4400000000005</v>
      </c>
      <c r="AS900" s="18">
        <f t="shared" si="11"/>
        <v>0</v>
      </c>
      <c r="AT900" s="12">
        <f t="shared" si="12"/>
        <v>1070.6700000000005</v>
      </c>
      <c r="AU900" s="18">
        <f t="shared" si="13"/>
        <v>0</v>
      </c>
      <c r="AV900" s="19">
        <f t="shared" si="14"/>
        <v>0.21772914361944434</v>
      </c>
      <c r="AW900" s="20" t="str">
        <f t="shared" si="15"/>
        <v>June</v>
      </c>
      <c r="AX900" s="21">
        <f t="shared" si="16"/>
        <v>2024</v>
      </c>
    </row>
    <row r="901" spans="1:50" ht="15.75" customHeight="1">
      <c r="A901" s="10" t="s">
        <v>2789</v>
      </c>
      <c r="B901" s="11">
        <v>45804</v>
      </c>
      <c r="C901" s="11">
        <v>45811</v>
      </c>
      <c r="D901" s="10" t="s">
        <v>2790</v>
      </c>
      <c r="E901" s="10" t="s">
        <v>52</v>
      </c>
      <c r="F901" s="10" t="s">
        <v>53</v>
      </c>
      <c r="G901" s="10" t="s">
        <v>54</v>
      </c>
      <c r="H901" s="10" t="s">
        <v>151</v>
      </c>
      <c r="I901" s="10" t="s">
        <v>152</v>
      </c>
      <c r="J901" s="10" t="s">
        <v>70</v>
      </c>
      <c r="K901" s="10" t="s">
        <v>95</v>
      </c>
      <c r="L901" s="10" t="s">
        <v>2791</v>
      </c>
      <c r="M901" s="10" t="s">
        <v>79</v>
      </c>
      <c r="N901" s="12">
        <v>5</v>
      </c>
      <c r="O901" s="12">
        <v>881.08</v>
      </c>
      <c r="P901" s="12">
        <v>0.25</v>
      </c>
      <c r="Q901" s="12">
        <v>3304.05</v>
      </c>
      <c r="R901" s="12">
        <v>2279.41</v>
      </c>
      <c r="S901" s="12">
        <v>1024.6400000000001</v>
      </c>
      <c r="T901" s="10" t="s">
        <v>184</v>
      </c>
      <c r="U901" s="13" t="s">
        <v>97</v>
      </c>
      <c r="V901" s="14" t="e">
        <f t="shared" ca="1" si="0"/>
        <v>#NAME?</v>
      </c>
      <c r="W901" s="10" t="str">
        <f ca="1">IFERROR(__xludf.DUMMYFUNCTION("IF(COUNTIF($A:$A,A895)=1,
""Unique"",
IF(COUNTUNIQUE(FILTER($V$2:$V$934,$A$2:$A$934=A895))&gt;1,
""Conflicting Duplicate"",
""Exact Duplicate""))"),"Unique")</f>
        <v>Unique</v>
      </c>
      <c r="X901" s="10" t="b">
        <f t="shared" ca="1" si="1"/>
        <v>1</v>
      </c>
      <c r="Y901" s="10" t="str">
        <f t="shared" si="2"/>
        <v>Unique</v>
      </c>
      <c r="Z901" s="10"/>
      <c r="AA901" s="10" t="str">
        <f t="shared" si="3"/>
        <v>Clean</v>
      </c>
      <c r="AB901" s="15" t="str">
        <f t="shared" si="4"/>
        <v>Valid</v>
      </c>
      <c r="AC901" s="15">
        <v>7</v>
      </c>
      <c r="AD901" s="16" t="str">
        <f t="shared" si="5"/>
        <v>Valid</v>
      </c>
      <c r="AE901" s="16" t="str">
        <f t="shared" si="6"/>
        <v>Valid</v>
      </c>
      <c r="AF901" s="16" t="str">
        <f t="shared" ref="AF901:AG901" si="1813">IF(ISNUMBER(B901),"Valid","Invalid")</f>
        <v>Valid</v>
      </c>
      <c r="AG901" s="16" t="str">
        <f t="shared" si="1813"/>
        <v>Valid</v>
      </c>
      <c r="AH901" s="16" t="str">
        <f t="shared" ref="AH901:AI901" si="1814">IF(OR(B901="",ISBLANK(B901)),"Missing","Valid")</f>
        <v>Valid</v>
      </c>
      <c r="AI901" s="16" t="str">
        <f t="shared" si="1814"/>
        <v>Valid</v>
      </c>
      <c r="AJ901" s="16" t="b">
        <v>0</v>
      </c>
      <c r="AK901" s="16" t="b">
        <v>0</v>
      </c>
      <c r="AL901" s="16" t="b">
        <v>0</v>
      </c>
      <c r="AM901" s="16" t="b">
        <v>0</v>
      </c>
      <c r="AN901" s="16" t="b">
        <v>0</v>
      </c>
      <c r="AO901" s="16" t="b">
        <v>0</v>
      </c>
      <c r="AP901" s="16" t="b">
        <v>0</v>
      </c>
      <c r="AQ901" s="17">
        <f t="shared" si="9"/>
        <v>0.25</v>
      </c>
      <c r="AR901" s="12">
        <f t="shared" si="10"/>
        <v>3304.05</v>
      </c>
      <c r="AS901" s="18">
        <f t="shared" si="11"/>
        <v>0</v>
      </c>
      <c r="AT901" s="12">
        <f t="shared" si="12"/>
        <v>1024.6400000000003</v>
      </c>
      <c r="AU901" s="18">
        <f t="shared" si="13"/>
        <v>0</v>
      </c>
      <c r="AV901" s="19">
        <f t="shared" si="14"/>
        <v>0.31011637233092726</v>
      </c>
      <c r="AW901" s="20" t="str">
        <f t="shared" si="15"/>
        <v>May</v>
      </c>
      <c r="AX901" s="21">
        <f t="shared" si="16"/>
        <v>2025</v>
      </c>
    </row>
    <row r="902" spans="1:50" ht="15.75" customHeight="1">
      <c r="A902" s="10" t="s">
        <v>1635</v>
      </c>
      <c r="B902" s="11">
        <v>45383</v>
      </c>
      <c r="C902" s="11">
        <v>45391</v>
      </c>
      <c r="D902" s="10" t="s">
        <v>1636</v>
      </c>
      <c r="E902" s="10" t="s">
        <v>143</v>
      </c>
      <c r="F902" s="10" t="s">
        <v>66</v>
      </c>
      <c r="G902" s="10" t="s">
        <v>67</v>
      </c>
      <c r="H902" s="10" t="s">
        <v>68</v>
      </c>
      <c r="I902" s="10" t="s">
        <v>69</v>
      </c>
      <c r="J902" s="10" t="s">
        <v>103</v>
      </c>
      <c r="K902" s="10" t="s">
        <v>109</v>
      </c>
      <c r="L902" s="10" t="s">
        <v>1637</v>
      </c>
      <c r="M902" s="10" t="s">
        <v>60</v>
      </c>
      <c r="N902" s="12">
        <v>6</v>
      </c>
      <c r="O902" s="12">
        <v>826.93</v>
      </c>
      <c r="P902" s="12">
        <v>0.1</v>
      </c>
      <c r="Q902" s="12">
        <v>4465.42</v>
      </c>
      <c r="R902" s="12">
        <v>3377.1</v>
      </c>
      <c r="S902" s="12">
        <v>1088.32</v>
      </c>
      <c r="T902" s="10" t="s">
        <v>61</v>
      </c>
      <c r="U902" s="13" t="s">
        <v>62</v>
      </c>
      <c r="V902" s="14" t="e">
        <f t="shared" ca="1" si="0"/>
        <v>#NAME?</v>
      </c>
      <c r="W902" s="10" t="str">
        <f ca="1">IFERROR(__xludf.DUMMYFUNCTION("IF(COUNTIF($A:$A,A896)=1,
""Unique"",
IF(COUNTUNIQUE(FILTER($V$2:$V$934,$A$2:$A$934=A896))&gt;1,
""Conflicting Duplicate"",
""Exact Duplicate""))"),"Unique")</f>
        <v>Unique</v>
      </c>
      <c r="X902" s="10" t="b">
        <f t="shared" ca="1" si="1"/>
        <v>1</v>
      </c>
      <c r="Y902" s="10" t="str">
        <f t="shared" si="2"/>
        <v>Duplicate Order ID</v>
      </c>
      <c r="Z902" s="10"/>
      <c r="AA902" s="10" t="str">
        <f t="shared" si="3"/>
        <v>Clean</v>
      </c>
      <c r="AB902" s="15" t="str">
        <f t="shared" si="4"/>
        <v>Valid</v>
      </c>
      <c r="AC902" s="15">
        <v>8</v>
      </c>
      <c r="AD902" s="16" t="str">
        <f t="shared" si="5"/>
        <v>Valid</v>
      </c>
      <c r="AE902" s="16" t="str">
        <f t="shared" si="6"/>
        <v>Valid</v>
      </c>
      <c r="AF902" s="16" t="str">
        <f t="shared" ref="AF902:AG902" si="1815">IF(ISNUMBER(B902),"Valid","Invalid")</f>
        <v>Valid</v>
      </c>
      <c r="AG902" s="16" t="str">
        <f t="shared" si="1815"/>
        <v>Valid</v>
      </c>
      <c r="AH902" s="16" t="str">
        <f t="shared" ref="AH902:AI902" si="1816">IF(OR(B902="",ISBLANK(B902)),"Missing","Valid")</f>
        <v>Valid</v>
      </c>
      <c r="AI902" s="16" t="str">
        <f t="shared" si="1816"/>
        <v>Valid</v>
      </c>
      <c r="AJ902" s="16" t="b">
        <v>0</v>
      </c>
      <c r="AK902" s="16" t="b">
        <v>0</v>
      </c>
      <c r="AL902" s="16" t="b">
        <v>0</v>
      </c>
      <c r="AM902" s="16" t="b">
        <v>0</v>
      </c>
      <c r="AN902" s="16" t="b">
        <v>0</v>
      </c>
      <c r="AO902" s="16" t="b">
        <v>0</v>
      </c>
      <c r="AP902" s="16" t="b">
        <v>0</v>
      </c>
      <c r="AQ902" s="17">
        <f t="shared" si="9"/>
        <v>0.1</v>
      </c>
      <c r="AR902" s="12">
        <f t="shared" si="10"/>
        <v>4465.4220000000005</v>
      </c>
      <c r="AS902" s="18">
        <f t="shared" si="11"/>
        <v>-2.0000000004074536E-3</v>
      </c>
      <c r="AT902" s="12">
        <f t="shared" si="12"/>
        <v>1088.3220000000006</v>
      </c>
      <c r="AU902" s="18">
        <f t="shared" si="13"/>
        <v>-2.0000000006348273E-3</v>
      </c>
      <c r="AV902" s="19">
        <f t="shared" si="14"/>
        <v>0.24372209390288319</v>
      </c>
      <c r="AW902" s="20" t="str">
        <f t="shared" si="15"/>
        <v>April</v>
      </c>
      <c r="AX902" s="21">
        <f t="shared" si="16"/>
        <v>2024</v>
      </c>
    </row>
    <row r="903" spans="1:50" ht="15.75" customHeight="1">
      <c r="A903" s="10" t="s">
        <v>1917</v>
      </c>
      <c r="B903" s="11">
        <v>45521</v>
      </c>
      <c r="C903" s="11">
        <v>45528</v>
      </c>
      <c r="D903" s="10" t="s">
        <v>1918</v>
      </c>
      <c r="E903" s="10" t="s">
        <v>91</v>
      </c>
      <c r="F903" s="10" t="s">
        <v>119</v>
      </c>
      <c r="G903" s="10" t="s">
        <v>67</v>
      </c>
      <c r="H903" s="10" t="s">
        <v>128</v>
      </c>
      <c r="I903" s="10" t="s">
        <v>129</v>
      </c>
      <c r="J903" s="10" t="s">
        <v>103</v>
      </c>
      <c r="K903" s="10" t="s">
        <v>109</v>
      </c>
      <c r="L903" s="10" t="s">
        <v>1919</v>
      </c>
      <c r="M903" s="10" t="s">
        <v>73</v>
      </c>
      <c r="N903" s="12">
        <v>3</v>
      </c>
      <c r="O903" s="12">
        <v>1490.69</v>
      </c>
      <c r="P903" s="12">
        <v>0.25</v>
      </c>
      <c r="Q903" s="12">
        <v>3354.05</v>
      </c>
      <c r="R903" s="12">
        <v>2672.67</v>
      </c>
      <c r="S903" s="12">
        <v>681.38</v>
      </c>
      <c r="T903" s="10" t="s">
        <v>61</v>
      </c>
      <c r="U903" s="13" t="s">
        <v>62</v>
      </c>
      <c r="V903" s="14" t="e">
        <f t="shared" ca="1" si="0"/>
        <v>#NAME?</v>
      </c>
      <c r="W903" s="10" t="str">
        <f ca="1">IFERROR(__xludf.DUMMYFUNCTION("IF(COUNTIF($A:$A,A897)=1,
""Unique"",
IF(COUNTUNIQUE(FILTER($V$2:$V$934,$A$2:$A$934=A897))&gt;1,
""Conflicting Duplicate"",
""Exact Duplicate""))"),"Unique")</f>
        <v>Unique</v>
      </c>
      <c r="X903" s="10" t="b">
        <f t="shared" ca="1" si="1"/>
        <v>1</v>
      </c>
      <c r="Y903" s="10" t="str">
        <f t="shared" si="2"/>
        <v>Duplicate Order ID</v>
      </c>
      <c r="Z903" s="10"/>
      <c r="AA903" s="10" t="str">
        <f t="shared" si="3"/>
        <v>Clean</v>
      </c>
      <c r="AB903" s="15" t="str">
        <f t="shared" si="4"/>
        <v>Valid</v>
      </c>
      <c r="AC903" s="15">
        <v>7</v>
      </c>
      <c r="AD903" s="16" t="str">
        <f t="shared" si="5"/>
        <v>Valid</v>
      </c>
      <c r="AE903" s="16" t="str">
        <f t="shared" si="6"/>
        <v>Valid</v>
      </c>
      <c r="AF903" s="16" t="str">
        <f t="shared" ref="AF903:AG903" si="1817">IF(ISNUMBER(B903),"Valid","Invalid")</f>
        <v>Valid</v>
      </c>
      <c r="AG903" s="16" t="str">
        <f t="shared" si="1817"/>
        <v>Valid</v>
      </c>
      <c r="AH903" s="16" t="str">
        <f t="shared" ref="AH903:AI903" si="1818">IF(OR(B903="",ISBLANK(B903)),"Missing","Valid")</f>
        <v>Valid</v>
      </c>
      <c r="AI903" s="16" t="str">
        <f t="shared" si="1818"/>
        <v>Valid</v>
      </c>
      <c r="AJ903" s="16" t="b">
        <v>0</v>
      </c>
      <c r="AK903" s="16" t="b">
        <v>0</v>
      </c>
      <c r="AL903" s="16" t="b">
        <v>0</v>
      </c>
      <c r="AM903" s="16" t="b">
        <v>0</v>
      </c>
      <c r="AN903" s="16" t="b">
        <v>0</v>
      </c>
      <c r="AO903" s="16" t="b">
        <v>0</v>
      </c>
      <c r="AP903" s="16" t="b">
        <v>0</v>
      </c>
      <c r="AQ903" s="17">
        <f t="shared" si="9"/>
        <v>0.25</v>
      </c>
      <c r="AR903" s="12">
        <f t="shared" si="10"/>
        <v>3354.0524999999998</v>
      </c>
      <c r="AS903" s="18">
        <f t="shared" si="11"/>
        <v>-2.4999999995998223E-3</v>
      </c>
      <c r="AT903" s="12">
        <f t="shared" si="12"/>
        <v>681.38249999999971</v>
      </c>
      <c r="AU903" s="18">
        <f t="shared" si="13"/>
        <v>-2.4999999997135092E-3</v>
      </c>
      <c r="AV903" s="19">
        <f t="shared" si="14"/>
        <v>0.20315200790685289</v>
      </c>
      <c r="AW903" s="20" t="str">
        <f t="shared" si="15"/>
        <v>August</v>
      </c>
      <c r="AX903" s="21">
        <f t="shared" si="16"/>
        <v>2024</v>
      </c>
    </row>
    <row r="904" spans="1:50" ht="15.75" customHeight="1">
      <c r="A904" s="10" t="s">
        <v>2194</v>
      </c>
      <c r="B904" s="11">
        <v>45870</v>
      </c>
      <c r="C904" s="11">
        <v>45878</v>
      </c>
      <c r="D904" s="10" t="s">
        <v>1167</v>
      </c>
      <c r="E904" s="10" t="s">
        <v>76</v>
      </c>
      <c r="F904" s="10" t="s">
        <v>53</v>
      </c>
      <c r="G904" s="10" t="s">
        <v>83</v>
      </c>
      <c r="H904" s="10" t="s">
        <v>113</v>
      </c>
      <c r="I904" s="10" t="s">
        <v>114</v>
      </c>
      <c r="J904" s="10" t="s">
        <v>57</v>
      </c>
      <c r="K904" s="10" t="s">
        <v>153</v>
      </c>
      <c r="L904" s="10" t="s">
        <v>2195</v>
      </c>
      <c r="M904" s="10" t="s">
        <v>79</v>
      </c>
      <c r="N904" s="12">
        <v>5</v>
      </c>
      <c r="O904" s="12">
        <v>2736.24</v>
      </c>
      <c r="P904" s="12">
        <v>0.15</v>
      </c>
      <c r="Q904" s="12">
        <v>11629.02</v>
      </c>
      <c r="R904" s="12">
        <v>9627.2099999999991</v>
      </c>
      <c r="S904" s="12">
        <v>2001.81</v>
      </c>
      <c r="T904" s="10" t="s">
        <v>61</v>
      </c>
      <c r="U904" s="13" t="s">
        <v>62</v>
      </c>
      <c r="V904" s="14" t="e">
        <f t="shared" ca="1" si="0"/>
        <v>#NAME?</v>
      </c>
      <c r="W904" s="10" t="str">
        <f ca="1">IFERROR(__xludf.DUMMYFUNCTION("IF(COUNTIF($A:$A,A898)=1,
""Unique"",
IF(COUNTUNIQUE(FILTER($V$2:$V$934,$A$2:$A$934=A898))&gt;1,
""Conflicting Duplicate"",
""Exact Duplicate""))"),"Unique")</f>
        <v>Unique</v>
      </c>
      <c r="X904" s="10" t="b">
        <f t="shared" ca="1" si="1"/>
        <v>1</v>
      </c>
      <c r="Y904" s="10" t="str">
        <f t="shared" si="2"/>
        <v>Duplicate Order ID</v>
      </c>
      <c r="Z904" s="10"/>
      <c r="AA904" s="10" t="str">
        <f t="shared" si="3"/>
        <v>Clean</v>
      </c>
      <c r="AB904" s="15" t="str">
        <f t="shared" si="4"/>
        <v>Valid</v>
      </c>
      <c r="AC904" s="15">
        <v>8</v>
      </c>
      <c r="AD904" s="16" t="str">
        <f t="shared" si="5"/>
        <v>Valid</v>
      </c>
      <c r="AE904" s="16" t="str">
        <f t="shared" si="6"/>
        <v>Valid</v>
      </c>
      <c r="AF904" s="16" t="str">
        <f t="shared" ref="AF904:AG904" si="1819">IF(ISNUMBER(B904),"Valid","Invalid")</f>
        <v>Valid</v>
      </c>
      <c r="AG904" s="16" t="str">
        <f t="shared" si="1819"/>
        <v>Valid</v>
      </c>
      <c r="AH904" s="16" t="str">
        <f t="shared" ref="AH904:AI904" si="1820">IF(OR(B904="",ISBLANK(B904)),"Missing","Valid")</f>
        <v>Valid</v>
      </c>
      <c r="AI904" s="16" t="str">
        <f t="shared" si="1820"/>
        <v>Valid</v>
      </c>
      <c r="AJ904" s="16" t="b">
        <v>0</v>
      </c>
      <c r="AK904" s="16" t="b">
        <v>0</v>
      </c>
      <c r="AL904" s="16" t="b">
        <v>0</v>
      </c>
      <c r="AM904" s="16" t="b">
        <v>0</v>
      </c>
      <c r="AN904" s="16" t="b">
        <v>0</v>
      </c>
      <c r="AO904" s="16" t="b">
        <v>0</v>
      </c>
      <c r="AP904" s="16" t="b">
        <v>0</v>
      </c>
      <c r="AQ904" s="17">
        <f t="shared" si="9"/>
        <v>0.15</v>
      </c>
      <c r="AR904" s="12">
        <f t="shared" si="10"/>
        <v>11629.019999999999</v>
      </c>
      <c r="AS904" s="18">
        <f t="shared" si="11"/>
        <v>0</v>
      </c>
      <c r="AT904" s="12">
        <f t="shared" si="12"/>
        <v>2001.8099999999995</v>
      </c>
      <c r="AU904" s="18">
        <f t="shared" si="13"/>
        <v>0</v>
      </c>
      <c r="AV904" s="19">
        <f t="shared" si="14"/>
        <v>0.17213918283741877</v>
      </c>
      <c r="AW904" s="20" t="str">
        <f t="shared" si="15"/>
        <v>August</v>
      </c>
      <c r="AX904" s="21">
        <f t="shared" si="16"/>
        <v>2025</v>
      </c>
    </row>
    <row r="905" spans="1:50" ht="15.75" customHeight="1">
      <c r="A905" s="10" t="s">
        <v>2223</v>
      </c>
      <c r="B905" s="11">
        <v>45364</v>
      </c>
      <c r="C905" s="11">
        <v>45371</v>
      </c>
      <c r="D905" s="10" t="s">
        <v>2224</v>
      </c>
      <c r="E905" s="10" t="s">
        <v>143</v>
      </c>
      <c r="F905" s="10" t="s">
        <v>124</v>
      </c>
      <c r="G905" s="10" t="s">
        <v>83</v>
      </c>
      <c r="H905" s="10" t="s">
        <v>277</v>
      </c>
      <c r="I905" s="10" t="s">
        <v>278</v>
      </c>
      <c r="J905" s="10" t="s">
        <v>70</v>
      </c>
      <c r="K905" s="10" t="s">
        <v>187</v>
      </c>
      <c r="L905" s="10" t="s">
        <v>2225</v>
      </c>
      <c r="M905" s="10" t="s">
        <v>234</v>
      </c>
      <c r="N905" s="12">
        <v>1</v>
      </c>
      <c r="O905" s="12">
        <v>2825.63</v>
      </c>
      <c r="P905" s="12">
        <v>0.15</v>
      </c>
      <c r="Q905" s="12">
        <v>2401.79</v>
      </c>
      <c r="R905" s="12">
        <v>1820.34</v>
      </c>
      <c r="S905" s="12">
        <v>581.45000000000005</v>
      </c>
      <c r="T905" s="10" t="s">
        <v>61</v>
      </c>
      <c r="U905" s="13" t="s">
        <v>62</v>
      </c>
      <c r="V905" s="14" t="e">
        <f t="shared" ca="1" si="0"/>
        <v>#NAME?</v>
      </c>
      <c r="W905" s="10" t="str">
        <f ca="1">IFERROR(__xludf.DUMMYFUNCTION("IF(COUNTIF($A:$A,A899)=1,
""Unique"",
IF(COUNTUNIQUE(FILTER($V$2:$V$934,$A$2:$A$934=A899))&gt;1,
""Conflicting Duplicate"",
""Exact Duplicate""))"),"Unique")</f>
        <v>Unique</v>
      </c>
      <c r="X905" s="10" t="b">
        <f t="shared" ca="1" si="1"/>
        <v>1</v>
      </c>
      <c r="Y905" s="10" t="str">
        <f t="shared" si="2"/>
        <v>Duplicate Order ID</v>
      </c>
      <c r="Z905" s="10"/>
      <c r="AA905" s="10" t="str">
        <f t="shared" si="3"/>
        <v>Warning</v>
      </c>
      <c r="AB905" s="15" t="str">
        <f t="shared" si="4"/>
        <v>Valid</v>
      </c>
      <c r="AC905" s="15">
        <v>7</v>
      </c>
      <c r="AD905" s="16" t="str">
        <f t="shared" si="5"/>
        <v>Valid</v>
      </c>
      <c r="AE905" s="16" t="str">
        <f t="shared" si="6"/>
        <v>Valid</v>
      </c>
      <c r="AF905" s="16" t="str">
        <f t="shared" ref="AF905:AG905" si="1821">IF(ISNUMBER(B905),"Valid","Invalid")</f>
        <v>Valid</v>
      </c>
      <c r="AG905" s="16" t="str">
        <f t="shared" si="1821"/>
        <v>Valid</v>
      </c>
      <c r="AH905" s="16" t="str">
        <f t="shared" ref="AH905:AI905" si="1822">IF(OR(B905="",ISBLANK(B905)),"Missing","Valid")</f>
        <v>Valid</v>
      </c>
      <c r="AI905" s="16" t="str">
        <f t="shared" si="1822"/>
        <v>Valid</v>
      </c>
      <c r="AJ905" s="16" t="b">
        <v>0</v>
      </c>
      <c r="AK905" s="16" t="b">
        <v>1</v>
      </c>
      <c r="AL905" s="16" t="b">
        <v>0</v>
      </c>
      <c r="AM905" s="16" t="b">
        <v>0</v>
      </c>
      <c r="AN905" s="16" t="b">
        <v>0</v>
      </c>
      <c r="AO905" s="16" t="b">
        <v>0</v>
      </c>
      <c r="AP905" s="16" t="b">
        <v>1</v>
      </c>
      <c r="AQ905" s="17">
        <f t="shared" si="9"/>
        <v>0.15</v>
      </c>
      <c r="AR905" s="12">
        <f t="shared" si="10"/>
        <v>2401.7855</v>
      </c>
      <c r="AS905" s="18">
        <f t="shared" si="11"/>
        <v>4.500000000007276E-3</v>
      </c>
      <c r="AT905" s="12">
        <f t="shared" si="12"/>
        <v>581.44550000000004</v>
      </c>
      <c r="AU905" s="18">
        <f t="shared" si="13"/>
        <v>4.500000000007276E-3</v>
      </c>
      <c r="AV905" s="19">
        <f t="shared" si="14"/>
        <v>0.24208885431276025</v>
      </c>
      <c r="AW905" s="20" t="str">
        <f t="shared" si="15"/>
        <v>March</v>
      </c>
      <c r="AX905" s="21">
        <f t="shared" si="16"/>
        <v>2024</v>
      </c>
    </row>
    <row r="906" spans="1:50" ht="15.75" customHeight="1">
      <c r="A906" s="10" t="s">
        <v>965</v>
      </c>
      <c r="B906" s="11">
        <v>45313</v>
      </c>
      <c r="C906" s="11">
        <v>45314</v>
      </c>
      <c r="D906" s="10" t="s">
        <v>966</v>
      </c>
      <c r="E906" s="10" t="s">
        <v>157</v>
      </c>
      <c r="F906" s="10" t="s">
        <v>66</v>
      </c>
      <c r="G906" s="10" t="s">
        <v>234</v>
      </c>
      <c r="H906" s="10" t="s">
        <v>195</v>
      </c>
      <c r="I906" s="10" t="s">
        <v>196</v>
      </c>
      <c r="J906" s="10" t="s">
        <v>70</v>
      </c>
      <c r="K906" s="10" t="s">
        <v>95</v>
      </c>
      <c r="L906" s="10" t="s">
        <v>967</v>
      </c>
      <c r="M906" s="10" t="s">
        <v>60</v>
      </c>
      <c r="N906" s="12">
        <v>6</v>
      </c>
      <c r="O906" s="12">
        <v>3391.53</v>
      </c>
      <c r="P906" s="12">
        <v>-0.14000000000000001</v>
      </c>
      <c r="Q906" s="12">
        <v>15261.89</v>
      </c>
      <c r="R906" s="12">
        <v>8413.5300000000007</v>
      </c>
      <c r="S906" s="12">
        <v>6848.36</v>
      </c>
      <c r="T906" s="10" t="s">
        <v>61</v>
      </c>
      <c r="U906" s="13" t="s">
        <v>62</v>
      </c>
      <c r="V906" s="14" t="e">
        <f t="shared" ca="1" si="0"/>
        <v>#NAME?</v>
      </c>
      <c r="W906" s="10" t="str">
        <f ca="1">IFERROR(__xludf.DUMMYFUNCTION("IF(COUNTIF($A:$A,A900)=1,
""Unique"",
IF(COUNTUNIQUE(FILTER($V$2:$V$934,$A$2:$A$934=A900))&gt;1,
""Conflicting Duplicate"",
""Exact Duplicate""))"),"Unique")</f>
        <v>Unique</v>
      </c>
      <c r="X906" s="10" t="b">
        <f t="shared" ca="1" si="1"/>
        <v>1</v>
      </c>
      <c r="Y906" s="10" t="str">
        <f t="shared" si="2"/>
        <v>Duplicate Order ID</v>
      </c>
      <c r="Z906" s="10"/>
      <c r="AA906" s="10" t="str">
        <f t="shared" si="3"/>
        <v>Invalid</v>
      </c>
      <c r="AB906" s="15" t="str">
        <f t="shared" si="4"/>
        <v>Valid</v>
      </c>
      <c r="AC906" s="15">
        <v>1</v>
      </c>
      <c r="AD906" s="16" t="str">
        <f t="shared" si="5"/>
        <v>Valid</v>
      </c>
      <c r="AE906" s="16" t="str">
        <f t="shared" si="6"/>
        <v>Valid</v>
      </c>
      <c r="AF906" s="16" t="str">
        <f t="shared" ref="AF906:AG906" si="1823">IF(ISNUMBER(B906),"Valid","Invalid")</f>
        <v>Valid</v>
      </c>
      <c r="AG906" s="16" t="str">
        <f t="shared" si="1823"/>
        <v>Valid</v>
      </c>
      <c r="AH906" s="16" t="str">
        <f t="shared" ref="AH906:AI906" si="1824">IF(OR(B906="",ISBLANK(B906)),"Missing","Valid")</f>
        <v>Valid</v>
      </c>
      <c r="AI906" s="16" t="str">
        <f t="shared" si="1824"/>
        <v>Valid</v>
      </c>
      <c r="AJ906" s="16" t="b">
        <v>1</v>
      </c>
      <c r="AK906" s="16" t="b">
        <v>0</v>
      </c>
      <c r="AL906" s="16" t="b">
        <v>0</v>
      </c>
      <c r="AM906" s="16" t="b">
        <v>1</v>
      </c>
      <c r="AN906" s="16" t="b">
        <v>0</v>
      </c>
      <c r="AO906" s="16" t="b">
        <v>0</v>
      </c>
      <c r="AP906" s="16" t="b">
        <v>1</v>
      </c>
      <c r="AQ906" s="17">
        <f t="shared" si="9"/>
        <v>-0.14000000000000001</v>
      </c>
      <c r="AR906" s="12">
        <f t="shared" si="10"/>
        <v>23198.065200000005</v>
      </c>
      <c r="AS906" s="18">
        <f t="shared" si="11"/>
        <v>-7936.1752000000051</v>
      </c>
      <c r="AT906" s="12">
        <f t="shared" si="12"/>
        <v>14784.535200000004</v>
      </c>
      <c r="AU906" s="18">
        <f t="shared" si="13"/>
        <v>-7936.1752000000042</v>
      </c>
      <c r="AV906" s="19">
        <f t="shared" si="14"/>
        <v>0.63731759836591895</v>
      </c>
      <c r="AW906" s="20" t="str">
        <f t="shared" si="15"/>
        <v>January</v>
      </c>
      <c r="AX906" s="21">
        <f t="shared" si="16"/>
        <v>2024</v>
      </c>
    </row>
    <row r="907" spans="1:50" ht="15.75" customHeight="1">
      <c r="A907" s="10" t="s">
        <v>2016</v>
      </c>
      <c r="B907" s="11">
        <v>45762</v>
      </c>
      <c r="C907" s="11">
        <v>45763</v>
      </c>
      <c r="D907" s="10" t="s">
        <v>2017</v>
      </c>
      <c r="E907" s="10" t="s">
        <v>161</v>
      </c>
      <c r="F907" s="10" t="s">
        <v>66</v>
      </c>
      <c r="G907" s="10" t="s">
        <v>83</v>
      </c>
      <c r="H907" s="10" t="s">
        <v>204</v>
      </c>
      <c r="I907" s="10" t="s">
        <v>205</v>
      </c>
      <c r="J907" s="10" t="s">
        <v>70</v>
      </c>
      <c r="K907" s="10" t="s">
        <v>86</v>
      </c>
      <c r="L907" s="10" t="s">
        <v>2018</v>
      </c>
      <c r="M907" s="10" t="s">
        <v>79</v>
      </c>
      <c r="N907" s="12">
        <v>5</v>
      </c>
      <c r="O907" s="12">
        <v>2850.53</v>
      </c>
      <c r="P907" s="12">
        <v>0</v>
      </c>
      <c r="Q907" s="12">
        <v>14252.65</v>
      </c>
      <c r="R907" s="12">
        <v>11558.31</v>
      </c>
      <c r="S907" s="12">
        <v>2694.34</v>
      </c>
      <c r="T907" s="10" t="s">
        <v>61</v>
      </c>
      <c r="U907" s="13" t="s">
        <v>62</v>
      </c>
      <c r="V907" s="14" t="e">
        <f t="shared" ca="1" si="0"/>
        <v>#NAME?</v>
      </c>
      <c r="W907" s="10" t="str">
        <f ca="1">IFERROR(__xludf.DUMMYFUNCTION("IF(COUNTIF($A:$A,A901)=1,
""Unique"",
IF(COUNTUNIQUE(FILTER($V$2:$V$934,$A$2:$A$934=A901))&gt;1,
""Conflicting Duplicate"",
""Exact Duplicate""))"),"Unique")</f>
        <v>Unique</v>
      </c>
      <c r="X907" s="10" t="b">
        <f t="shared" ca="1" si="1"/>
        <v>1</v>
      </c>
      <c r="Y907" s="10" t="str">
        <f t="shared" si="2"/>
        <v>Duplicate Order ID</v>
      </c>
      <c r="Z907" s="10"/>
      <c r="AA907" s="10" t="str">
        <f t="shared" si="3"/>
        <v>Clean</v>
      </c>
      <c r="AB907" s="15" t="str">
        <f t="shared" si="4"/>
        <v>Valid</v>
      </c>
      <c r="AC907" s="15">
        <v>1</v>
      </c>
      <c r="AD907" s="16" t="str">
        <f t="shared" si="5"/>
        <v>Valid</v>
      </c>
      <c r="AE907" s="16" t="str">
        <f t="shared" si="6"/>
        <v>Valid</v>
      </c>
      <c r="AF907" s="16" t="str">
        <f t="shared" ref="AF907:AG907" si="1825">IF(ISNUMBER(B907),"Valid","Invalid")</f>
        <v>Valid</v>
      </c>
      <c r="AG907" s="16" t="str">
        <f t="shared" si="1825"/>
        <v>Valid</v>
      </c>
      <c r="AH907" s="16" t="str">
        <f t="shared" ref="AH907:AI907" si="1826">IF(OR(B907="",ISBLANK(B907)),"Missing","Valid")</f>
        <v>Valid</v>
      </c>
      <c r="AI907" s="16" t="str">
        <f t="shared" si="1826"/>
        <v>Valid</v>
      </c>
      <c r="AJ907" s="16" t="b">
        <v>0</v>
      </c>
      <c r="AK907" s="16" t="b">
        <v>0</v>
      </c>
      <c r="AL907" s="16" t="b">
        <v>0</v>
      </c>
      <c r="AM907" s="16" t="b">
        <v>0</v>
      </c>
      <c r="AN907" s="16" t="b">
        <v>0</v>
      </c>
      <c r="AO907" s="16" t="b">
        <v>0</v>
      </c>
      <c r="AP907" s="16" t="b">
        <v>0</v>
      </c>
      <c r="AQ907" s="17">
        <f t="shared" si="9"/>
        <v>0</v>
      </c>
      <c r="AR907" s="12">
        <f t="shared" si="10"/>
        <v>14252.650000000001</v>
      </c>
      <c r="AS907" s="18">
        <f t="shared" si="11"/>
        <v>0</v>
      </c>
      <c r="AT907" s="12">
        <f t="shared" si="12"/>
        <v>2694.340000000002</v>
      </c>
      <c r="AU907" s="18">
        <f t="shared" si="13"/>
        <v>0</v>
      </c>
      <c r="AV907" s="19">
        <f t="shared" si="14"/>
        <v>0.18904133617257154</v>
      </c>
      <c r="AW907" s="20" t="str">
        <f t="shared" si="15"/>
        <v>April</v>
      </c>
      <c r="AX907" s="21">
        <f t="shared" si="16"/>
        <v>2025</v>
      </c>
    </row>
    <row r="908" spans="1:50" ht="15.75" customHeight="1">
      <c r="A908" s="10" t="s">
        <v>2296</v>
      </c>
      <c r="B908" s="11">
        <v>45794</v>
      </c>
      <c r="C908" s="11">
        <v>45802</v>
      </c>
      <c r="D908" s="10" t="s">
        <v>2297</v>
      </c>
      <c r="E908" s="10" t="s">
        <v>91</v>
      </c>
      <c r="F908" s="10" t="s">
        <v>119</v>
      </c>
      <c r="G908" s="10" t="s">
        <v>83</v>
      </c>
      <c r="H908" s="10" t="s">
        <v>277</v>
      </c>
      <c r="I908" s="10" t="s">
        <v>278</v>
      </c>
      <c r="J908" s="10" t="s">
        <v>103</v>
      </c>
      <c r="K908" s="10" t="s">
        <v>304</v>
      </c>
      <c r="L908" s="10" t="s">
        <v>2298</v>
      </c>
      <c r="M908" s="10" t="s">
        <v>73</v>
      </c>
      <c r="N908" s="12">
        <v>6</v>
      </c>
      <c r="O908" s="12">
        <v>1810.63</v>
      </c>
      <c r="P908" s="12">
        <v>0.15</v>
      </c>
      <c r="Q908" s="12">
        <v>9234.2099999999991</v>
      </c>
      <c r="R908" s="12">
        <v>5516.52</v>
      </c>
      <c r="S908" s="12">
        <v>3717.69</v>
      </c>
      <c r="T908" s="10" t="s">
        <v>61</v>
      </c>
      <c r="U908" s="13" t="s">
        <v>62</v>
      </c>
      <c r="V908" s="14" t="e">
        <f t="shared" ca="1" si="0"/>
        <v>#NAME?</v>
      </c>
      <c r="W908" s="10" t="str">
        <f ca="1">IFERROR(__xludf.DUMMYFUNCTION("IF(COUNTIF($A:$A,A902)=1,
""Unique"",
IF(COUNTUNIQUE(FILTER($V$2:$V$934,$A$2:$A$934=A902))&gt;1,
""Conflicting Duplicate"",
""Exact Duplicate""))"),"Exact Duplicate")</f>
        <v>Exact Duplicate</v>
      </c>
      <c r="X908" s="10" t="b">
        <f t="shared" ca="1" si="1"/>
        <v>1</v>
      </c>
      <c r="Y908" s="10" t="str">
        <f t="shared" si="2"/>
        <v>Duplicate Order ID</v>
      </c>
      <c r="Z908" s="10"/>
      <c r="AA908" s="10" t="str">
        <f t="shared" si="3"/>
        <v>Clean</v>
      </c>
      <c r="AB908" s="15" t="str">
        <f t="shared" si="4"/>
        <v>Valid</v>
      </c>
      <c r="AC908" s="15">
        <v>8</v>
      </c>
      <c r="AD908" s="16" t="str">
        <f t="shared" si="5"/>
        <v>Valid</v>
      </c>
      <c r="AE908" s="16" t="str">
        <f t="shared" si="6"/>
        <v>Valid</v>
      </c>
      <c r="AF908" s="16" t="str">
        <f t="shared" ref="AF908:AG908" si="1827">IF(ISNUMBER(B908),"Valid","Invalid")</f>
        <v>Valid</v>
      </c>
      <c r="AG908" s="16" t="str">
        <f t="shared" si="1827"/>
        <v>Valid</v>
      </c>
      <c r="AH908" s="16" t="str">
        <f t="shared" ref="AH908:AI908" si="1828">IF(OR(B908="",ISBLANK(B908)),"Missing","Valid")</f>
        <v>Valid</v>
      </c>
      <c r="AI908" s="16" t="str">
        <f t="shared" si="1828"/>
        <v>Valid</v>
      </c>
      <c r="AJ908" s="16" t="b">
        <v>0</v>
      </c>
      <c r="AK908" s="16" t="b">
        <v>0</v>
      </c>
      <c r="AL908" s="16" t="b">
        <v>0</v>
      </c>
      <c r="AM908" s="16" t="b">
        <v>0</v>
      </c>
      <c r="AN908" s="16" t="b">
        <v>0</v>
      </c>
      <c r="AO908" s="16" t="b">
        <v>0</v>
      </c>
      <c r="AP908" s="16" t="b">
        <v>0</v>
      </c>
      <c r="AQ908" s="17">
        <f t="shared" si="9"/>
        <v>0.15</v>
      </c>
      <c r="AR908" s="12">
        <f t="shared" si="10"/>
        <v>9234.2129999999997</v>
      </c>
      <c r="AS908" s="18">
        <f t="shared" si="11"/>
        <v>-3.0000000006111804E-3</v>
      </c>
      <c r="AT908" s="12">
        <f t="shared" si="12"/>
        <v>3717.6929999999993</v>
      </c>
      <c r="AU908" s="18">
        <f t="shared" si="13"/>
        <v>-2.9999999992469384E-3</v>
      </c>
      <c r="AV908" s="19">
        <f t="shared" si="14"/>
        <v>0.40259987505161504</v>
      </c>
      <c r="AW908" s="20" t="str">
        <f t="shared" si="15"/>
        <v>May</v>
      </c>
      <c r="AX908" s="21">
        <f t="shared" si="16"/>
        <v>2025</v>
      </c>
    </row>
    <row r="909" spans="1:50" ht="15.75" customHeight="1">
      <c r="A909" s="10" t="s">
        <v>539</v>
      </c>
      <c r="B909" s="11">
        <v>45639</v>
      </c>
      <c r="C909" s="11">
        <v>45644</v>
      </c>
      <c r="D909" s="10" t="s">
        <v>540</v>
      </c>
      <c r="E909" s="10" t="s">
        <v>52</v>
      </c>
      <c r="F909" s="10" t="s">
        <v>53</v>
      </c>
      <c r="G909" s="10" t="s">
        <v>92</v>
      </c>
      <c r="H909" s="10" t="s">
        <v>219</v>
      </c>
      <c r="I909" s="10" t="s">
        <v>220</v>
      </c>
      <c r="J909" s="10" t="s">
        <v>103</v>
      </c>
      <c r="K909" s="10" t="s">
        <v>200</v>
      </c>
      <c r="L909" s="10" t="s">
        <v>541</v>
      </c>
      <c r="M909" s="10" t="s">
        <v>60</v>
      </c>
      <c r="N909" s="12">
        <v>8</v>
      </c>
      <c r="O909" s="12">
        <v>3372.15</v>
      </c>
      <c r="P909" s="12">
        <v>0.15</v>
      </c>
      <c r="Q909" s="12">
        <v>22930.62</v>
      </c>
      <c r="R909" s="12">
        <v>16875.55</v>
      </c>
      <c r="S909" s="12">
        <v>6055.07</v>
      </c>
      <c r="T909" s="10" t="s">
        <v>61</v>
      </c>
      <c r="U909" s="13" t="s">
        <v>62</v>
      </c>
      <c r="V909" s="14" t="e">
        <f t="shared" ca="1" si="0"/>
        <v>#NAME?</v>
      </c>
      <c r="W909" s="10" t="str">
        <f ca="1">IFERROR(__xludf.DUMMYFUNCTION("IF(COUNTIF($A:$A,A903)=1,
""Unique"",
IF(COUNTUNIQUE(FILTER($V$2:$V$934,$A$2:$A$934=A903))&gt;1,
""Conflicting Duplicate"",
""Exact Duplicate""))"),"Exact Duplicate")</f>
        <v>Exact Duplicate</v>
      </c>
      <c r="X909" s="10" t="b">
        <f t="shared" ca="1" si="1"/>
        <v>1</v>
      </c>
      <c r="Y909" s="10" t="str">
        <f t="shared" si="2"/>
        <v>Duplicate Order ID</v>
      </c>
      <c r="Z909" s="10"/>
      <c r="AA909" s="10" t="str">
        <f t="shared" si="3"/>
        <v>Clean</v>
      </c>
      <c r="AB909" s="15" t="str">
        <f t="shared" si="4"/>
        <v>Valid</v>
      </c>
      <c r="AC909" s="15">
        <v>5</v>
      </c>
      <c r="AD909" s="16" t="str">
        <f t="shared" si="5"/>
        <v>Valid</v>
      </c>
      <c r="AE909" s="16" t="str">
        <f t="shared" si="6"/>
        <v>Valid</v>
      </c>
      <c r="AF909" s="16" t="str">
        <f t="shared" ref="AF909:AG909" si="1829">IF(ISNUMBER(B909),"Valid","Invalid")</f>
        <v>Valid</v>
      </c>
      <c r="AG909" s="16" t="str">
        <f t="shared" si="1829"/>
        <v>Valid</v>
      </c>
      <c r="AH909" s="16" t="str">
        <f t="shared" ref="AH909:AI909" si="1830">IF(OR(B909="",ISBLANK(B909)),"Missing","Valid")</f>
        <v>Valid</v>
      </c>
      <c r="AI909" s="16" t="str">
        <f t="shared" si="1830"/>
        <v>Valid</v>
      </c>
      <c r="AJ909" s="16" t="b">
        <v>0</v>
      </c>
      <c r="AK909" s="16" t="b">
        <v>0</v>
      </c>
      <c r="AL909" s="16" t="b">
        <v>0</v>
      </c>
      <c r="AM909" s="16" t="b">
        <v>0</v>
      </c>
      <c r="AN909" s="16" t="b">
        <v>0</v>
      </c>
      <c r="AO909" s="16" t="b">
        <v>0</v>
      </c>
      <c r="AP909" s="16" t="b">
        <v>0</v>
      </c>
      <c r="AQ909" s="17">
        <f t="shared" si="9"/>
        <v>0.15</v>
      </c>
      <c r="AR909" s="12">
        <f t="shared" si="10"/>
        <v>22930.62</v>
      </c>
      <c r="AS909" s="18">
        <f t="shared" si="11"/>
        <v>0</v>
      </c>
      <c r="AT909" s="12">
        <f t="shared" si="12"/>
        <v>6055.07</v>
      </c>
      <c r="AU909" s="18">
        <f t="shared" si="13"/>
        <v>0</v>
      </c>
      <c r="AV909" s="19">
        <f t="shared" si="14"/>
        <v>0.26406045715292475</v>
      </c>
      <c r="AW909" s="20" t="str">
        <f t="shared" si="15"/>
        <v>December</v>
      </c>
      <c r="AX909" s="21">
        <f t="shared" si="16"/>
        <v>2024</v>
      </c>
    </row>
    <row r="910" spans="1:50" ht="15.75" customHeight="1">
      <c r="A910" s="10" t="s">
        <v>2267</v>
      </c>
      <c r="B910" s="11">
        <v>45908</v>
      </c>
      <c r="C910" s="11">
        <v>45909</v>
      </c>
      <c r="D910" s="10" t="s">
        <v>173</v>
      </c>
      <c r="E910" s="10" t="s">
        <v>294</v>
      </c>
      <c r="F910" s="10" t="s">
        <v>119</v>
      </c>
      <c r="G910" s="10" t="s">
        <v>92</v>
      </c>
      <c r="H910" s="10" t="s">
        <v>209</v>
      </c>
      <c r="I910" s="10" t="s">
        <v>210</v>
      </c>
      <c r="J910" s="10" t="s">
        <v>57</v>
      </c>
      <c r="K910" s="10" t="s">
        <v>77</v>
      </c>
      <c r="L910" s="10" t="s">
        <v>2268</v>
      </c>
      <c r="M910" s="10" t="s">
        <v>73</v>
      </c>
      <c r="N910" s="12">
        <v>2</v>
      </c>
      <c r="O910" s="12">
        <v>2372.41</v>
      </c>
      <c r="P910" s="12">
        <v>0.2</v>
      </c>
      <c r="Q910" s="12">
        <v>3795.86</v>
      </c>
      <c r="R910" s="12">
        <v>2264.92</v>
      </c>
      <c r="S910" s="12">
        <v>1530.94</v>
      </c>
      <c r="T910" s="10" t="s">
        <v>61</v>
      </c>
      <c r="U910" s="13" t="s">
        <v>62</v>
      </c>
      <c r="V910" s="14" t="e">
        <f t="shared" ca="1" si="0"/>
        <v>#NAME?</v>
      </c>
      <c r="W910" s="10" t="str">
        <f ca="1">IFERROR(__xludf.DUMMYFUNCTION("IF(COUNTIF($A:$A,A904)=1,
""Unique"",
IF(COUNTUNIQUE(FILTER($V$2:$V$934,$A$2:$A$934=A904))&gt;1,
""Conflicting Duplicate"",
""Exact Duplicate""))"),"Exact Duplicate")</f>
        <v>Exact Duplicate</v>
      </c>
      <c r="X910" s="10" t="b">
        <f t="shared" ca="1" si="1"/>
        <v>1</v>
      </c>
      <c r="Y910" s="10" t="str">
        <f t="shared" si="2"/>
        <v>Duplicate Order ID</v>
      </c>
      <c r="Z910" s="10"/>
      <c r="AA910" s="10" t="str">
        <f t="shared" si="3"/>
        <v>Clean</v>
      </c>
      <c r="AB910" s="15" t="str">
        <f t="shared" si="4"/>
        <v>Valid</v>
      </c>
      <c r="AC910" s="15">
        <v>1</v>
      </c>
      <c r="AD910" s="16" t="str">
        <f t="shared" si="5"/>
        <v>Valid</v>
      </c>
      <c r="AE910" s="16" t="str">
        <f t="shared" si="6"/>
        <v>Valid</v>
      </c>
      <c r="AF910" s="16" t="str">
        <f t="shared" ref="AF910:AG910" si="1831">IF(ISNUMBER(B910),"Valid","Invalid")</f>
        <v>Valid</v>
      </c>
      <c r="AG910" s="16" t="str">
        <f t="shared" si="1831"/>
        <v>Valid</v>
      </c>
      <c r="AH910" s="16" t="str">
        <f t="shared" ref="AH910:AI910" si="1832">IF(OR(B910="",ISBLANK(B910)),"Missing","Valid")</f>
        <v>Valid</v>
      </c>
      <c r="AI910" s="16" t="str">
        <f t="shared" si="1832"/>
        <v>Valid</v>
      </c>
      <c r="AJ910" s="16" t="b">
        <v>0</v>
      </c>
      <c r="AK910" s="16" t="b">
        <v>0</v>
      </c>
      <c r="AL910" s="16" t="b">
        <v>0</v>
      </c>
      <c r="AM910" s="16" t="b">
        <v>0</v>
      </c>
      <c r="AN910" s="16" t="b">
        <v>0</v>
      </c>
      <c r="AO910" s="16" t="b">
        <v>0</v>
      </c>
      <c r="AP910" s="16" t="b">
        <v>0</v>
      </c>
      <c r="AQ910" s="17">
        <f t="shared" si="9"/>
        <v>0.2</v>
      </c>
      <c r="AR910" s="12">
        <f t="shared" si="10"/>
        <v>3795.8559999999998</v>
      </c>
      <c r="AS910" s="18">
        <f t="shared" si="11"/>
        <v>4.0000000003601599E-3</v>
      </c>
      <c r="AT910" s="12">
        <f t="shared" si="12"/>
        <v>1530.9359999999997</v>
      </c>
      <c r="AU910" s="18">
        <f t="shared" si="13"/>
        <v>4.0000000003601599E-3</v>
      </c>
      <c r="AV910" s="19">
        <f t="shared" si="14"/>
        <v>0.40331772332775528</v>
      </c>
      <c r="AW910" s="20" t="str">
        <f t="shared" si="15"/>
        <v>September</v>
      </c>
      <c r="AX910" s="21">
        <f t="shared" si="16"/>
        <v>2025</v>
      </c>
    </row>
    <row r="911" spans="1:50" ht="15.75" customHeight="1">
      <c r="A911" s="10" t="s">
        <v>1329</v>
      </c>
      <c r="B911" s="11">
        <v>45771</v>
      </c>
      <c r="C911" s="11">
        <v>45776</v>
      </c>
      <c r="D911" s="10" t="s">
        <v>1330</v>
      </c>
      <c r="E911" s="10" t="s">
        <v>191</v>
      </c>
      <c r="F911" s="10" t="s">
        <v>66</v>
      </c>
      <c r="G911" s="10" t="s">
        <v>83</v>
      </c>
      <c r="H911" s="10" t="s">
        <v>113</v>
      </c>
      <c r="I911" s="10" t="s">
        <v>114</v>
      </c>
      <c r="J911" s="10" t="s">
        <v>57</v>
      </c>
      <c r="K911" s="10" t="s">
        <v>58</v>
      </c>
      <c r="L911" s="10" t="s">
        <v>1331</v>
      </c>
      <c r="M911" s="10" t="s">
        <v>73</v>
      </c>
      <c r="N911" s="12">
        <v>1</v>
      </c>
      <c r="O911" s="12">
        <v>4358.5</v>
      </c>
      <c r="P911" s="12">
        <v>0.25</v>
      </c>
      <c r="Q911" s="12">
        <v>3268.88</v>
      </c>
      <c r="R911" s="12">
        <v>1993.74</v>
      </c>
      <c r="S911" s="12">
        <v>1275.1400000000001</v>
      </c>
      <c r="T911" s="10" t="s">
        <v>61</v>
      </c>
      <c r="U911" s="13" t="s">
        <v>62</v>
      </c>
      <c r="V911" s="14" t="e">
        <f t="shared" ca="1" si="0"/>
        <v>#NAME?</v>
      </c>
      <c r="W911" s="10" t="str">
        <f ca="1">IFERROR(__xludf.DUMMYFUNCTION("IF(COUNTIF($A:$A,A905)=1,
""Unique"",
IF(COUNTUNIQUE(FILTER($V$2:$V$934,$A$2:$A$934=A905))&gt;1,
""Conflicting Duplicate"",
""Exact Duplicate""))"),"Exact Duplicate")</f>
        <v>Exact Duplicate</v>
      </c>
      <c r="X911" s="10" t="b">
        <f t="shared" ca="1" si="1"/>
        <v>1</v>
      </c>
      <c r="Y911" s="10" t="str">
        <f t="shared" si="2"/>
        <v>Duplicate Order ID</v>
      </c>
      <c r="Z911" s="10"/>
      <c r="AA911" s="10" t="str">
        <f t="shared" si="3"/>
        <v>Clean</v>
      </c>
      <c r="AB911" s="15" t="str">
        <f t="shared" si="4"/>
        <v>Valid</v>
      </c>
      <c r="AC911" s="15">
        <v>5</v>
      </c>
      <c r="AD911" s="16" t="str">
        <f t="shared" si="5"/>
        <v>Valid</v>
      </c>
      <c r="AE911" s="16" t="str">
        <f t="shared" si="6"/>
        <v>Valid</v>
      </c>
      <c r="AF911" s="16" t="str">
        <f t="shared" ref="AF911:AG911" si="1833">IF(ISNUMBER(B911),"Valid","Invalid")</f>
        <v>Valid</v>
      </c>
      <c r="AG911" s="16" t="str">
        <f t="shared" si="1833"/>
        <v>Valid</v>
      </c>
      <c r="AH911" s="16" t="str">
        <f t="shared" ref="AH911:AI911" si="1834">IF(OR(B911="",ISBLANK(B911)),"Missing","Valid")</f>
        <v>Valid</v>
      </c>
      <c r="AI911" s="16" t="str">
        <f t="shared" si="1834"/>
        <v>Valid</v>
      </c>
      <c r="AJ911" s="16" t="b">
        <v>0</v>
      </c>
      <c r="AK911" s="16" t="b">
        <v>0</v>
      </c>
      <c r="AL911" s="16" t="b">
        <v>0</v>
      </c>
      <c r="AM911" s="16" t="b">
        <v>0</v>
      </c>
      <c r="AN911" s="16" t="b">
        <v>0</v>
      </c>
      <c r="AO911" s="16" t="b">
        <v>0</v>
      </c>
      <c r="AP911" s="16" t="b">
        <v>0</v>
      </c>
      <c r="AQ911" s="17">
        <f t="shared" si="9"/>
        <v>0.25</v>
      </c>
      <c r="AR911" s="12">
        <f t="shared" si="10"/>
        <v>3268.875</v>
      </c>
      <c r="AS911" s="18">
        <f t="shared" si="11"/>
        <v>5.0000000001091394E-3</v>
      </c>
      <c r="AT911" s="12">
        <f t="shared" si="12"/>
        <v>1275.135</v>
      </c>
      <c r="AU911" s="18">
        <f t="shared" si="13"/>
        <v>5.0000000001091394E-3</v>
      </c>
      <c r="AV911" s="19">
        <f t="shared" si="14"/>
        <v>0.39008374440747962</v>
      </c>
      <c r="AW911" s="20" t="str">
        <f t="shared" si="15"/>
        <v>April</v>
      </c>
      <c r="AX911" s="21">
        <f t="shared" si="16"/>
        <v>2025</v>
      </c>
    </row>
    <row r="912" spans="1:50" ht="15.75" customHeight="1">
      <c r="A912" s="10" t="s">
        <v>509</v>
      </c>
      <c r="B912" s="11">
        <v>45436</v>
      </c>
      <c r="C912" s="11">
        <v>45437</v>
      </c>
      <c r="D912" s="10" t="s">
        <v>510</v>
      </c>
      <c r="E912" s="10" t="s">
        <v>161</v>
      </c>
      <c r="F912" s="10" t="s">
        <v>66</v>
      </c>
      <c r="G912" s="10" t="s">
        <v>54</v>
      </c>
      <c r="H912" s="10" t="s">
        <v>151</v>
      </c>
      <c r="I912" s="10" t="s">
        <v>152</v>
      </c>
      <c r="J912" s="10" t="s">
        <v>103</v>
      </c>
      <c r="K912" s="10" t="s">
        <v>109</v>
      </c>
      <c r="L912" s="10" t="s">
        <v>511</v>
      </c>
      <c r="M912" s="10" t="s">
        <v>73</v>
      </c>
      <c r="N912" s="12">
        <v>1</v>
      </c>
      <c r="O912" s="12">
        <v>634.13</v>
      </c>
      <c r="P912" s="12">
        <v>0</v>
      </c>
      <c r="Q912" s="12">
        <v>634.13</v>
      </c>
      <c r="R912" s="12">
        <v>453.35</v>
      </c>
      <c r="S912" s="12">
        <v>180.78</v>
      </c>
      <c r="T912" s="10" t="s">
        <v>131</v>
      </c>
      <c r="U912" s="13" t="s">
        <v>97</v>
      </c>
      <c r="V912" s="14" t="e">
        <f t="shared" ca="1" si="0"/>
        <v>#NAME?</v>
      </c>
      <c r="W912" s="10" t="str">
        <f ca="1">IFERROR(__xludf.DUMMYFUNCTION("IF(COUNTIF($A:$A,A906)=1,
""Unique"",
IF(COUNTUNIQUE(FILTER($V$2:$V$934,$A$2:$A$934=A906))&gt;1,
""Conflicting Duplicate"",
""Exact Duplicate""))"),"Exact Duplicate")</f>
        <v>Exact Duplicate</v>
      </c>
      <c r="X912" s="10" t="b">
        <f t="shared" ca="1" si="1"/>
        <v>1</v>
      </c>
      <c r="Y912" s="10" t="str">
        <f t="shared" si="2"/>
        <v>Duplicate Order ID</v>
      </c>
      <c r="Z912" s="10"/>
      <c r="AA912" s="10" t="str">
        <f t="shared" si="3"/>
        <v>Clean</v>
      </c>
      <c r="AB912" s="15" t="str">
        <f t="shared" si="4"/>
        <v>Valid</v>
      </c>
      <c r="AC912" s="15">
        <v>1</v>
      </c>
      <c r="AD912" s="16" t="str">
        <f t="shared" si="5"/>
        <v>Valid</v>
      </c>
      <c r="AE912" s="16" t="str">
        <f t="shared" si="6"/>
        <v>Valid</v>
      </c>
      <c r="AF912" s="16" t="str">
        <f t="shared" ref="AF912:AG912" si="1835">IF(ISNUMBER(B912),"Valid","Invalid")</f>
        <v>Valid</v>
      </c>
      <c r="AG912" s="16" t="str">
        <f t="shared" si="1835"/>
        <v>Valid</v>
      </c>
      <c r="AH912" s="16" t="str">
        <f t="shared" ref="AH912:AI912" si="1836">IF(OR(B912="",ISBLANK(B912)),"Missing","Valid")</f>
        <v>Valid</v>
      </c>
      <c r="AI912" s="16" t="str">
        <f t="shared" si="1836"/>
        <v>Valid</v>
      </c>
      <c r="AJ912" s="16" t="b">
        <v>0</v>
      </c>
      <c r="AK912" s="16" t="b">
        <v>0</v>
      </c>
      <c r="AL912" s="16" t="b">
        <v>0</v>
      </c>
      <c r="AM912" s="16" t="b">
        <v>0</v>
      </c>
      <c r="AN912" s="16" t="b">
        <v>0</v>
      </c>
      <c r="AO912" s="16" t="b">
        <v>0</v>
      </c>
      <c r="AP912" s="16" t="b">
        <v>0</v>
      </c>
      <c r="AQ912" s="17">
        <f t="shared" si="9"/>
        <v>0</v>
      </c>
      <c r="AR912" s="12">
        <f t="shared" si="10"/>
        <v>634.13</v>
      </c>
      <c r="AS912" s="18">
        <f t="shared" si="11"/>
        <v>0</v>
      </c>
      <c r="AT912" s="12">
        <f t="shared" si="12"/>
        <v>180.77999999999997</v>
      </c>
      <c r="AU912" s="18">
        <f t="shared" si="13"/>
        <v>0</v>
      </c>
      <c r="AV912" s="19">
        <f t="shared" si="14"/>
        <v>0.28508350022865969</v>
      </c>
      <c r="AW912" s="20" t="str">
        <f t="shared" si="15"/>
        <v>May</v>
      </c>
      <c r="AX912" s="21">
        <f t="shared" si="16"/>
        <v>2024</v>
      </c>
    </row>
    <row r="913" spans="1:50" ht="15.75" customHeight="1">
      <c r="A913" s="10" t="s">
        <v>888</v>
      </c>
      <c r="B913" s="11">
        <v>45343</v>
      </c>
      <c r="C913" s="11">
        <v>45349</v>
      </c>
      <c r="D913" s="10" t="s">
        <v>889</v>
      </c>
      <c r="E913" s="10" t="s">
        <v>82</v>
      </c>
      <c r="F913" s="10" t="s">
        <v>66</v>
      </c>
      <c r="G913" s="10" t="s">
        <v>67</v>
      </c>
      <c r="H913" s="10" t="s">
        <v>128</v>
      </c>
      <c r="I913" s="10" t="s">
        <v>129</v>
      </c>
      <c r="J913" s="10" t="s">
        <v>70</v>
      </c>
      <c r="K913" s="10" t="s">
        <v>86</v>
      </c>
      <c r="L913" s="10" t="s">
        <v>890</v>
      </c>
      <c r="M913" s="10" t="s">
        <v>88</v>
      </c>
      <c r="N913" s="12">
        <v>5</v>
      </c>
      <c r="O913" s="12">
        <v>3373.86</v>
      </c>
      <c r="P913" s="12">
        <v>0.15</v>
      </c>
      <c r="Q913" s="12">
        <v>14338.9</v>
      </c>
      <c r="R913" s="12">
        <v>11897.65</v>
      </c>
      <c r="S913" s="12">
        <v>2441.25</v>
      </c>
      <c r="T913" s="10" t="s">
        <v>140</v>
      </c>
      <c r="U913" s="13" t="s">
        <v>132</v>
      </c>
      <c r="V913" s="14" t="e">
        <f t="shared" ca="1" si="0"/>
        <v>#NAME?</v>
      </c>
      <c r="W913" s="10" t="str">
        <f ca="1">IFERROR(__xludf.DUMMYFUNCTION("IF(COUNTIF($A:$A,A907)=1,
""Unique"",
IF(COUNTUNIQUE(FILTER($V$2:$V$934,$A$2:$A$934=A907))&gt;1,
""Conflicting Duplicate"",
""Exact Duplicate""))"),"Exact Duplicate")</f>
        <v>Exact Duplicate</v>
      </c>
      <c r="X913" s="10" t="b">
        <f t="shared" ca="1" si="1"/>
        <v>1</v>
      </c>
      <c r="Y913" s="10" t="str">
        <f t="shared" si="2"/>
        <v>Duplicate Order ID</v>
      </c>
      <c r="Z913" s="10"/>
      <c r="AA913" s="10" t="str">
        <f t="shared" si="3"/>
        <v>Clean</v>
      </c>
      <c r="AB913" s="15" t="str">
        <f t="shared" si="4"/>
        <v>Valid</v>
      </c>
      <c r="AC913" s="15">
        <v>6</v>
      </c>
      <c r="AD913" s="16" t="str">
        <f t="shared" si="5"/>
        <v>Valid</v>
      </c>
      <c r="AE913" s="16" t="str">
        <f t="shared" si="6"/>
        <v>Valid</v>
      </c>
      <c r="AF913" s="16" t="str">
        <f t="shared" ref="AF913:AG913" si="1837">IF(ISNUMBER(B913),"Valid","Invalid")</f>
        <v>Valid</v>
      </c>
      <c r="AG913" s="16" t="str">
        <f t="shared" si="1837"/>
        <v>Valid</v>
      </c>
      <c r="AH913" s="16" t="str">
        <f t="shared" ref="AH913:AI913" si="1838">IF(OR(B913="",ISBLANK(B913)),"Missing","Valid")</f>
        <v>Valid</v>
      </c>
      <c r="AI913" s="16" t="str">
        <f t="shared" si="1838"/>
        <v>Valid</v>
      </c>
      <c r="AJ913" s="16" t="b">
        <v>0</v>
      </c>
      <c r="AK913" s="16" t="b">
        <v>0</v>
      </c>
      <c r="AL913" s="16" t="b">
        <v>0</v>
      </c>
      <c r="AM913" s="16" t="b">
        <v>0</v>
      </c>
      <c r="AN913" s="16" t="b">
        <v>0</v>
      </c>
      <c r="AO913" s="16" t="b">
        <v>0</v>
      </c>
      <c r="AP913" s="16" t="b">
        <v>0</v>
      </c>
      <c r="AQ913" s="17">
        <f t="shared" si="9"/>
        <v>0.15</v>
      </c>
      <c r="AR913" s="12">
        <f t="shared" si="10"/>
        <v>14338.904999999999</v>
      </c>
      <c r="AS913" s="18">
        <f t="shared" si="11"/>
        <v>-4.9999999991996447E-3</v>
      </c>
      <c r="AT913" s="12">
        <f t="shared" si="12"/>
        <v>2441.2549999999992</v>
      </c>
      <c r="AU913" s="18">
        <f t="shared" si="13"/>
        <v>-4.9999999991996447E-3</v>
      </c>
      <c r="AV913" s="19">
        <f t="shared" si="14"/>
        <v>0.17025393501107647</v>
      </c>
      <c r="AW913" s="20" t="str">
        <f t="shared" si="15"/>
        <v>February</v>
      </c>
      <c r="AX913" s="21">
        <f t="shared" si="16"/>
        <v>2024</v>
      </c>
    </row>
    <row r="914" spans="1:50" ht="15.75" customHeight="1">
      <c r="A914" s="10" t="s">
        <v>1264</v>
      </c>
      <c r="B914" s="11">
        <v>45801</v>
      </c>
      <c r="C914" s="11">
        <v>45807</v>
      </c>
      <c r="D914" s="10" t="s">
        <v>1265</v>
      </c>
      <c r="E914" s="10" t="s">
        <v>294</v>
      </c>
      <c r="F914" s="10" t="s">
        <v>66</v>
      </c>
      <c r="G914" s="10" t="s">
        <v>67</v>
      </c>
      <c r="H914" s="10" t="s">
        <v>68</v>
      </c>
      <c r="I914" s="10" t="s">
        <v>69</v>
      </c>
      <c r="J914" s="10" t="s">
        <v>57</v>
      </c>
      <c r="K914" s="10" t="s">
        <v>153</v>
      </c>
      <c r="L914" s="10" t="s">
        <v>1266</v>
      </c>
      <c r="M914" s="10" t="s">
        <v>73</v>
      </c>
      <c r="N914" s="12">
        <v>1</v>
      </c>
      <c r="O914" s="12">
        <v>2564.7399999999998</v>
      </c>
      <c r="P914" s="12">
        <v>0</v>
      </c>
      <c r="Q914" s="12">
        <v>2564.7399999999998</v>
      </c>
      <c r="R914" s="12">
        <v>1754.58</v>
      </c>
      <c r="S914" s="12">
        <v>810.16</v>
      </c>
      <c r="T914" s="10" t="s">
        <v>61</v>
      </c>
      <c r="U914" s="13" t="s">
        <v>62</v>
      </c>
      <c r="V914" s="14" t="e">
        <f t="shared" ca="1" si="0"/>
        <v>#NAME?</v>
      </c>
      <c r="W914" s="10" t="str">
        <f ca="1">IFERROR(__xludf.DUMMYFUNCTION("IF(COUNTIF($A:$A,A908)=1,
""Unique"",
IF(COUNTUNIQUE(FILTER($V$2:$V$934,$A$2:$A$934=A908))&gt;1,
""Conflicting Duplicate"",
""Exact Duplicate""))"),"Exact Duplicate")</f>
        <v>Exact Duplicate</v>
      </c>
      <c r="X914" s="10" t="b">
        <f t="shared" ca="1" si="1"/>
        <v>1</v>
      </c>
      <c r="Y914" s="10" t="str">
        <f t="shared" si="2"/>
        <v>Duplicate Order ID</v>
      </c>
      <c r="Z914" s="10"/>
      <c r="AA914" s="10" t="str">
        <f t="shared" si="3"/>
        <v>Clean</v>
      </c>
      <c r="AB914" s="15" t="str">
        <f t="shared" si="4"/>
        <v>Valid</v>
      </c>
      <c r="AC914" s="15">
        <v>6</v>
      </c>
      <c r="AD914" s="16" t="str">
        <f t="shared" si="5"/>
        <v>Valid</v>
      </c>
      <c r="AE914" s="16" t="str">
        <f t="shared" si="6"/>
        <v>Valid</v>
      </c>
      <c r="AF914" s="16" t="str">
        <f t="shared" ref="AF914:AG914" si="1839">IF(ISNUMBER(B914),"Valid","Invalid")</f>
        <v>Valid</v>
      </c>
      <c r="AG914" s="16" t="str">
        <f t="shared" si="1839"/>
        <v>Valid</v>
      </c>
      <c r="AH914" s="16" t="str">
        <f t="shared" ref="AH914:AI914" si="1840">IF(OR(B914="",ISBLANK(B914)),"Missing","Valid")</f>
        <v>Valid</v>
      </c>
      <c r="AI914" s="16" t="str">
        <f t="shared" si="1840"/>
        <v>Valid</v>
      </c>
      <c r="AJ914" s="16" t="b">
        <v>0</v>
      </c>
      <c r="AK914" s="16" t="b">
        <v>0</v>
      </c>
      <c r="AL914" s="16" t="b">
        <v>0</v>
      </c>
      <c r="AM914" s="16" t="b">
        <v>0</v>
      </c>
      <c r="AN914" s="16" t="b">
        <v>0</v>
      </c>
      <c r="AO914" s="16" t="b">
        <v>0</v>
      </c>
      <c r="AP914" s="16" t="b">
        <v>0</v>
      </c>
      <c r="AQ914" s="17">
        <f t="shared" si="9"/>
        <v>0</v>
      </c>
      <c r="AR914" s="12">
        <f t="shared" si="10"/>
        <v>2564.7399999999998</v>
      </c>
      <c r="AS914" s="18">
        <f t="shared" si="11"/>
        <v>0</v>
      </c>
      <c r="AT914" s="12">
        <f t="shared" si="12"/>
        <v>810.15999999999985</v>
      </c>
      <c r="AU914" s="18">
        <f t="shared" si="13"/>
        <v>0</v>
      </c>
      <c r="AV914" s="19">
        <f t="shared" si="14"/>
        <v>0.31588387126960232</v>
      </c>
      <c r="AW914" s="20" t="str">
        <f t="shared" si="15"/>
        <v>May</v>
      </c>
      <c r="AX914" s="21">
        <f t="shared" si="16"/>
        <v>2025</v>
      </c>
    </row>
    <row r="915" spans="1:50" ht="15.75" customHeight="1">
      <c r="A915" s="10" t="s">
        <v>976</v>
      </c>
      <c r="B915" s="11">
        <v>45649</v>
      </c>
      <c r="C915" s="11">
        <v>45652</v>
      </c>
      <c r="D915" s="10" t="s">
        <v>977</v>
      </c>
      <c r="E915" s="10" t="s">
        <v>118</v>
      </c>
      <c r="F915" s="10" t="s">
        <v>53</v>
      </c>
      <c r="G915" s="10" t="s">
        <v>83</v>
      </c>
      <c r="H915" s="10" t="s">
        <v>204</v>
      </c>
      <c r="I915" s="10" t="s">
        <v>205</v>
      </c>
      <c r="J915" s="10" t="s">
        <v>103</v>
      </c>
      <c r="K915" s="10" t="s">
        <v>109</v>
      </c>
      <c r="L915" s="10" t="s">
        <v>978</v>
      </c>
      <c r="M915" s="10" t="s">
        <v>88</v>
      </c>
      <c r="N915" s="12">
        <v>9</v>
      </c>
      <c r="O915" s="12">
        <v>993.67</v>
      </c>
      <c r="P915" s="12">
        <v>0</v>
      </c>
      <c r="Q915" s="12">
        <v>8943.0300000000007</v>
      </c>
      <c r="R915" s="12">
        <v>5165.38</v>
      </c>
      <c r="S915" s="12">
        <v>3777.65</v>
      </c>
      <c r="T915" s="10" t="s">
        <v>61</v>
      </c>
      <c r="U915" s="13" t="s">
        <v>62</v>
      </c>
      <c r="V915" s="14" t="e">
        <f t="shared" ca="1" si="0"/>
        <v>#NAME?</v>
      </c>
      <c r="W915" s="10" t="str">
        <f ca="1">IFERROR(__xludf.DUMMYFUNCTION("IF(COUNTIF($A:$A,A909)=1,
""Unique"",
IF(COUNTUNIQUE(FILTER($V$2:$V$934,$A$2:$A$934=A909))&gt;1,
""Conflicting Duplicate"",
""Exact Duplicate""))"),"Exact Duplicate")</f>
        <v>Exact Duplicate</v>
      </c>
      <c r="X915" s="10" t="b">
        <f t="shared" ca="1" si="1"/>
        <v>1</v>
      </c>
      <c r="Y915" s="10" t="str">
        <f t="shared" si="2"/>
        <v>Duplicate Order ID</v>
      </c>
      <c r="Z915" s="10"/>
      <c r="AA915" s="10" t="str">
        <f t="shared" si="3"/>
        <v>Clean</v>
      </c>
      <c r="AB915" s="15" t="str">
        <f t="shared" si="4"/>
        <v>Valid</v>
      </c>
      <c r="AC915" s="15">
        <v>3</v>
      </c>
      <c r="AD915" s="16" t="str">
        <f t="shared" si="5"/>
        <v>Valid</v>
      </c>
      <c r="AE915" s="16" t="str">
        <f t="shared" si="6"/>
        <v>Valid</v>
      </c>
      <c r="AF915" s="16" t="str">
        <f t="shared" ref="AF915:AG915" si="1841">IF(ISNUMBER(B915),"Valid","Invalid")</f>
        <v>Valid</v>
      </c>
      <c r="AG915" s="16" t="str">
        <f t="shared" si="1841"/>
        <v>Valid</v>
      </c>
      <c r="AH915" s="16" t="str">
        <f t="shared" ref="AH915:AI915" si="1842">IF(OR(B915="",ISBLANK(B915)),"Missing","Valid")</f>
        <v>Valid</v>
      </c>
      <c r="AI915" s="16" t="str">
        <f t="shared" si="1842"/>
        <v>Valid</v>
      </c>
      <c r="AJ915" s="16" t="b">
        <v>0</v>
      </c>
      <c r="AK915" s="16" t="b">
        <v>0</v>
      </c>
      <c r="AL915" s="16" t="b">
        <v>0</v>
      </c>
      <c r="AM915" s="16" t="b">
        <v>0</v>
      </c>
      <c r="AN915" s="16" t="b">
        <v>0</v>
      </c>
      <c r="AO915" s="16" t="b">
        <v>0</v>
      </c>
      <c r="AP915" s="16" t="b">
        <v>0</v>
      </c>
      <c r="AQ915" s="17">
        <f t="shared" si="9"/>
        <v>0</v>
      </c>
      <c r="AR915" s="12">
        <f t="shared" si="10"/>
        <v>8943.0299999999988</v>
      </c>
      <c r="AS915" s="18">
        <f t="shared" si="11"/>
        <v>0</v>
      </c>
      <c r="AT915" s="12">
        <f t="shared" si="12"/>
        <v>3777.6499999999987</v>
      </c>
      <c r="AU915" s="18">
        <f t="shared" si="13"/>
        <v>0</v>
      </c>
      <c r="AV915" s="19">
        <f t="shared" si="14"/>
        <v>0.42241276167026154</v>
      </c>
      <c r="AW915" s="20" t="str">
        <f t="shared" si="15"/>
        <v>December</v>
      </c>
      <c r="AX915" s="21">
        <f t="shared" si="16"/>
        <v>2024</v>
      </c>
    </row>
    <row r="916" spans="1:50" ht="15.75" customHeight="1">
      <c r="A916" s="10" t="s">
        <v>2247</v>
      </c>
      <c r="B916" s="11">
        <v>45332</v>
      </c>
      <c r="C916" s="11">
        <v>45340</v>
      </c>
      <c r="D916" s="10" t="s">
        <v>2248</v>
      </c>
      <c r="E916" s="10" t="s">
        <v>76</v>
      </c>
      <c r="F916" s="10" t="s">
        <v>124</v>
      </c>
      <c r="G916" s="10" t="s">
        <v>92</v>
      </c>
      <c r="H916" s="10" t="s">
        <v>101</v>
      </c>
      <c r="I916" s="10" t="s">
        <v>102</v>
      </c>
      <c r="J916" s="10" t="s">
        <v>70</v>
      </c>
      <c r="K916" s="10" t="s">
        <v>95</v>
      </c>
      <c r="L916" s="10" t="s">
        <v>2249</v>
      </c>
      <c r="M916" s="10" t="s">
        <v>79</v>
      </c>
      <c r="N916" s="12">
        <v>7</v>
      </c>
      <c r="O916" s="12">
        <v>1382.86</v>
      </c>
      <c r="P916" s="12">
        <v>0</v>
      </c>
      <c r="Q916" s="12">
        <v>9680.02</v>
      </c>
      <c r="R916" s="12">
        <v>6876.66</v>
      </c>
      <c r="S916" s="12">
        <v>2803.36</v>
      </c>
      <c r="T916" s="10" t="s">
        <v>61</v>
      </c>
      <c r="U916" s="13" t="s">
        <v>62</v>
      </c>
      <c r="V916" s="14" t="e">
        <f t="shared" ca="1" si="0"/>
        <v>#NAME?</v>
      </c>
      <c r="W916" s="10" t="str">
        <f ca="1">IFERROR(__xludf.DUMMYFUNCTION("IF(COUNTIF($A:$A,A910)=1,
""Unique"",
IF(COUNTUNIQUE(FILTER($V$2:$V$934,$A$2:$A$934=A910))&gt;1,
""Conflicting Duplicate"",
""Exact Duplicate""))"),"Exact Duplicate")</f>
        <v>Exact Duplicate</v>
      </c>
      <c r="X916" s="10" t="b">
        <f t="shared" ca="1" si="1"/>
        <v>1</v>
      </c>
      <c r="Y916" s="10" t="str">
        <f t="shared" si="2"/>
        <v>Duplicate Order ID</v>
      </c>
      <c r="Z916" s="10"/>
      <c r="AA916" s="10" t="str">
        <f t="shared" si="3"/>
        <v>Clean</v>
      </c>
      <c r="AB916" s="15" t="str">
        <f t="shared" si="4"/>
        <v>Valid</v>
      </c>
      <c r="AC916" s="15">
        <v>8</v>
      </c>
      <c r="AD916" s="16" t="str">
        <f t="shared" si="5"/>
        <v>Valid</v>
      </c>
      <c r="AE916" s="16" t="str">
        <f t="shared" si="6"/>
        <v>Valid</v>
      </c>
      <c r="AF916" s="16" t="str">
        <f t="shared" ref="AF916:AG916" si="1843">IF(ISNUMBER(B916),"Valid","Invalid")</f>
        <v>Valid</v>
      </c>
      <c r="AG916" s="16" t="str">
        <f t="shared" si="1843"/>
        <v>Valid</v>
      </c>
      <c r="AH916" s="16" t="str">
        <f t="shared" ref="AH916:AI916" si="1844">IF(OR(B916="",ISBLANK(B916)),"Missing","Valid")</f>
        <v>Valid</v>
      </c>
      <c r="AI916" s="16" t="str">
        <f t="shared" si="1844"/>
        <v>Valid</v>
      </c>
      <c r="AJ916" s="16" t="b">
        <v>0</v>
      </c>
      <c r="AK916" s="16" t="b">
        <v>0</v>
      </c>
      <c r="AL916" s="16" t="b">
        <v>0</v>
      </c>
      <c r="AM916" s="16" t="b">
        <v>0</v>
      </c>
      <c r="AN916" s="16" t="b">
        <v>0</v>
      </c>
      <c r="AO916" s="16" t="b">
        <v>0</v>
      </c>
      <c r="AP916" s="16" t="b">
        <v>0</v>
      </c>
      <c r="AQ916" s="17">
        <f t="shared" si="9"/>
        <v>0</v>
      </c>
      <c r="AR916" s="12">
        <f t="shared" si="10"/>
        <v>9680.0199999999986</v>
      </c>
      <c r="AS916" s="18">
        <f t="shared" si="11"/>
        <v>0</v>
      </c>
      <c r="AT916" s="12">
        <f t="shared" si="12"/>
        <v>2803.3599999999988</v>
      </c>
      <c r="AU916" s="18">
        <f t="shared" si="13"/>
        <v>0</v>
      </c>
      <c r="AV916" s="19">
        <f t="shared" si="14"/>
        <v>0.28960270743242256</v>
      </c>
      <c r="AW916" s="20" t="str">
        <f t="shared" si="15"/>
        <v>February</v>
      </c>
      <c r="AX916" s="21">
        <f t="shared" si="16"/>
        <v>2024</v>
      </c>
    </row>
    <row r="917" spans="1:50" ht="15.75" customHeight="1">
      <c r="A917" s="10" t="s">
        <v>1774</v>
      </c>
      <c r="B917" s="11">
        <v>45941</v>
      </c>
      <c r="C917" s="11">
        <v>45943</v>
      </c>
      <c r="D917" s="10" t="s">
        <v>1775</v>
      </c>
      <c r="E917" s="10" t="s">
        <v>65</v>
      </c>
      <c r="F917" s="10" t="s">
        <v>119</v>
      </c>
      <c r="G917" s="10" t="s">
        <v>83</v>
      </c>
      <c r="H917" s="10" t="s">
        <v>84</v>
      </c>
      <c r="I917" s="10" t="s">
        <v>85</v>
      </c>
      <c r="J917" s="10" t="s">
        <v>57</v>
      </c>
      <c r="K917" s="10" t="s">
        <v>77</v>
      </c>
      <c r="L917" s="10" t="s">
        <v>1776</v>
      </c>
      <c r="M917" s="10" t="s">
        <v>60</v>
      </c>
      <c r="N917" s="12">
        <v>3</v>
      </c>
      <c r="O917" s="12">
        <v>3804.27</v>
      </c>
      <c r="P917" s="12">
        <v>0.1</v>
      </c>
      <c r="Q917" s="12">
        <v>10271.530000000001</v>
      </c>
      <c r="R917" s="12">
        <v>8272.24</v>
      </c>
      <c r="S917" s="12">
        <v>1999.29</v>
      </c>
      <c r="T917" s="10" t="s">
        <v>61</v>
      </c>
      <c r="U917" s="13" t="s">
        <v>62</v>
      </c>
      <c r="V917" s="14" t="e">
        <f t="shared" ca="1" si="0"/>
        <v>#NAME?</v>
      </c>
      <c r="W917" s="10" t="str">
        <f ca="1">IFERROR(__xludf.DUMMYFUNCTION("IF(COUNTIF($A:$A,A911)=1,
""Unique"",
IF(COUNTUNIQUE(FILTER($V$2:$V$934,$A$2:$A$934=A911))&gt;1,
""Conflicting Duplicate"",
""Exact Duplicate""))"),"Exact Duplicate")</f>
        <v>Exact Duplicate</v>
      </c>
      <c r="X917" s="10" t="b">
        <f t="shared" ca="1" si="1"/>
        <v>1</v>
      </c>
      <c r="Y917" s="10" t="str">
        <f t="shared" si="2"/>
        <v>Duplicate Order ID</v>
      </c>
      <c r="Z917" s="10"/>
      <c r="AA917" s="10" t="str">
        <f t="shared" si="3"/>
        <v>Clean</v>
      </c>
      <c r="AB917" s="15" t="str">
        <f t="shared" si="4"/>
        <v>Valid</v>
      </c>
      <c r="AC917" s="15">
        <v>2</v>
      </c>
      <c r="AD917" s="16" t="str">
        <f t="shared" si="5"/>
        <v>Valid</v>
      </c>
      <c r="AE917" s="16" t="str">
        <f t="shared" si="6"/>
        <v>Valid</v>
      </c>
      <c r="AF917" s="16" t="str">
        <f t="shared" ref="AF917:AG917" si="1845">IF(ISNUMBER(B917),"Valid","Invalid")</f>
        <v>Valid</v>
      </c>
      <c r="AG917" s="16" t="str">
        <f t="shared" si="1845"/>
        <v>Valid</v>
      </c>
      <c r="AH917" s="16" t="str">
        <f t="shared" ref="AH917:AI917" si="1846">IF(OR(B917="",ISBLANK(B917)),"Missing","Valid")</f>
        <v>Valid</v>
      </c>
      <c r="AI917" s="16" t="str">
        <f t="shared" si="1846"/>
        <v>Valid</v>
      </c>
      <c r="AJ917" s="16" t="b">
        <v>0</v>
      </c>
      <c r="AK917" s="16" t="b">
        <v>0</v>
      </c>
      <c r="AL917" s="16" t="b">
        <v>0</v>
      </c>
      <c r="AM917" s="16" t="b">
        <v>0</v>
      </c>
      <c r="AN917" s="16" t="b">
        <v>0</v>
      </c>
      <c r="AO917" s="16" t="b">
        <v>0</v>
      </c>
      <c r="AP917" s="16" t="b">
        <v>0</v>
      </c>
      <c r="AQ917" s="17">
        <f t="shared" si="9"/>
        <v>0.1</v>
      </c>
      <c r="AR917" s="12">
        <f t="shared" si="10"/>
        <v>10271.529</v>
      </c>
      <c r="AS917" s="18">
        <f t="shared" si="11"/>
        <v>1.0000000002037268E-3</v>
      </c>
      <c r="AT917" s="12">
        <f t="shared" si="12"/>
        <v>1999.2890000000007</v>
      </c>
      <c r="AU917" s="18">
        <f t="shared" si="13"/>
        <v>9.9999999929423211E-4</v>
      </c>
      <c r="AV917" s="19">
        <f t="shared" si="14"/>
        <v>0.19464375751652949</v>
      </c>
      <c r="AW917" s="20" t="str">
        <f t="shared" si="15"/>
        <v>October</v>
      </c>
      <c r="AX917" s="21">
        <f t="shared" si="16"/>
        <v>2025</v>
      </c>
    </row>
    <row r="918" spans="1:50" ht="15.75" customHeight="1">
      <c r="A918" s="10" t="s">
        <v>2648</v>
      </c>
      <c r="B918" s="11">
        <v>45357</v>
      </c>
      <c r="C918" s="11">
        <v>45363</v>
      </c>
      <c r="D918" s="10" t="s">
        <v>2649</v>
      </c>
      <c r="E918" s="10" t="s">
        <v>76</v>
      </c>
      <c r="F918" s="10" t="s">
        <v>124</v>
      </c>
      <c r="G918" s="10" t="s">
        <v>92</v>
      </c>
      <c r="H918" s="10" t="s">
        <v>209</v>
      </c>
      <c r="I918" s="10" t="s">
        <v>210</v>
      </c>
      <c r="J918" s="10" t="s">
        <v>70</v>
      </c>
      <c r="K918" s="10" t="s">
        <v>187</v>
      </c>
      <c r="L918" s="10" t="s">
        <v>2650</v>
      </c>
      <c r="M918" s="10" t="s">
        <v>88</v>
      </c>
      <c r="N918" s="12">
        <v>3</v>
      </c>
      <c r="O918" s="12">
        <v>679.63</v>
      </c>
      <c r="P918" s="12">
        <v>0.2</v>
      </c>
      <c r="Q918" s="12">
        <v>1631.11</v>
      </c>
      <c r="R918" s="12">
        <v>898.73</v>
      </c>
      <c r="S918" s="12">
        <v>396.58</v>
      </c>
      <c r="T918" s="10" t="s">
        <v>61</v>
      </c>
      <c r="U918" s="13" t="s">
        <v>62</v>
      </c>
      <c r="V918" s="14" t="e">
        <f t="shared" ca="1" si="0"/>
        <v>#NAME?</v>
      </c>
      <c r="W918" s="10" t="str">
        <f ca="1">IFERROR(__xludf.DUMMYFUNCTION("IF(COUNTIF($A:$A,A912)=1,
""Unique"",
IF(COUNTUNIQUE(FILTER($V$2:$V$934,$A$2:$A$934=A912))&gt;1,
""Conflicting Duplicate"",
""Exact Duplicate""))"),"Conflicting Duplicate")</f>
        <v>Conflicting Duplicate</v>
      </c>
      <c r="X918" s="10" t="b">
        <f t="shared" ca="1" si="1"/>
        <v>1</v>
      </c>
      <c r="Y918" s="10" t="str">
        <f t="shared" si="2"/>
        <v>Duplicate Order ID</v>
      </c>
      <c r="Z918" s="10"/>
      <c r="AA918" s="10" t="str">
        <f t="shared" si="3"/>
        <v>Clean</v>
      </c>
      <c r="AB918" s="15" t="str">
        <f t="shared" si="4"/>
        <v>Valid</v>
      </c>
      <c r="AC918" s="15">
        <v>6</v>
      </c>
      <c r="AD918" s="16" t="str">
        <f t="shared" si="5"/>
        <v>Valid</v>
      </c>
      <c r="AE918" s="16" t="str">
        <f t="shared" si="6"/>
        <v>Valid</v>
      </c>
      <c r="AF918" s="16" t="str">
        <f t="shared" ref="AF918:AG918" si="1847">IF(ISNUMBER(B918),"Valid","Invalid")</f>
        <v>Valid</v>
      </c>
      <c r="AG918" s="16" t="str">
        <f t="shared" si="1847"/>
        <v>Valid</v>
      </c>
      <c r="AH918" s="16" t="str">
        <f t="shared" ref="AH918:AI918" si="1848">IF(OR(B918="",ISBLANK(B918)),"Missing","Valid")</f>
        <v>Valid</v>
      </c>
      <c r="AI918" s="16" t="str">
        <f t="shared" si="1848"/>
        <v>Valid</v>
      </c>
      <c r="AJ918" s="16" t="b">
        <v>0</v>
      </c>
      <c r="AK918" s="16" t="b">
        <v>0</v>
      </c>
      <c r="AL918" s="16" t="b">
        <v>0</v>
      </c>
      <c r="AM918" s="16" t="b">
        <v>0</v>
      </c>
      <c r="AN918" s="16" t="b">
        <v>0</v>
      </c>
      <c r="AO918" s="16" t="b">
        <v>0</v>
      </c>
      <c r="AP918" s="16" t="b">
        <v>0</v>
      </c>
      <c r="AQ918" s="17">
        <f t="shared" si="9"/>
        <v>0.2</v>
      </c>
      <c r="AR918" s="12">
        <f t="shared" si="10"/>
        <v>1631.1120000000001</v>
      </c>
      <c r="AS918" s="18">
        <f t="shared" si="11"/>
        <v>-2.00000000018008E-3</v>
      </c>
      <c r="AT918" s="12">
        <f t="shared" si="12"/>
        <v>732.38200000000006</v>
      </c>
      <c r="AU918" s="18">
        <f t="shared" si="13"/>
        <v>-335.80200000000008</v>
      </c>
      <c r="AV918" s="19">
        <f t="shared" si="14"/>
        <v>0.44900779345624336</v>
      </c>
      <c r="AW918" s="20" t="str">
        <f t="shared" si="15"/>
        <v>March</v>
      </c>
      <c r="AX918" s="21">
        <f t="shared" si="16"/>
        <v>2024</v>
      </c>
    </row>
    <row r="919" spans="1:50" ht="15.75" customHeight="1">
      <c r="A919" s="10" t="s">
        <v>521</v>
      </c>
      <c r="B919" s="11">
        <v>45687</v>
      </c>
      <c r="C919" s="11">
        <v>45683</v>
      </c>
      <c r="D919" s="10" t="s">
        <v>522</v>
      </c>
      <c r="E919" s="10" t="s">
        <v>143</v>
      </c>
      <c r="F919" s="10" t="s">
        <v>119</v>
      </c>
      <c r="G919" s="10" t="s">
        <v>92</v>
      </c>
      <c r="H919" s="10" t="s">
        <v>101</v>
      </c>
      <c r="I919" s="10" t="s">
        <v>102</v>
      </c>
      <c r="J919" s="10" t="s">
        <v>57</v>
      </c>
      <c r="K919" s="10" t="s">
        <v>153</v>
      </c>
      <c r="L919" s="10" t="s">
        <v>523</v>
      </c>
      <c r="M919" s="10" t="s">
        <v>60</v>
      </c>
      <c r="N919" s="12">
        <v>2</v>
      </c>
      <c r="O919" s="12">
        <v>3039.3</v>
      </c>
      <c r="P919" s="12">
        <v>0.05</v>
      </c>
      <c r="Q919" s="12">
        <v>5774.67</v>
      </c>
      <c r="R919" s="12">
        <v>3518.36</v>
      </c>
      <c r="S919" s="12">
        <v>2256.31</v>
      </c>
      <c r="T919" s="10" t="s">
        <v>61</v>
      </c>
      <c r="U919" s="13" t="s">
        <v>62</v>
      </c>
      <c r="V919" s="14" t="e">
        <f t="shared" ca="1" si="0"/>
        <v>#NAME?</v>
      </c>
      <c r="W919" s="10" t="str">
        <f ca="1">IFERROR(__xludf.DUMMYFUNCTION("IF(COUNTIF($A:$A,A913)=1,
""Unique"",
IF(COUNTUNIQUE(FILTER($V$2:$V$934,$A$2:$A$934=A913))&gt;1,
""Conflicting Duplicate"",
""Exact Duplicate""))"),"Exact Duplicate")</f>
        <v>Exact Duplicate</v>
      </c>
      <c r="X919" s="10" t="b">
        <f t="shared" ca="1" si="1"/>
        <v>1</v>
      </c>
      <c r="Y919" s="10" t="str">
        <f t="shared" si="2"/>
        <v>Duplicate Order ID</v>
      </c>
      <c r="Z919" s="10"/>
      <c r="AA919" s="10" t="str">
        <f t="shared" si="3"/>
        <v>Invalid</v>
      </c>
      <c r="AB919" s="15" t="str">
        <f t="shared" si="4"/>
        <v>Invalid</v>
      </c>
      <c r="AC919" s="15">
        <v>-4</v>
      </c>
      <c r="AD919" s="16" t="str">
        <f t="shared" si="5"/>
        <v>Invalid Shipping Date</v>
      </c>
      <c r="AE919" s="16" t="str">
        <f t="shared" si="6"/>
        <v>Valid</v>
      </c>
      <c r="AF919" s="16" t="str">
        <f t="shared" ref="AF919:AG919" si="1849">IF(ISNUMBER(B919),"Valid","Invalid")</f>
        <v>Valid</v>
      </c>
      <c r="AG919" s="16" t="str">
        <f t="shared" si="1849"/>
        <v>Valid</v>
      </c>
      <c r="AH919" s="16" t="str">
        <f t="shared" ref="AH919:AI919" si="1850">IF(OR(B919="",ISBLANK(B919)),"Missing","Valid")</f>
        <v>Valid</v>
      </c>
      <c r="AI919" s="16" t="str">
        <f t="shared" si="1850"/>
        <v>Valid</v>
      </c>
      <c r="AJ919" s="16" t="b">
        <v>0</v>
      </c>
      <c r="AK919" s="16" t="b">
        <v>0</v>
      </c>
      <c r="AL919" s="16" t="b">
        <v>0</v>
      </c>
      <c r="AM919" s="16" t="b">
        <v>0</v>
      </c>
      <c r="AN919" s="16" t="b">
        <v>0</v>
      </c>
      <c r="AO919" s="16" t="b">
        <v>1</v>
      </c>
      <c r="AP919" s="16" t="b">
        <v>1</v>
      </c>
      <c r="AQ919" s="17">
        <f t="shared" si="9"/>
        <v>0.05</v>
      </c>
      <c r="AR919" s="12">
        <f t="shared" si="10"/>
        <v>5774.67</v>
      </c>
      <c r="AS919" s="18">
        <f t="shared" si="11"/>
        <v>0</v>
      </c>
      <c r="AT919" s="12">
        <f t="shared" si="12"/>
        <v>2256.31</v>
      </c>
      <c r="AU919" s="18">
        <f t="shared" si="13"/>
        <v>0</v>
      </c>
      <c r="AV919" s="19">
        <f t="shared" si="14"/>
        <v>0.39072535746631409</v>
      </c>
      <c r="AW919" s="20" t="str">
        <f t="shared" si="15"/>
        <v>January</v>
      </c>
      <c r="AX919" s="21">
        <f t="shared" si="16"/>
        <v>2025</v>
      </c>
    </row>
    <row r="920" spans="1:50" ht="15.75" customHeight="1">
      <c r="A920" s="10" t="s">
        <v>2142</v>
      </c>
      <c r="B920" s="11">
        <v>45911</v>
      </c>
      <c r="C920" s="11">
        <v>45918</v>
      </c>
      <c r="D920" s="10" t="s">
        <v>2143</v>
      </c>
      <c r="E920" s="10" t="s">
        <v>147</v>
      </c>
      <c r="F920" s="10" t="s">
        <v>66</v>
      </c>
      <c r="G920" s="10" t="s">
        <v>54</v>
      </c>
      <c r="H920" s="10" t="s">
        <v>380</v>
      </c>
      <c r="I920" s="10" t="s">
        <v>381</v>
      </c>
      <c r="J920" s="10" t="s">
        <v>103</v>
      </c>
      <c r="K920" s="10" t="s">
        <v>200</v>
      </c>
      <c r="L920" s="10" t="s">
        <v>2144</v>
      </c>
      <c r="M920" s="10" t="s">
        <v>73</v>
      </c>
      <c r="N920" s="12">
        <v>7</v>
      </c>
      <c r="O920" s="12">
        <v>3411.21</v>
      </c>
      <c r="P920" s="12">
        <v>0.15</v>
      </c>
      <c r="Q920" s="12">
        <v>20296.7</v>
      </c>
      <c r="R920" s="12">
        <v>14920.87</v>
      </c>
      <c r="S920" s="12">
        <v>5375.83</v>
      </c>
      <c r="T920" s="10" t="s">
        <v>61</v>
      </c>
      <c r="U920" s="13" t="s">
        <v>62</v>
      </c>
      <c r="V920" s="14" t="e">
        <f t="shared" ca="1" si="0"/>
        <v>#NAME?</v>
      </c>
      <c r="W920" s="10" t="str">
        <f ca="1">IFERROR(__xludf.DUMMYFUNCTION("IF(COUNTIF($A:$A,A914)=1,
""Unique"",
IF(COUNTUNIQUE(FILTER($V$2:$V$934,$A$2:$A$934=A914))&gt;1,
""Conflicting Duplicate"",
""Exact Duplicate""))"),"Exact Duplicate")</f>
        <v>Exact Duplicate</v>
      </c>
      <c r="X920" s="10" t="b">
        <f t="shared" ca="1" si="1"/>
        <v>1</v>
      </c>
      <c r="Y920" s="10" t="str">
        <f t="shared" si="2"/>
        <v>Duplicate Order ID</v>
      </c>
      <c r="Z920" s="10"/>
      <c r="AA920" s="10" t="str">
        <f t="shared" si="3"/>
        <v>Clean</v>
      </c>
      <c r="AB920" s="15" t="str">
        <f t="shared" si="4"/>
        <v>Valid</v>
      </c>
      <c r="AC920" s="15">
        <v>7</v>
      </c>
      <c r="AD920" s="16" t="str">
        <f t="shared" si="5"/>
        <v>Valid</v>
      </c>
      <c r="AE920" s="16" t="str">
        <f t="shared" si="6"/>
        <v>Valid</v>
      </c>
      <c r="AF920" s="16" t="str">
        <f t="shared" ref="AF920:AG920" si="1851">IF(ISNUMBER(B920),"Valid","Invalid")</f>
        <v>Valid</v>
      </c>
      <c r="AG920" s="16" t="str">
        <f t="shared" si="1851"/>
        <v>Valid</v>
      </c>
      <c r="AH920" s="16" t="str">
        <f t="shared" ref="AH920:AI920" si="1852">IF(OR(B920="",ISBLANK(B920)),"Missing","Valid")</f>
        <v>Valid</v>
      </c>
      <c r="AI920" s="16" t="str">
        <f t="shared" si="1852"/>
        <v>Valid</v>
      </c>
      <c r="AJ920" s="16" t="b">
        <v>0</v>
      </c>
      <c r="AK920" s="16" t="b">
        <v>0</v>
      </c>
      <c r="AL920" s="16" t="b">
        <v>0</v>
      </c>
      <c r="AM920" s="16" t="b">
        <v>0</v>
      </c>
      <c r="AN920" s="16" t="b">
        <v>0</v>
      </c>
      <c r="AO920" s="16" t="b">
        <v>0</v>
      </c>
      <c r="AP920" s="16" t="b">
        <v>0</v>
      </c>
      <c r="AQ920" s="17">
        <f t="shared" si="9"/>
        <v>0.15</v>
      </c>
      <c r="AR920" s="12">
        <f t="shared" si="10"/>
        <v>20296.699499999999</v>
      </c>
      <c r="AS920" s="18">
        <f t="shared" si="11"/>
        <v>5.0000000192085281E-4</v>
      </c>
      <c r="AT920" s="12">
        <f t="shared" si="12"/>
        <v>5375.829499999998</v>
      </c>
      <c r="AU920" s="18">
        <f t="shared" si="13"/>
        <v>5.0000000192085281E-4</v>
      </c>
      <c r="AV920" s="19">
        <f t="shared" si="14"/>
        <v>0.26486225014071862</v>
      </c>
      <c r="AW920" s="20" t="str">
        <f t="shared" si="15"/>
        <v>September</v>
      </c>
      <c r="AX920" s="21">
        <f t="shared" si="16"/>
        <v>2025</v>
      </c>
    </row>
    <row r="921" spans="1:50" ht="15.75" customHeight="1">
      <c r="A921" s="10" t="s">
        <v>106</v>
      </c>
      <c r="B921" s="11">
        <v>45757</v>
      </c>
      <c r="C921" s="11">
        <v>45763</v>
      </c>
      <c r="D921" s="10" t="s">
        <v>107</v>
      </c>
      <c r="E921" s="10" t="s">
        <v>108</v>
      </c>
      <c r="F921" s="10" t="s">
        <v>53</v>
      </c>
      <c r="G921" s="10" t="s">
        <v>67</v>
      </c>
      <c r="H921" s="10" t="s">
        <v>68</v>
      </c>
      <c r="I921" s="10" t="s">
        <v>69</v>
      </c>
      <c r="J921" s="10" t="s">
        <v>103</v>
      </c>
      <c r="K921" s="10" t="s">
        <v>109</v>
      </c>
      <c r="L921" s="10" t="s">
        <v>110</v>
      </c>
      <c r="M921" s="10" t="s">
        <v>88</v>
      </c>
      <c r="N921" s="12">
        <v>4</v>
      </c>
      <c r="O921" s="12">
        <v>1719.87</v>
      </c>
      <c r="P921" s="12">
        <v>0.15</v>
      </c>
      <c r="Q921" s="12">
        <v>5847.56</v>
      </c>
      <c r="R921" s="12">
        <v>4727.25</v>
      </c>
      <c r="S921" s="12">
        <v>1120.31</v>
      </c>
      <c r="T921" s="10" t="s">
        <v>61</v>
      </c>
      <c r="U921" s="13" t="s">
        <v>62</v>
      </c>
      <c r="V921" s="14" t="e">
        <f t="shared" ca="1" si="0"/>
        <v>#NAME?</v>
      </c>
      <c r="W921" s="10" t="str">
        <f ca="1">IFERROR(__xludf.DUMMYFUNCTION("IF(COUNTIF($A:$A,A915)=1,
""Unique"",
IF(COUNTUNIQUE(FILTER($V$2:$V$934,$A$2:$A$934=A915))&gt;1,
""Conflicting Duplicate"",
""Exact Duplicate""))"),"Exact Duplicate")</f>
        <v>Exact Duplicate</v>
      </c>
      <c r="X921" s="10" t="b">
        <f t="shared" ca="1" si="1"/>
        <v>1</v>
      </c>
      <c r="Y921" s="10" t="str">
        <f t="shared" si="2"/>
        <v>Duplicate Order ID</v>
      </c>
      <c r="Z921" s="10"/>
      <c r="AA921" s="10" t="str">
        <f t="shared" si="3"/>
        <v>Clean</v>
      </c>
      <c r="AB921" s="15" t="str">
        <f t="shared" si="4"/>
        <v>Valid</v>
      </c>
      <c r="AC921" s="15">
        <v>6</v>
      </c>
      <c r="AD921" s="16" t="str">
        <f t="shared" si="5"/>
        <v>Valid</v>
      </c>
      <c r="AE921" s="16" t="str">
        <f t="shared" si="6"/>
        <v>Valid</v>
      </c>
      <c r="AF921" s="16" t="str">
        <f t="shared" ref="AF921:AG921" si="1853">IF(ISNUMBER(B921),"Valid","Invalid")</f>
        <v>Valid</v>
      </c>
      <c r="AG921" s="16" t="str">
        <f t="shared" si="1853"/>
        <v>Valid</v>
      </c>
      <c r="AH921" s="16" t="str">
        <f t="shared" ref="AH921:AI921" si="1854">IF(OR(B921="",ISBLANK(B921)),"Missing","Valid")</f>
        <v>Valid</v>
      </c>
      <c r="AI921" s="16" t="str">
        <f t="shared" si="1854"/>
        <v>Valid</v>
      </c>
      <c r="AJ921" s="16" t="b">
        <v>0</v>
      </c>
      <c r="AK921" s="16" t="b">
        <v>0</v>
      </c>
      <c r="AL921" s="16" t="b">
        <v>0</v>
      </c>
      <c r="AM921" s="16" t="b">
        <v>0</v>
      </c>
      <c r="AN921" s="16" t="b">
        <v>0</v>
      </c>
      <c r="AO921" s="16" t="b">
        <v>0</v>
      </c>
      <c r="AP921" s="16" t="b">
        <v>0</v>
      </c>
      <c r="AQ921" s="17">
        <f t="shared" si="9"/>
        <v>0.15</v>
      </c>
      <c r="AR921" s="12">
        <f t="shared" si="10"/>
        <v>5847.5579999999991</v>
      </c>
      <c r="AS921" s="18">
        <f t="shared" si="11"/>
        <v>2.0000000013169483E-3</v>
      </c>
      <c r="AT921" s="12">
        <f t="shared" si="12"/>
        <v>1120.3079999999991</v>
      </c>
      <c r="AU921" s="18">
        <f t="shared" si="13"/>
        <v>2.000000000862201E-3</v>
      </c>
      <c r="AV921" s="19">
        <f t="shared" si="14"/>
        <v>0.19158561573908275</v>
      </c>
      <c r="AW921" s="20" t="str">
        <f t="shared" si="15"/>
        <v>April</v>
      </c>
      <c r="AX921" s="21">
        <f t="shared" si="16"/>
        <v>2025</v>
      </c>
    </row>
    <row r="922" spans="1:50" ht="15.75" customHeight="1">
      <c r="A922" s="10" t="s">
        <v>1128</v>
      </c>
      <c r="B922" s="11">
        <v>45630</v>
      </c>
      <c r="C922" s="11">
        <v>45632</v>
      </c>
      <c r="D922" s="10" t="s">
        <v>1129</v>
      </c>
      <c r="E922" s="10" t="s">
        <v>161</v>
      </c>
      <c r="F922" s="10" t="s">
        <v>124</v>
      </c>
      <c r="G922" s="10" t="s">
        <v>67</v>
      </c>
      <c r="H922" s="10" t="s">
        <v>68</v>
      </c>
      <c r="I922" s="10" t="s">
        <v>69</v>
      </c>
      <c r="J922" s="10" t="s">
        <v>57</v>
      </c>
      <c r="K922" s="10" t="s">
        <v>182</v>
      </c>
      <c r="L922" s="10" t="s">
        <v>1130</v>
      </c>
      <c r="M922" s="10" t="s">
        <v>60</v>
      </c>
      <c r="N922" s="12">
        <v>4</v>
      </c>
      <c r="O922" s="12">
        <v>2685.66</v>
      </c>
      <c r="P922" s="12">
        <v>0</v>
      </c>
      <c r="Q922" s="12">
        <v>10989.89</v>
      </c>
      <c r="R922" s="12">
        <v>6477.37</v>
      </c>
      <c r="S922" s="12">
        <v>4265.2700000000004</v>
      </c>
      <c r="T922" s="10" t="s">
        <v>61</v>
      </c>
      <c r="U922" s="13" t="s">
        <v>62</v>
      </c>
      <c r="V922" s="14" t="e">
        <f t="shared" ca="1" si="0"/>
        <v>#NAME?</v>
      </c>
      <c r="W922" s="10" t="str">
        <f ca="1">IFERROR(__xludf.DUMMYFUNCTION("IF(COUNTIF($A:$A,A916)=1,
""Unique"",
IF(COUNTUNIQUE(FILTER($V$2:$V$934,$A$2:$A$934=A916))&gt;1,
""Conflicting Duplicate"",
""Exact Duplicate""))"),"Exact Duplicate")</f>
        <v>Exact Duplicate</v>
      </c>
      <c r="X922" s="10" t="b">
        <f t="shared" ca="1" si="1"/>
        <v>1</v>
      </c>
      <c r="Y922" s="10" t="str">
        <f t="shared" si="2"/>
        <v>Duplicate Order ID</v>
      </c>
      <c r="Z922" s="10"/>
      <c r="AA922" s="10" t="str">
        <f t="shared" si="3"/>
        <v>Clean</v>
      </c>
      <c r="AB922" s="15" t="str">
        <f t="shared" si="4"/>
        <v>Valid</v>
      </c>
      <c r="AC922" s="15">
        <v>2</v>
      </c>
      <c r="AD922" s="16" t="str">
        <f t="shared" si="5"/>
        <v>Valid</v>
      </c>
      <c r="AE922" s="16" t="str">
        <f t="shared" si="6"/>
        <v>Valid</v>
      </c>
      <c r="AF922" s="16" t="str">
        <f t="shared" ref="AF922:AG922" si="1855">IF(ISNUMBER(B922),"Valid","Invalid")</f>
        <v>Valid</v>
      </c>
      <c r="AG922" s="16" t="str">
        <f t="shared" si="1855"/>
        <v>Valid</v>
      </c>
      <c r="AH922" s="16" t="str">
        <f t="shared" ref="AH922:AI922" si="1856">IF(OR(B922="",ISBLANK(B922)),"Missing","Valid")</f>
        <v>Valid</v>
      </c>
      <c r="AI922" s="16" t="str">
        <f t="shared" si="1856"/>
        <v>Valid</v>
      </c>
      <c r="AJ922" s="16" t="b">
        <v>0</v>
      </c>
      <c r="AK922" s="16" t="b">
        <v>0</v>
      </c>
      <c r="AL922" s="16" t="b">
        <v>0</v>
      </c>
      <c r="AM922" s="16" t="b">
        <v>0</v>
      </c>
      <c r="AN922" s="16" t="b">
        <v>0</v>
      </c>
      <c r="AO922" s="16" t="b">
        <v>0</v>
      </c>
      <c r="AP922" s="16" t="b">
        <v>0</v>
      </c>
      <c r="AQ922" s="17">
        <f t="shared" si="9"/>
        <v>0</v>
      </c>
      <c r="AR922" s="12">
        <f t="shared" si="10"/>
        <v>10742.64</v>
      </c>
      <c r="AS922" s="18">
        <f t="shared" si="11"/>
        <v>247.25</v>
      </c>
      <c r="AT922" s="12">
        <f t="shared" si="12"/>
        <v>4265.2699999999995</v>
      </c>
      <c r="AU922" s="18">
        <f t="shared" si="13"/>
        <v>0</v>
      </c>
      <c r="AV922" s="19">
        <f t="shared" si="14"/>
        <v>0.39704113700170535</v>
      </c>
      <c r="AW922" s="20" t="str">
        <f t="shared" si="15"/>
        <v>December</v>
      </c>
      <c r="AX922" s="21">
        <f t="shared" si="16"/>
        <v>2024</v>
      </c>
    </row>
    <row r="923" spans="1:50" ht="15.75" customHeight="1">
      <c r="A923" s="10" t="s">
        <v>410</v>
      </c>
      <c r="B923" s="11">
        <v>45893</v>
      </c>
      <c r="C923" s="11">
        <v>45898</v>
      </c>
      <c r="D923" s="10" t="s">
        <v>411</v>
      </c>
      <c r="E923" s="10" t="s">
        <v>157</v>
      </c>
      <c r="F923" s="10" t="s">
        <v>66</v>
      </c>
      <c r="G923" s="10" t="s">
        <v>67</v>
      </c>
      <c r="H923" s="10" t="s">
        <v>174</v>
      </c>
      <c r="I923" s="10" t="s">
        <v>175</v>
      </c>
      <c r="J923" s="10" t="s">
        <v>103</v>
      </c>
      <c r="K923" s="10" t="s">
        <v>109</v>
      </c>
      <c r="L923" s="10" t="s">
        <v>412</v>
      </c>
      <c r="M923" s="10" t="s">
        <v>79</v>
      </c>
      <c r="N923" s="12">
        <v>3</v>
      </c>
      <c r="O923" s="12">
        <v>3703.96</v>
      </c>
      <c r="P923" s="12">
        <v>0.15</v>
      </c>
      <c r="Q923" s="12">
        <v>9549.44</v>
      </c>
      <c r="R923" s="12">
        <v>5586.28</v>
      </c>
      <c r="S923" s="12">
        <v>3858.82</v>
      </c>
      <c r="T923" s="10" t="s">
        <v>61</v>
      </c>
      <c r="U923" s="13" t="s">
        <v>132</v>
      </c>
      <c r="V923" s="14" t="e">
        <f t="shared" ca="1" si="0"/>
        <v>#NAME?</v>
      </c>
      <c r="W923" s="10" t="str">
        <f ca="1">IFERROR(__xludf.DUMMYFUNCTION("IF(COUNTIF($A:$A,A917)=1,
""Unique"",
IF(COUNTUNIQUE(FILTER($V$2:$V$934,$A$2:$A$934=A917))&gt;1,
""Conflicting Duplicate"",
""Exact Duplicate""))"),"Exact Duplicate")</f>
        <v>Exact Duplicate</v>
      </c>
      <c r="X923" s="10" t="b">
        <f t="shared" ca="1" si="1"/>
        <v>1</v>
      </c>
      <c r="Y923" s="10" t="str">
        <f t="shared" si="2"/>
        <v>Duplicate Order ID</v>
      </c>
      <c r="Z923" s="10"/>
      <c r="AA923" s="10" t="str">
        <f t="shared" si="3"/>
        <v>Clean</v>
      </c>
      <c r="AB923" s="15" t="str">
        <f t="shared" si="4"/>
        <v>Valid</v>
      </c>
      <c r="AC923" s="15">
        <v>5</v>
      </c>
      <c r="AD923" s="16" t="str">
        <f t="shared" si="5"/>
        <v>Valid</v>
      </c>
      <c r="AE923" s="16" t="str">
        <f t="shared" si="6"/>
        <v>Valid</v>
      </c>
      <c r="AF923" s="16" t="str">
        <f t="shared" ref="AF923:AG923" si="1857">IF(ISNUMBER(B923),"Valid","Invalid")</f>
        <v>Valid</v>
      </c>
      <c r="AG923" s="16" t="str">
        <f t="shared" si="1857"/>
        <v>Valid</v>
      </c>
      <c r="AH923" s="16" t="str">
        <f t="shared" ref="AH923:AI923" si="1858">IF(OR(B923="",ISBLANK(B923)),"Missing","Valid")</f>
        <v>Valid</v>
      </c>
      <c r="AI923" s="16" t="str">
        <f t="shared" si="1858"/>
        <v>Valid</v>
      </c>
      <c r="AJ923" s="16" t="b">
        <v>0</v>
      </c>
      <c r="AK923" s="16" t="b">
        <v>0</v>
      </c>
      <c r="AL923" s="16" t="b">
        <v>0</v>
      </c>
      <c r="AM923" s="16" t="b">
        <v>0</v>
      </c>
      <c r="AN923" s="16" t="b">
        <v>0</v>
      </c>
      <c r="AO923" s="16" t="b">
        <v>0</v>
      </c>
      <c r="AP923" s="16" t="b">
        <v>0</v>
      </c>
      <c r="AQ923" s="17">
        <f t="shared" si="9"/>
        <v>0.15</v>
      </c>
      <c r="AR923" s="12">
        <f t="shared" si="10"/>
        <v>9445.098</v>
      </c>
      <c r="AS923" s="18">
        <f t="shared" si="11"/>
        <v>104.34200000000055</v>
      </c>
      <c r="AT923" s="12">
        <f t="shared" si="12"/>
        <v>3858.8180000000002</v>
      </c>
      <c r="AU923" s="18">
        <f t="shared" si="13"/>
        <v>1.9999999999527063E-3</v>
      </c>
      <c r="AV923" s="19">
        <f t="shared" si="14"/>
        <v>0.40855245758170006</v>
      </c>
      <c r="AW923" s="20" t="str">
        <f t="shared" si="15"/>
        <v>August</v>
      </c>
      <c r="AX923" s="21">
        <f t="shared" si="16"/>
        <v>2025</v>
      </c>
    </row>
    <row r="924" spans="1:50" ht="15.75" customHeight="1">
      <c r="A924" s="10" t="s">
        <v>1252</v>
      </c>
      <c r="B924" s="11">
        <v>45760</v>
      </c>
      <c r="C924" s="11">
        <v>45760</v>
      </c>
      <c r="D924" s="10" t="s">
        <v>1253</v>
      </c>
      <c r="E924" s="10" t="s">
        <v>161</v>
      </c>
      <c r="F924" s="10" t="s">
        <v>66</v>
      </c>
      <c r="G924" s="10" t="s">
        <v>54</v>
      </c>
      <c r="H924" s="10" t="s">
        <v>165</v>
      </c>
      <c r="I924" s="10" t="s">
        <v>166</v>
      </c>
      <c r="J924" s="10" t="s">
        <v>57</v>
      </c>
      <c r="K924" s="10" t="s">
        <v>153</v>
      </c>
      <c r="L924" s="10" t="s">
        <v>1254</v>
      </c>
      <c r="M924" s="10" t="s">
        <v>60</v>
      </c>
      <c r="N924" s="12">
        <v>9</v>
      </c>
      <c r="O924" s="12">
        <v>1118.68</v>
      </c>
      <c r="P924" s="12">
        <v>0</v>
      </c>
      <c r="Q924" s="12">
        <v>10348.43</v>
      </c>
      <c r="R924" s="12">
        <v>8595.3700000000008</v>
      </c>
      <c r="S924" s="12">
        <v>1472.75</v>
      </c>
      <c r="T924" s="10" t="s">
        <v>61</v>
      </c>
      <c r="U924" s="13" t="s">
        <v>132</v>
      </c>
      <c r="V924" s="14" t="e">
        <f t="shared" ca="1" si="0"/>
        <v>#NAME?</v>
      </c>
      <c r="W924" s="10" t="str">
        <f ca="1">IFERROR(__xludf.DUMMYFUNCTION("IF(COUNTIF($A:$A,A918)=1,
""Unique"",
IF(COUNTUNIQUE(FILTER($V$2:$V$934,$A$2:$A$934=A918))&gt;1,
""Conflicting Duplicate"",
""Exact Duplicate""))"),"Exact Duplicate")</f>
        <v>Exact Duplicate</v>
      </c>
      <c r="X924" s="10" t="b">
        <f t="shared" ca="1" si="1"/>
        <v>1</v>
      </c>
      <c r="Y924" s="10" t="str">
        <f t="shared" si="2"/>
        <v>Duplicate Order ID</v>
      </c>
      <c r="Z924" s="10"/>
      <c r="AA924" s="10" t="str">
        <f t="shared" si="3"/>
        <v>Clean</v>
      </c>
      <c r="AB924" s="15" t="str">
        <f t="shared" si="4"/>
        <v>Valid</v>
      </c>
      <c r="AC924" s="15">
        <v>0</v>
      </c>
      <c r="AD924" s="16" t="str">
        <f t="shared" si="5"/>
        <v>Valid</v>
      </c>
      <c r="AE924" s="16" t="str">
        <f t="shared" si="6"/>
        <v>Valid</v>
      </c>
      <c r="AF924" s="16" t="str">
        <f t="shared" ref="AF924:AG924" si="1859">IF(ISNUMBER(B924),"Valid","Invalid")</f>
        <v>Valid</v>
      </c>
      <c r="AG924" s="16" t="str">
        <f t="shared" si="1859"/>
        <v>Valid</v>
      </c>
      <c r="AH924" s="16" t="str">
        <f t="shared" ref="AH924:AI924" si="1860">IF(OR(B924="",ISBLANK(B924)),"Missing","Valid")</f>
        <v>Valid</v>
      </c>
      <c r="AI924" s="16" t="str">
        <f t="shared" si="1860"/>
        <v>Valid</v>
      </c>
      <c r="AJ924" s="16" t="b">
        <v>0</v>
      </c>
      <c r="AK924" s="16" t="b">
        <v>0</v>
      </c>
      <c r="AL924" s="16" t="b">
        <v>0</v>
      </c>
      <c r="AM924" s="16" t="b">
        <v>0</v>
      </c>
      <c r="AN924" s="16" t="b">
        <v>0</v>
      </c>
      <c r="AO924" s="16" t="b">
        <v>0</v>
      </c>
      <c r="AP924" s="16" t="b">
        <v>0</v>
      </c>
      <c r="AQ924" s="17">
        <f t="shared" si="9"/>
        <v>0</v>
      </c>
      <c r="AR924" s="12">
        <f t="shared" si="10"/>
        <v>10068.120000000001</v>
      </c>
      <c r="AS924" s="18">
        <f t="shared" si="11"/>
        <v>280.30999999999949</v>
      </c>
      <c r="AT924" s="12">
        <f t="shared" si="12"/>
        <v>1472.75</v>
      </c>
      <c r="AU924" s="18">
        <f t="shared" si="13"/>
        <v>0</v>
      </c>
      <c r="AV924" s="19">
        <f t="shared" si="14"/>
        <v>0.14627855051389932</v>
      </c>
      <c r="AW924" s="20" t="str">
        <f t="shared" si="15"/>
        <v>April</v>
      </c>
      <c r="AX924" s="21">
        <f t="shared" si="16"/>
        <v>2025</v>
      </c>
    </row>
    <row r="925" spans="1:50" ht="15.75" customHeight="1">
      <c r="A925" s="10" t="s">
        <v>810</v>
      </c>
      <c r="B925" s="11">
        <v>45932</v>
      </c>
      <c r="C925" s="11">
        <v>45938</v>
      </c>
      <c r="D925" s="10" t="s">
        <v>811</v>
      </c>
      <c r="E925" s="10" t="s">
        <v>76</v>
      </c>
      <c r="F925" s="10" t="s">
        <v>66</v>
      </c>
      <c r="G925" s="10" t="s">
        <v>54</v>
      </c>
      <c r="H925" s="10" t="s">
        <v>151</v>
      </c>
      <c r="I925" s="10" t="s">
        <v>152</v>
      </c>
      <c r="J925" s="10" t="s">
        <v>70</v>
      </c>
      <c r="K925" s="10" t="s">
        <v>86</v>
      </c>
      <c r="L925" s="10" t="s">
        <v>812</v>
      </c>
      <c r="M925" s="10" t="s">
        <v>88</v>
      </c>
      <c r="N925" s="12">
        <v>4</v>
      </c>
      <c r="O925" s="12">
        <v>3944.64</v>
      </c>
      <c r="P925" s="12">
        <v>0.25</v>
      </c>
      <c r="Q925" s="12">
        <v>12116.89</v>
      </c>
      <c r="R925" s="12">
        <v>6682.92</v>
      </c>
      <c r="S925" s="12">
        <v>5151</v>
      </c>
      <c r="T925" s="10" t="s">
        <v>61</v>
      </c>
      <c r="U925" s="13" t="s">
        <v>132</v>
      </c>
      <c r="V925" s="14" t="e">
        <f t="shared" ca="1" si="0"/>
        <v>#NAME?</v>
      </c>
      <c r="W925" s="10" t="str">
        <f ca="1">IFERROR(__xludf.DUMMYFUNCTION("IF(COUNTIF($A:$A,A919)=1,
""Unique"",
IF(COUNTUNIQUE(FILTER($V$2:$V$934,$A$2:$A$934=A919))&gt;1,
""Conflicting Duplicate"",
""Exact Duplicate""))"),"Exact Duplicate")</f>
        <v>Exact Duplicate</v>
      </c>
      <c r="X925" s="10" t="b">
        <f t="shared" ca="1" si="1"/>
        <v>1</v>
      </c>
      <c r="Y925" s="10" t="str">
        <f t="shared" si="2"/>
        <v>Duplicate Order ID</v>
      </c>
      <c r="Z925" s="10"/>
      <c r="AA925" s="10" t="str">
        <f t="shared" si="3"/>
        <v>Clean</v>
      </c>
      <c r="AB925" s="15" t="str">
        <f t="shared" si="4"/>
        <v>Valid</v>
      </c>
      <c r="AC925" s="15">
        <v>6</v>
      </c>
      <c r="AD925" s="16" t="str">
        <f t="shared" si="5"/>
        <v>Valid</v>
      </c>
      <c r="AE925" s="16" t="str">
        <f t="shared" si="6"/>
        <v>Valid</v>
      </c>
      <c r="AF925" s="16" t="str">
        <f t="shared" ref="AF925:AG925" si="1861">IF(ISNUMBER(B925),"Valid","Invalid")</f>
        <v>Valid</v>
      </c>
      <c r="AG925" s="16" t="str">
        <f t="shared" si="1861"/>
        <v>Valid</v>
      </c>
      <c r="AH925" s="16" t="str">
        <f t="shared" ref="AH925:AI925" si="1862">IF(OR(B925="",ISBLANK(B925)),"Missing","Valid")</f>
        <v>Valid</v>
      </c>
      <c r="AI925" s="16" t="str">
        <f t="shared" si="1862"/>
        <v>Valid</v>
      </c>
      <c r="AJ925" s="16" t="b">
        <v>0</v>
      </c>
      <c r="AK925" s="16" t="b">
        <v>0</v>
      </c>
      <c r="AL925" s="16" t="b">
        <v>0</v>
      </c>
      <c r="AM925" s="16" t="b">
        <v>0</v>
      </c>
      <c r="AN925" s="16" t="b">
        <v>0</v>
      </c>
      <c r="AO925" s="16" t="b">
        <v>0</v>
      </c>
      <c r="AP925" s="16" t="b">
        <v>0</v>
      </c>
      <c r="AQ925" s="17">
        <f t="shared" si="9"/>
        <v>0.25</v>
      </c>
      <c r="AR925" s="12">
        <f t="shared" si="10"/>
        <v>11833.92</v>
      </c>
      <c r="AS925" s="18">
        <f t="shared" si="11"/>
        <v>282.96999999999935</v>
      </c>
      <c r="AT925" s="12">
        <f t="shared" si="12"/>
        <v>5151</v>
      </c>
      <c r="AU925" s="18">
        <f t="shared" si="13"/>
        <v>0</v>
      </c>
      <c r="AV925" s="19">
        <f t="shared" si="14"/>
        <v>0.43527419485681834</v>
      </c>
      <c r="AW925" s="20" t="str">
        <f t="shared" si="15"/>
        <v>October</v>
      </c>
      <c r="AX925" s="21">
        <f t="shared" si="16"/>
        <v>2025</v>
      </c>
    </row>
    <row r="926" spans="1:50" ht="15.75" customHeight="1">
      <c r="A926" s="10" t="s">
        <v>1078</v>
      </c>
      <c r="B926" s="11">
        <v>45795</v>
      </c>
      <c r="C926" s="11">
        <v>45797</v>
      </c>
      <c r="D926" s="10" t="s">
        <v>1079</v>
      </c>
      <c r="E926" s="10" t="s">
        <v>76</v>
      </c>
      <c r="F926" s="10" t="s">
        <v>119</v>
      </c>
      <c r="G926" s="10" t="s">
        <v>92</v>
      </c>
      <c r="H926" s="10" t="s">
        <v>101</v>
      </c>
      <c r="I926" s="10" t="s">
        <v>102</v>
      </c>
      <c r="J926" s="10" t="s">
        <v>57</v>
      </c>
      <c r="K926" s="10" t="s">
        <v>120</v>
      </c>
      <c r="L926" s="10" t="s">
        <v>1080</v>
      </c>
      <c r="M926" s="10" t="s">
        <v>88</v>
      </c>
      <c r="N926" s="12">
        <v>9</v>
      </c>
      <c r="O926" s="12">
        <v>847.76</v>
      </c>
      <c r="P926" s="12">
        <v>0.15</v>
      </c>
      <c r="Q926" s="12">
        <v>6589.37</v>
      </c>
      <c r="R926" s="12">
        <v>5376.17</v>
      </c>
      <c r="S926" s="12">
        <v>1109.19</v>
      </c>
      <c r="T926" s="10" t="s">
        <v>184</v>
      </c>
      <c r="U926" s="13" t="s">
        <v>62</v>
      </c>
      <c r="V926" s="14" t="e">
        <f t="shared" ca="1" si="0"/>
        <v>#NAME?</v>
      </c>
      <c r="W926" s="10" t="str">
        <f ca="1">IFERROR(__xludf.DUMMYFUNCTION("IF(COUNTIF($A:$A,A920)=1,
""Unique"",
IF(COUNTUNIQUE(FILTER($V$2:$V$934,$A$2:$A$934=A920))&gt;1,
""Conflicting Duplicate"",
""Exact Duplicate""))"),"Exact Duplicate")</f>
        <v>Exact Duplicate</v>
      </c>
      <c r="X926" s="10" t="b">
        <f t="shared" ca="1" si="1"/>
        <v>1</v>
      </c>
      <c r="Y926" s="10" t="str">
        <f t="shared" si="2"/>
        <v>Duplicate Order ID</v>
      </c>
      <c r="Z926" s="10"/>
      <c r="AA926" s="10" t="str">
        <f t="shared" si="3"/>
        <v>Clean</v>
      </c>
      <c r="AB926" s="15" t="str">
        <f t="shared" si="4"/>
        <v>Valid</v>
      </c>
      <c r="AC926" s="15">
        <v>2</v>
      </c>
      <c r="AD926" s="16" t="str">
        <f t="shared" si="5"/>
        <v>Valid</v>
      </c>
      <c r="AE926" s="16" t="str">
        <f t="shared" si="6"/>
        <v>Valid</v>
      </c>
      <c r="AF926" s="16" t="str">
        <f t="shared" ref="AF926:AG926" si="1863">IF(ISNUMBER(B926),"Valid","Invalid")</f>
        <v>Valid</v>
      </c>
      <c r="AG926" s="16" t="str">
        <f t="shared" si="1863"/>
        <v>Valid</v>
      </c>
      <c r="AH926" s="16" t="str">
        <f t="shared" ref="AH926:AI926" si="1864">IF(OR(B926="",ISBLANK(B926)),"Missing","Valid")</f>
        <v>Valid</v>
      </c>
      <c r="AI926" s="16" t="str">
        <f t="shared" si="1864"/>
        <v>Valid</v>
      </c>
      <c r="AJ926" s="16" t="b">
        <v>0</v>
      </c>
      <c r="AK926" s="16" t="b">
        <v>0</v>
      </c>
      <c r="AL926" s="16" t="b">
        <v>0</v>
      </c>
      <c r="AM926" s="16" t="b">
        <v>0</v>
      </c>
      <c r="AN926" s="16" t="b">
        <v>0</v>
      </c>
      <c r="AO926" s="16" t="b">
        <v>0</v>
      </c>
      <c r="AP926" s="16" t="b">
        <v>0</v>
      </c>
      <c r="AQ926" s="17">
        <f t="shared" si="9"/>
        <v>0.15</v>
      </c>
      <c r="AR926" s="12">
        <f t="shared" si="10"/>
        <v>6485.3639999999996</v>
      </c>
      <c r="AS926" s="18">
        <f t="shared" si="11"/>
        <v>104.00600000000031</v>
      </c>
      <c r="AT926" s="12">
        <f t="shared" si="12"/>
        <v>1109.1939999999995</v>
      </c>
      <c r="AU926" s="18">
        <f t="shared" si="13"/>
        <v>-3.9999999994506652E-3</v>
      </c>
      <c r="AV926" s="19">
        <f t="shared" si="14"/>
        <v>0.17103033846673826</v>
      </c>
      <c r="AW926" s="20" t="str">
        <f t="shared" si="15"/>
        <v>May</v>
      </c>
      <c r="AX926" s="21">
        <f t="shared" si="16"/>
        <v>2025</v>
      </c>
    </row>
    <row r="927" spans="1:50" ht="15.75" customHeight="1">
      <c r="A927" s="10" t="s">
        <v>649</v>
      </c>
      <c r="B927" s="11">
        <v>45907</v>
      </c>
      <c r="C927" s="11">
        <v>45915</v>
      </c>
      <c r="D927" s="10" t="s">
        <v>650</v>
      </c>
      <c r="E927" s="10" t="s">
        <v>170</v>
      </c>
      <c r="F927" s="10" t="s">
        <v>119</v>
      </c>
      <c r="G927" s="10" t="s">
        <v>67</v>
      </c>
      <c r="H927" s="10" t="s">
        <v>174</v>
      </c>
      <c r="I927" s="10" t="s">
        <v>175</v>
      </c>
      <c r="J927" s="10" t="s">
        <v>103</v>
      </c>
      <c r="K927" s="10" t="s">
        <v>109</v>
      </c>
      <c r="L927" s="10" t="s">
        <v>651</v>
      </c>
      <c r="M927" s="10" t="s">
        <v>88</v>
      </c>
      <c r="N927" s="12">
        <v>3</v>
      </c>
      <c r="O927" s="12">
        <v>1711.32</v>
      </c>
      <c r="P927" s="12">
        <v>0</v>
      </c>
      <c r="Q927" s="12">
        <v>5206.53</v>
      </c>
      <c r="R927" s="12">
        <v>3930</v>
      </c>
      <c r="S927" s="12">
        <v>1203.96</v>
      </c>
      <c r="T927" s="10" t="s">
        <v>61</v>
      </c>
      <c r="U927" s="13" t="s">
        <v>132</v>
      </c>
      <c r="V927" s="14" t="e">
        <f t="shared" ca="1" si="0"/>
        <v>#NAME?</v>
      </c>
      <c r="W927" s="10" t="str">
        <f ca="1">IFERROR(__xludf.DUMMYFUNCTION("IF(COUNTIF($A:$A,A921)=1,
""Unique"",
IF(COUNTUNIQUE(FILTER($V$2:$V$934,$A$2:$A$934=A921))&gt;1,
""Conflicting Duplicate"",
""Exact Duplicate""))"),"Exact Duplicate")</f>
        <v>Exact Duplicate</v>
      </c>
      <c r="X927" s="10" t="b">
        <f t="shared" ca="1" si="1"/>
        <v>1</v>
      </c>
      <c r="Y927" s="10" t="str">
        <f t="shared" si="2"/>
        <v>Duplicate Order ID</v>
      </c>
      <c r="Z927" s="10"/>
      <c r="AA927" s="10" t="str">
        <f t="shared" si="3"/>
        <v>Clean</v>
      </c>
      <c r="AB927" s="15" t="str">
        <f t="shared" si="4"/>
        <v>Valid</v>
      </c>
      <c r="AC927" s="15">
        <v>8</v>
      </c>
      <c r="AD927" s="16" t="str">
        <f t="shared" si="5"/>
        <v>Valid</v>
      </c>
      <c r="AE927" s="16" t="str">
        <f t="shared" si="6"/>
        <v>Valid</v>
      </c>
      <c r="AF927" s="16" t="str">
        <f t="shared" ref="AF927:AG927" si="1865">IF(ISNUMBER(B927),"Valid","Invalid")</f>
        <v>Valid</v>
      </c>
      <c r="AG927" s="16" t="str">
        <f t="shared" si="1865"/>
        <v>Valid</v>
      </c>
      <c r="AH927" s="16" t="str">
        <f t="shared" ref="AH927:AI927" si="1866">IF(OR(B927="",ISBLANK(B927)),"Missing","Valid")</f>
        <v>Valid</v>
      </c>
      <c r="AI927" s="16" t="str">
        <f t="shared" si="1866"/>
        <v>Valid</v>
      </c>
      <c r="AJ927" s="16" t="b">
        <v>0</v>
      </c>
      <c r="AK927" s="16" t="b">
        <v>0</v>
      </c>
      <c r="AL927" s="16" t="b">
        <v>0</v>
      </c>
      <c r="AM927" s="16" t="b">
        <v>0</v>
      </c>
      <c r="AN927" s="16" t="b">
        <v>0</v>
      </c>
      <c r="AO927" s="16" t="b">
        <v>0</v>
      </c>
      <c r="AP927" s="16" t="b">
        <v>0</v>
      </c>
      <c r="AQ927" s="17">
        <f t="shared" si="9"/>
        <v>0</v>
      </c>
      <c r="AR927" s="12">
        <f t="shared" si="10"/>
        <v>5133.96</v>
      </c>
      <c r="AS927" s="18">
        <f t="shared" si="11"/>
        <v>72.569999999999709</v>
      </c>
      <c r="AT927" s="12">
        <f t="shared" si="12"/>
        <v>1203.96</v>
      </c>
      <c r="AU927" s="18">
        <f t="shared" si="13"/>
        <v>0</v>
      </c>
      <c r="AV927" s="19">
        <f t="shared" si="14"/>
        <v>0.23450903396208775</v>
      </c>
      <c r="AW927" s="20" t="str">
        <f t="shared" si="15"/>
        <v>September</v>
      </c>
      <c r="AX927" s="21">
        <f t="shared" si="16"/>
        <v>2025</v>
      </c>
    </row>
    <row r="928" spans="1:50" ht="15.75" customHeight="1">
      <c r="A928" s="10" t="s">
        <v>1401</v>
      </c>
      <c r="B928" s="11">
        <v>45342</v>
      </c>
      <c r="C928" s="11">
        <v>45349</v>
      </c>
      <c r="D928" s="10" t="s">
        <v>1402</v>
      </c>
      <c r="E928" s="10" t="s">
        <v>191</v>
      </c>
      <c r="F928" s="10" t="s">
        <v>53</v>
      </c>
      <c r="G928" s="10" t="s">
        <v>83</v>
      </c>
      <c r="H928" s="10" t="s">
        <v>214</v>
      </c>
      <c r="I928" s="10" t="s">
        <v>215</v>
      </c>
      <c r="J928" s="10" t="s">
        <v>103</v>
      </c>
      <c r="K928" s="10" t="s">
        <v>104</v>
      </c>
      <c r="L928" s="10" t="s">
        <v>1403</v>
      </c>
      <c r="M928" s="10" t="s">
        <v>79</v>
      </c>
      <c r="N928" s="12">
        <v>9</v>
      </c>
      <c r="O928" s="12">
        <v>3779.31</v>
      </c>
      <c r="P928" s="12">
        <v>0.2</v>
      </c>
      <c r="Q928" s="12">
        <v>27322.9</v>
      </c>
      <c r="R928" s="12">
        <v>17940.43</v>
      </c>
      <c r="S928" s="12">
        <v>9270.6</v>
      </c>
      <c r="T928" s="10" t="s">
        <v>61</v>
      </c>
      <c r="U928" s="13" t="s">
        <v>132</v>
      </c>
      <c r="V928" s="14" t="e">
        <f t="shared" ca="1" si="0"/>
        <v>#NAME?</v>
      </c>
      <c r="W928" s="10" t="str">
        <f ca="1">IFERROR(__xludf.DUMMYFUNCTION("IF(COUNTIF($A:$A,A922)=1,
""Unique"",
IF(COUNTUNIQUE(FILTER($V$2:$V$934,$A$2:$A$934=A922))&gt;1,
""Conflicting Duplicate"",
""Exact Duplicate""))"),"Conflicting Duplicate")</f>
        <v>Conflicting Duplicate</v>
      </c>
      <c r="X928" s="10" t="b">
        <f t="shared" ca="1" si="1"/>
        <v>1</v>
      </c>
      <c r="Y928" s="10" t="str">
        <f t="shared" si="2"/>
        <v>Duplicate Order ID</v>
      </c>
      <c r="Z928" s="10"/>
      <c r="AA928" s="10" t="str">
        <f t="shared" si="3"/>
        <v>Clean</v>
      </c>
      <c r="AB928" s="15" t="str">
        <f t="shared" si="4"/>
        <v>Valid</v>
      </c>
      <c r="AC928" s="15">
        <v>7</v>
      </c>
      <c r="AD928" s="16" t="str">
        <f t="shared" si="5"/>
        <v>Valid</v>
      </c>
      <c r="AE928" s="16" t="str">
        <f t="shared" si="6"/>
        <v>Valid</v>
      </c>
      <c r="AF928" s="16" t="str">
        <f t="shared" ref="AF928:AG928" si="1867">IF(ISNUMBER(B928),"Valid","Invalid")</f>
        <v>Valid</v>
      </c>
      <c r="AG928" s="16" t="str">
        <f t="shared" si="1867"/>
        <v>Valid</v>
      </c>
      <c r="AH928" s="16" t="str">
        <f t="shared" ref="AH928:AI928" si="1868">IF(OR(B928="",ISBLANK(B928)),"Missing","Valid")</f>
        <v>Valid</v>
      </c>
      <c r="AI928" s="16" t="str">
        <f t="shared" si="1868"/>
        <v>Valid</v>
      </c>
      <c r="AJ928" s="16" t="b">
        <v>0</v>
      </c>
      <c r="AK928" s="16" t="b">
        <v>0</v>
      </c>
      <c r="AL928" s="16" t="b">
        <v>0</v>
      </c>
      <c r="AM928" s="16" t="b">
        <v>0</v>
      </c>
      <c r="AN928" s="16" t="b">
        <v>0</v>
      </c>
      <c r="AO928" s="16" t="b">
        <v>0</v>
      </c>
      <c r="AP928" s="16" t="b">
        <v>0</v>
      </c>
      <c r="AQ928" s="17">
        <f t="shared" si="9"/>
        <v>0.2</v>
      </c>
      <c r="AR928" s="12">
        <f t="shared" si="10"/>
        <v>27211.032000000003</v>
      </c>
      <c r="AS928" s="18">
        <f t="shared" si="11"/>
        <v>111.86799999999857</v>
      </c>
      <c r="AT928" s="12">
        <f t="shared" si="12"/>
        <v>9270.6020000000026</v>
      </c>
      <c r="AU928" s="18">
        <f t="shared" si="13"/>
        <v>-2.000000002226443E-3</v>
      </c>
      <c r="AV928" s="19">
        <f t="shared" si="14"/>
        <v>0.34069277490100347</v>
      </c>
      <c r="AW928" s="20" t="str">
        <f t="shared" si="15"/>
        <v>February</v>
      </c>
      <c r="AX928" s="21">
        <f t="shared" si="16"/>
        <v>2024</v>
      </c>
    </row>
    <row r="929" spans="1:50" ht="15.75" customHeight="1">
      <c r="A929" s="10" t="s">
        <v>1839</v>
      </c>
      <c r="B929" s="11">
        <v>45698</v>
      </c>
      <c r="C929" s="11">
        <v>45702</v>
      </c>
      <c r="D929" s="10" t="s">
        <v>1840</v>
      </c>
      <c r="E929" s="10" t="s">
        <v>143</v>
      </c>
      <c r="F929" s="10" t="s">
        <v>66</v>
      </c>
      <c r="G929" s="10" t="s">
        <v>54</v>
      </c>
      <c r="H929" s="10" t="s">
        <v>165</v>
      </c>
      <c r="I929" s="10" t="s">
        <v>166</v>
      </c>
      <c r="J929" s="10" t="s">
        <v>103</v>
      </c>
      <c r="K929" s="10" t="s">
        <v>200</v>
      </c>
      <c r="L929" s="10" t="s">
        <v>1841</v>
      </c>
      <c r="M929" s="10" t="s">
        <v>234</v>
      </c>
      <c r="N929" s="12">
        <v>5</v>
      </c>
      <c r="O929" s="12">
        <v>4276.29</v>
      </c>
      <c r="P929" s="12">
        <v>0</v>
      </c>
      <c r="Q929" s="12">
        <v>21443.63</v>
      </c>
      <c r="R929" s="12">
        <v>13240.21</v>
      </c>
      <c r="S929" s="12">
        <v>8141.24</v>
      </c>
      <c r="T929" s="10" t="s">
        <v>184</v>
      </c>
      <c r="U929" s="13" t="s">
        <v>62</v>
      </c>
      <c r="V929" s="14" t="e">
        <f t="shared" ca="1" si="0"/>
        <v>#NAME?</v>
      </c>
      <c r="W929" s="10" t="str">
        <f ca="1">IFERROR(__xludf.DUMMYFUNCTION("IF(COUNTIF($A:$A,A923)=1,
""Unique"",
IF(COUNTUNIQUE(FILTER($V$2:$V$934,$A$2:$A$934=A923))&gt;1,
""Conflicting Duplicate"",
""Exact Duplicate""))"),"Conflicting Duplicate")</f>
        <v>Conflicting Duplicate</v>
      </c>
      <c r="X929" s="10" t="b">
        <f t="shared" ca="1" si="1"/>
        <v>1</v>
      </c>
      <c r="Y929" s="10" t="str">
        <f t="shared" si="2"/>
        <v>Duplicate Order ID</v>
      </c>
      <c r="Z929" s="10"/>
      <c r="AA929" s="10" t="str">
        <f t="shared" si="3"/>
        <v>Warning</v>
      </c>
      <c r="AB929" s="15" t="str">
        <f t="shared" si="4"/>
        <v>Valid</v>
      </c>
      <c r="AC929" s="15">
        <v>4</v>
      </c>
      <c r="AD929" s="16" t="str">
        <f t="shared" si="5"/>
        <v>Valid</v>
      </c>
      <c r="AE929" s="16" t="str">
        <f t="shared" si="6"/>
        <v>Valid</v>
      </c>
      <c r="AF929" s="16" t="str">
        <f t="shared" ref="AF929:AG929" si="1869">IF(ISNUMBER(B929),"Valid","Invalid")</f>
        <v>Valid</v>
      </c>
      <c r="AG929" s="16" t="str">
        <f t="shared" si="1869"/>
        <v>Valid</v>
      </c>
      <c r="AH929" s="16" t="str">
        <f t="shared" ref="AH929:AI929" si="1870">IF(OR(B929="",ISBLANK(B929)),"Missing","Valid")</f>
        <v>Valid</v>
      </c>
      <c r="AI929" s="16" t="str">
        <f t="shared" si="1870"/>
        <v>Valid</v>
      </c>
      <c r="AJ929" s="16" t="b">
        <v>0</v>
      </c>
      <c r="AK929" s="16" t="b">
        <v>1</v>
      </c>
      <c r="AL929" s="16" t="b">
        <v>0</v>
      </c>
      <c r="AM929" s="16" t="b">
        <v>0</v>
      </c>
      <c r="AN929" s="16" t="b">
        <v>0</v>
      </c>
      <c r="AO929" s="16" t="b">
        <v>0</v>
      </c>
      <c r="AP929" s="16" t="b">
        <v>1</v>
      </c>
      <c r="AQ929" s="17">
        <f t="shared" si="9"/>
        <v>0</v>
      </c>
      <c r="AR929" s="12">
        <f t="shared" si="10"/>
        <v>21381.45</v>
      </c>
      <c r="AS929" s="18">
        <f t="shared" si="11"/>
        <v>62.180000000000291</v>
      </c>
      <c r="AT929" s="12">
        <f t="shared" si="12"/>
        <v>8141.2400000000016</v>
      </c>
      <c r="AU929" s="18">
        <f t="shared" si="13"/>
        <v>0</v>
      </c>
      <c r="AV929" s="19">
        <f t="shared" si="14"/>
        <v>0.38076182859441249</v>
      </c>
      <c r="AW929" s="20" t="str">
        <f t="shared" si="15"/>
        <v>February</v>
      </c>
      <c r="AX929" s="21">
        <f t="shared" si="16"/>
        <v>2025</v>
      </c>
    </row>
    <row r="930" spans="1:50" ht="15.75" customHeight="1">
      <c r="A930" s="10" t="s">
        <v>566</v>
      </c>
      <c r="B930" s="11">
        <v>45381</v>
      </c>
      <c r="C930" s="11">
        <v>45377</v>
      </c>
      <c r="D930" s="10" t="s">
        <v>567</v>
      </c>
      <c r="E930" s="10" t="s">
        <v>118</v>
      </c>
      <c r="F930" s="10" t="s">
        <v>124</v>
      </c>
      <c r="G930" s="10" t="s">
        <v>54</v>
      </c>
      <c r="H930" s="10" t="s">
        <v>55</v>
      </c>
      <c r="I930" s="10" t="s">
        <v>56</v>
      </c>
      <c r="J930" s="10" t="s">
        <v>103</v>
      </c>
      <c r="K930" s="10" t="s">
        <v>200</v>
      </c>
      <c r="L930" s="10" t="s">
        <v>568</v>
      </c>
      <c r="M930" s="10" t="s">
        <v>60</v>
      </c>
      <c r="N930" s="12">
        <v>5</v>
      </c>
      <c r="O930" s="12">
        <v>907.54</v>
      </c>
      <c r="P930" s="12">
        <v>0.15</v>
      </c>
      <c r="Q930" s="12">
        <v>4099.6899999999996</v>
      </c>
      <c r="R930" s="12">
        <v>2769.26</v>
      </c>
      <c r="S930" s="12">
        <v>1087.78</v>
      </c>
      <c r="T930" s="10" t="s">
        <v>61</v>
      </c>
      <c r="U930" s="13" t="s">
        <v>132</v>
      </c>
      <c r="V930" s="14" t="e">
        <f t="shared" ca="1" si="0"/>
        <v>#NAME?</v>
      </c>
      <c r="W930" s="10" t="str">
        <f ca="1">IFERROR(__xludf.DUMMYFUNCTION("IF(COUNTIF($A:$A,A924)=1,
""Unique"",
IF(COUNTUNIQUE(FILTER($V$2:$V$934,$A$2:$A$934=A924))&gt;1,
""Conflicting Duplicate"",
""Exact Duplicate""))"),"Conflicting Duplicate")</f>
        <v>Conflicting Duplicate</v>
      </c>
      <c r="X930" s="10" t="b">
        <f t="shared" ca="1" si="1"/>
        <v>1</v>
      </c>
      <c r="Y930" s="10" t="str">
        <f t="shared" si="2"/>
        <v>Duplicate Order ID</v>
      </c>
      <c r="Z930" s="10"/>
      <c r="AA930" s="10" t="str">
        <f t="shared" si="3"/>
        <v>Invalid</v>
      </c>
      <c r="AB930" s="15" t="str">
        <f t="shared" si="4"/>
        <v>Invalid</v>
      </c>
      <c r="AC930" s="15">
        <v>-4</v>
      </c>
      <c r="AD930" s="16" t="str">
        <f t="shared" si="5"/>
        <v>Invalid Shipping Date</v>
      </c>
      <c r="AE930" s="16" t="str">
        <f t="shared" si="6"/>
        <v>Valid</v>
      </c>
      <c r="AF930" s="16" t="str">
        <f t="shared" ref="AF930:AG930" si="1871">IF(ISNUMBER(B930),"Valid","Invalid")</f>
        <v>Valid</v>
      </c>
      <c r="AG930" s="16" t="str">
        <f t="shared" si="1871"/>
        <v>Valid</v>
      </c>
      <c r="AH930" s="16" t="str">
        <f t="shared" ref="AH930:AI930" si="1872">IF(OR(B930="",ISBLANK(B930)),"Missing","Valid")</f>
        <v>Valid</v>
      </c>
      <c r="AI930" s="16" t="str">
        <f t="shared" si="1872"/>
        <v>Valid</v>
      </c>
      <c r="AJ930" s="16" t="b">
        <v>0</v>
      </c>
      <c r="AK930" s="16" t="b">
        <v>0</v>
      </c>
      <c r="AL930" s="16" t="b">
        <v>0</v>
      </c>
      <c r="AM930" s="16" t="b">
        <v>0</v>
      </c>
      <c r="AN930" s="16" t="b">
        <v>0</v>
      </c>
      <c r="AO930" s="16" t="b">
        <v>1</v>
      </c>
      <c r="AP930" s="16" t="b">
        <v>1</v>
      </c>
      <c r="AQ930" s="17">
        <f t="shared" si="9"/>
        <v>0.15</v>
      </c>
      <c r="AR930" s="12">
        <f t="shared" si="10"/>
        <v>3857.0449999999996</v>
      </c>
      <c r="AS930" s="18">
        <f t="shared" si="11"/>
        <v>242.64499999999998</v>
      </c>
      <c r="AT930" s="12">
        <f t="shared" si="12"/>
        <v>1087.7849999999994</v>
      </c>
      <c r="AU930" s="18">
        <f t="shared" si="13"/>
        <v>-4.9999999994270183E-3</v>
      </c>
      <c r="AV930" s="19">
        <f t="shared" si="14"/>
        <v>0.28202548842442843</v>
      </c>
      <c r="AW930" s="20" t="str">
        <f t="shared" si="15"/>
        <v>March</v>
      </c>
      <c r="AX930" s="21">
        <f t="shared" si="16"/>
        <v>2024</v>
      </c>
    </row>
    <row r="931" spans="1:50" ht="15.75" customHeight="1">
      <c r="A931" s="10" t="s">
        <v>953</v>
      </c>
      <c r="B931" s="11">
        <v>45522</v>
      </c>
      <c r="C931" s="11">
        <v>45528</v>
      </c>
      <c r="D931" s="10" t="s">
        <v>954</v>
      </c>
      <c r="E931" s="10" t="s">
        <v>82</v>
      </c>
      <c r="F931" s="10" t="s">
        <v>53</v>
      </c>
      <c r="G931" s="10" t="s">
        <v>83</v>
      </c>
      <c r="H931" s="10" t="s">
        <v>113</v>
      </c>
      <c r="I931" s="10" t="s">
        <v>114</v>
      </c>
      <c r="J931" s="10" t="s">
        <v>70</v>
      </c>
      <c r="K931" s="10" t="s">
        <v>95</v>
      </c>
      <c r="L931" s="10" t="s">
        <v>955</v>
      </c>
      <c r="M931" s="10" t="s">
        <v>79</v>
      </c>
      <c r="N931" s="12">
        <v>7</v>
      </c>
      <c r="O931" s="12">
        <v>557.21</v>
      </c>
      <c r="P931" s="12">
        <v>0.1</v>
      </c>
      <c r="Q931" s="12">
        <v>3797.79</v>
      </c>
      <c r="R931" s="12">
        <v>2191.5</v>
      </c>
      <c r="S931" s="12">
        <v>1213.48</v>
      </c>
      <c r="T931" s="10" t="s">
        <v>61</v>
      </c>
      <c r="U931" s="13" t="s">
        <v>132</v>
      </c>
      <c r="V931" s="14" t="e">
        <f t="shared" ca="1" si="0"/>
        <v>#NAME?</v>
      </c>
      <c r="W931" s="10" t="str">
        <f ca="1">IFERROR(__xludf.DUMMYFUNCTION("IF(COUNTIF($A:$A,A925)=1,
""Unique"",
IF(COUNTUNIQUE(FILTER($V$2:$V$934,$A$2:$A$934=A925))&gt;1,
""Conflicting Duplicate"",
""Exact Duplicate""))"),"Conflicting Duplicate")</f>
        <v>Conflicting Duplicate</v>
      </c>
      <c r="X931" s="10" t="b">
        <f t="shared" ca="1" si="1"/>
        <v>1</v>
      </c>
      <c r="Y931" s="10" t="str">
        <f t="shared" si="2"/>
        <v>Duplicate Order ID</v>
      </c>
      <c r="Z931" s="10"/>
      <c r="AA931" s="10" t="str">
        <f t="shared" si="3"/>
        <v>Clean</v>
      </c>
      <c r="AB931" s="15" t="str">
        <f t="shared" si="4"/>
        <v>Valid</v>
      </c>
      <c r="AC931" s="15">
        <v>6</v>
      </c>
      <c r="AD931" s="16" t="str">
        <f t="shared" si="5"/>
        <v>Valid</v>
      </c>
      <c r="AE931" s="16" t="str">
        <f t="shared" si="6"/>
        <v>Valid</v>
      </c>
      <c r="AF931" s="16" t="str">
        <f t="shared" ref="AF931:AG931" si="1873">IF(ISNUMBER(B931),"Valid","Invalid")</f>
        <v>Valid</v>
      </c>
      <c r="AG931" s="16" t="str">
        <f t="shared" si="1873"/>
        <v>Valid</v>
      </c>
      <c r="AH931" s="16" t="str">
        <f t="shared" ref="AH931:AI931" si="1874">IF(OR(B931="",ISBLANK(B931)),"Missing","Valid")</f>
        <v>Valid</v>
      </c>
      <c r="AI931" s="16" t="str">
        <f t="shared" si="1874"/>
        <v>Valid</v>
      </c>
      <c r="AJ931" s="16" t="b">
        <v>0</v>
      </c>
      <c r="AK931" s="16" t="b">
        <v>0</v>
      </c>
      <c r="AL931" s="16" t="b">
        <v>0</v>
      </c>
      <c r="AM931" s="16" t="b">
        <v>0</v>
      </c>
      <c r="AN931" s="16" t="b">
        <v>0</v>
      </c>
      <c r="AO931" s="16" t="b">
        <v>0</v>
      </c>
      <c r="AP931" s="16" t="b">
        <v>0</v>
      </c>
      <c r="AQ931" s="17">
        <f t="shared" si="9"/>
        <v>0.1</v>
      </c>
      <c r="AR931" s="12">
        <f t="shared" si="10"/>
        <v>3510.4230000000002</v>
      </c>
      <c r="AS931" s="18">
        <f t="shared" si="11"/>
        <v>287.36699999999973</v>
      </c>
      <c r="AT931" s="12">
        <f t="shared" si="12"/>
        <v>1318.9230000000002</v>
      </c>
      <c r="AU931" s="18">
        <f t="shared" si="13"/>
        <v>-105.44300000000021</v>
      </c>
      <c r="AV931" s="19">
        <f t="shared" si="14"/>
        <v>0.37571625983535323</v>
      </c>
      <c r="AW931" s="20" t="str">
        <f t="shared" si="15"/>
        <v>August</v>
      </c>
      <c r="AX931" s="21">
        <f t="shared" si="16"/>
        <v>2024</v>
      </c>
    </row>
    <row r="932" spans="1:50" ht="15.75" customHeight="1">
      <c r="A932" s="10" t="s">
        <v>509</v>
      </c>
      <c r="B932" s="11">
        <v>45436</v>
      </c>
      <c r="C932" s="11">
        <v>45437</v>
      </c>
      <c r="D932" s="10" t="s">
        <v>510</v>
      </c>
      <c r="E932" s="10" t="s">
        <v>161</v>
      </c>
      <c r="F932" s="10" t="s">
        <v>66</v>
      </c>
      <c r="G932" s="10" t="s">
        <v>54</v>
      </c>
      <c r="H932" s="10" t="s">
        <v>151</v>
      </c>
      <c r="I932" s="10" t="s">
        <v>152</v>
      </c>
      <c r="J932" s="10" t="s">
        <v>103</v>
      </c>
      <c r="K932" s="10" t="s">
        <v>109</v>
      </c>
      <c r="L932" s="10" t="s">
        <v>511</v>
      </c>
      <c r="M932" s="10" t="s">
        <v>73</v>
      </c>
      <c r="N932" s="12">
        <v>1</v>
      </c>
      <c r="O932" s="12">
        <v>634.13</v>
      </c>
      <c r="P932" s="12">
        <v>0</v>
      </c>
      <c r="Q932" s="12">
        <v>808.67</v>
      </c>
      <c r="R932" s="12">
        <v>453.35</v>
      </c>
      <c r="S932" s="12">
        <v>180.78</v>
      </c>
      <c r="T932" s="10" t="s">
        <v>131</v>
      </c>
      <c r="U932" s="13" t="s">
        <v>132</v>
      </c>
      <c r="V932" s="14" t="e">
        <f t="shared" ca="1" si="0"/>
        <v>#NAME?</v>
      </c>
      <c r="W932" s="10" t="str">
        <f ca="1">IFERROR(__xludf.DUMMYFUNCTION("IF(COUNTIF($A:$A,A926)=1,
""Unique"",
IF(COUNTUNIQUE(FILTER($V$2:$V$934,$A$2:$A$934=A926))&gt;1,
""Conflicting Duplicate"",
""Exact Duplicate""))"),"Conflicting Duplicate")</f>
        <v>Conflicting Duplicate</v>
      </c>
      <c r="X932" s="10" t="b">
        <f t="shared" ca="1" si="1"/>
        <v>1</v>
      </c>
      <c r="Y932" s="10" t="str">
        <f t="shared" si="2"/>
        <v>Duplicate Order ID</v>
      </c>
      <c r="Z932" s="10"/>
      <c r="AA932" s="10" t="str">
        <f t="shared" si="3"/>
        <v>Clean</v>
      </c>
      <c r="AB932" s="15" t="str">
        <f t="shared" si="4"/>
        <v>Valid</v>
      </c>
      <c r="AC932" s="15">
        <v>1</v>
      </c>
      <c r="AD932" s="16" t="str">
        <f t="shared" si="5"/>
        <v>Valid</v>
      </c>
      <c r="AE932" s="16" t="str">
        <f t="shared" si="6"/>
        <v>Valid</v>
      </c>
      <c r="AF932" s="16" t="str">
        <f t="shared" ref="AF932:AG932" si="1875">IF(ISNUMBER(B932),"Valid","Invalid")</f>
        <v>Valid</v>
      </c>
      <c r="AG932" s="16" t="str">
        <f t="shared" si="1875"/>
        <v>Valid</v>
      </c>
      <c r="AH932" s="16" t="str">
        <f t="shared" ref="AH932:AI932" si="1876">IF(OR(B932="",ISBLANK(B932)),"Missing","Valid")</f>
        <v>Valid</v>
      </c>
      <c r="AI932" s="16" t="str">
        <f t="shared" si="1876"/>
        <v>Valid</v>
      </c>
      <c r="AJ932" s="16" t="b">
        <v>0</v>
      </c>
      <c r="AK932" s="16" t="b">
        <v>0</v>
      </c>
      <c r="AL932" s="16" t="b">
        <v>0</v>
      </c>
      <c r="AM932" s="16" t="b">
        <v>0</v>
      </c>
      <c r="AN932" s="16" t="b">
        <v>0</v>
      </c>
      <c r="AO932" s="16" t="b">
        <v>0</v>
      </c>
      <c r="AP932" s="16" t="b">
        <v>0</v>
      </c>
      <c r="AQ932" s="17">
        <f t="shared" si="9"/>
        <v>0</v>
      </c>
      <c r="AR932" s="12">
        <f t="shared" si="10"/>
        <v>634.13</v>
      </c>
      <c r="AS932" s="18">
        <f t="shared" si="11"/>
        <v>174.53999999999996</v>
      </c>
      <c r="AT932" s="12">
        <f t="shared" si="12"/>
        <v>180.77999999999997</v>
      </c>
      <c r="AU932" s="18">
        <f t="shared" si="13"/>
        <v>0</v>
      </c>
      <c r="AV932" s="19">
        <f t="shared" si="14"/>
        <v>0.28508350022865969</v>
      </c>
      <c r="AW932" s="20" t="str">
        <f t="shared" si="15"/>
        <v>May</v>
      </c>
      <c r="AX932" s="21">
        <f t="shared" si="16"/>
        <v>2024</v>
      </c>
    </row>
    <row r="933" spans="1:50" ht="15.75" customHeight="1">
      <c r="A933" s="10" t="s">
        <v>1140</v>
      </c>
      <c r="B933" s="11">
        <v>45824</v>
      </c>
      <c r="C933" s="11">
        <v>45826</v>
      </c>
      <c r="D933" s="10" t="s">
        <v>1141</v>
      </c>
      <c r="E933" s="10" t="s">
        <v>147</v>
      </c>
      <c r="F933" s="10" t="s">
        <v>124</v>
      </c>
      <c r="G933" s="10" t="s">
        <v>92</v>
      </c>
      <c r="H933" s="10" t="s">
        <v>101</v>
      </c>
      <c r="I933" s="10" t="s">
        <v>102</v>
      </c>
      <c r="J933" s="10" t="s">
        <v>57</v>
      </c>
      <c r="K933" s="10" t="s">
        <v>58</v>
      </c>
      <c r="L933" s="10" t="s">
        <v>1142</v>
      </c>
      <c r="M933" s="10" t="s">
        <v>79</v>
      </c>
      <c r="N933" s="12">
        <v>3</v>
      </c>
      <c r="O933" s="12">
        <v>4289.37</v>
      </c>
      <c r="P933" s="12">
        <v>0.1</v>
      </c>
      <c r="Q933" s="12">
        <v>11778.71</v>
      </c>
      <c r="R933" s="12">
        <v>6829.43</v>
      </c>
      <c r="S933" s="12">
        <v>4751.87</v>
      </c>
      <c r="T933" s="10" t="s">
        <v>61</v>
      </c>
      <c r="U933" s="13" t="s">
        <v>132</v>
      </c>
      <c r="V933" s="14" t="e">
        <f t="shared" ca="1" si="0"/>
        <v>#NAME?</v>
      </c>
      <c r="W933" s="10" t="str">
        <f ca="1">IFERROR(__xludf.DUMMYFUNCTION("IF(COUNTIF($A:$A,A927)=1,
""Unique"",
IF(COUNTUNIQUE(FILTER($V$2:$V$934,$A$2:$A$934=A927))&gt;1,
""Conflicting Duplicate"",
""Exact Duplicate""))"),"Conflicting Duplicate")</f>
        <v>Conflicting Duplicate</v>
      </c>
      <c r="X933" s="10" t="b">
        <f t="shared" ca="1" si="1"/>
        <v>1</v>
      </c>
      <c r="Y933" s="10" t="str">
        <f t="shared" si="2"/>
        <v>Duplicate Order ID</v>
      </c>
      <c r="Z933" s="10"/>
      <c r="AA933" s="10" t="str">
        <f t="shared" si="3"/>
        <v>Clean</v>
      </c>
      <c r="AB933" s="15" t="str">
        <f t="shared" si="4"/>
        <v>Valid</v>
      </c>
      <c r="AC933" s="15">
        <v>2</v>
      </c>
      <c r="AD933" s="16" t="str">
        <f t="shared" si="5"/>
        <v>Valid</v>
      </c>
      <c r="AE933" s="16" t="str">
        <f t="shared" si="6"/>
        <v>Valid</v>
      </c>
      <c r="AF933" s="16" t="str">
        <f t="shared" ref="AF933:AG933" si="1877">IF(ISNUMBER(B933),"Valid","Invalid")</f>
        <v>Valid</v>
      </c>
      <c r="AG933" s="16" t="str">
        <f t="shared" si="1877"/>
        <v>Valid</v>
      </c>
      <c r="AH933" s="16" t="str">
        <f t="shared" ref="AH933:AI933" si="1878">IF(OR(B933="",ISBLANK(B933)),"Missing","Valid")</f>
        <v>Valid</v>
      </c>
      <c r="AI933" s="16" t="str">
        <f t="shared" si="1878"/>
        <v>Valid</v>
      </c>
      <c r="AJ933" s="16" t="b">
        <v>0</v>
      </c>
      <c r="AK933" s="16" t="b">
        <v>0</v>
      </c>
      <c r="AL933" s="16" t="b">
        <v>0</v>
      </c>
      <c r="AM933" s="16" t="b">
        <v>0</v>
      </c>
      <c r="AN933" s="16" t="b">
        <v>0</v>
      </c>
      <c r="AO933" s="16" t="b">
        <v>0</v>
      </c>
      <c r="AP933" s="16" t="b">
        <v>0</v>
      </c>
      <c r="AQ933" s="17">
        <f t="shared" si="9"/>
        <v>0.1</v>
      </c>
      <c r="AR933" s="12">
        <f t="shared" si="10"/>
        <v>11581.299000000001</v>
      </c>
      <c r="AS933" s="18">
        <f t="shared" si="11"/>
        <v>197.41099999999824</v>
      </c>
      <c r="AT933" s="12">
        <f t="shared" si="12"/>
        <v>4751.8690000000006</v>
      </c>
      <c r="AU933" s="18">
        <f t="shared" si="13"/>
        <v>9.9999999929423211E-4</v>
      </c>
      <c r="AV933" s="19">
        <f t="shared" si="14"/>
        <v>0.41030535521101735</v>
      </c>
      <c r="AW933" s="20" t="str">
        <f t="shared" si="15"/>
        <v>June</v>
      </c>
      <c r="AX933" s="21">
        <f t="shared" si="16"/>
        <v>2025</v>
      </c>
    </row>
    <row r="934" spans="1:50" ht="15.75" customHeight="1">
      <c r="B934" s="22"/>
      <c r="C934" s="22"/>
      <c r="E934" s="23" t="s">
        <v>2792</v>
      </c>
      <c r="F934" s="23" t="s">
        <v>2792</v>
      </c>
      <c r="G934" s="23" t="s">
        <v>2792</v>
      </c>
      <c r="H934" s="23" t="s">
        <v>2792</v>
      </c>
      <c r="I934" s="23" t="s">
        <v>2792</v>
      </c>
      <c r="J934" s="23" t="s">
        <v>2792</v>
      </c>
      <c r="K934" s="23" t="s">
        <v>2792</v>
      </c>
      <c r="M934" s="23" t="s">
        <v>2792</v>
      </c>
      <c r="T934" s="23" t="s">
        <v>2792</v>
      </c>
      <c r="U934" s="24" t="s">
        <v>2792</v>
      </c>
      <c r="V934" s="25"/>
      <c r="W934" s="23"/>
      <c r="X934" s="23"/>
      <c r="Y934" s="10"/>
      <c r="Z934" s="10"/>
      <c r="AA934" s="23"/>
      <c r="AB934" s="15"/>
      <c r="AC934" s="26"/>
      <c r="AD934" s="16"/>
      <c r="AE934" s="16"/>
      <c r="AF934" s="16"/>
      <c r="AG934" s="16"/>
      <c r="AH934" s="16"/>
      <c r="AI934" s="16"/>
      <c r="AQ934" s="17"/>
      <c r="AS934" s="18"/>
      <c r="AU934" s="18"/>
      <c r="AV934" s="27"/>
      <c r="AW934" s="28"/>
      <c r="AX934" s="21"/>
    </row>
    <row r="935" spans="1:50" ht="15.75" customHeight="1">
      <c r="B935" s="22"/>
      <c r="C935" s="22"/>
      <c r="E935" s="23" t="s">
        <v>2792</v>
      </c>
      <c r="F935" s="23" t="s">
        <v>2792</v>
      </c>
      <c r="G935" s="23" t="s">
        <v>2792</v>
      </c>
      <c r="H935" s="23" t="s">
        <v>2792</v>
      </c>
      <c r="I935" s="23" t="s">
        <v>2792</v>
      </c>
      <c r="J935" s="23" t="s">
        <v>2792</v>
      </c>
      <c r="K935" s="23" t="s">
        <v>2792</v>
      </c>
      <c r="M935" s="23" t="s">
        <v>2792</v>
      </c>
      <c r="T935" s="23" t="s">
        <v>2792</v>
      </c>
      <c r="U935" s="24" t="s">
        <v>2792</v>
      </c>
      <c r="V935" s="25"/>
      <c r="W935" s="23"/>
      <c r="X935" s="23"/>
      <c r="Y935" s="10"/>
      <c r="Z935" s="10"/>
      <c r="AA935" s="23"/>
      <c r="AB935" s="15"/>
      <c r="AC935" s="26"/>
      <c r="AD935" s="16"/>
      <c r="AE935" s="16"/>
      <c r="AF935" s="16"/>
      <c r="AG935" s="16"/>
      <c r="AH935" s="16"/>
      <c r="AI935" s="16"/>
      <c r="AQ935" s="17"/>
      <c r="AS935" s="18"/>
      <c r="AU935" s="18"/>
      <c r="AV935" s="27"/>
      <c r="AW935" s="28"/>
      <c r="AX935" s="21"/>
    </row>
    <row r="936" spans="1:50" ht="15.75" customHeight="1">
      <c r="B936" s="22"/>
      <c r="C936" s="22"/>
      <c r="E936" s="23" t="s">
        <v>2792</v>
      </c>
      <c r="F936" s="23" t="s">
        <v>2792</v>
      </c>
      <c r="G936" s="23" t="s">
        <v>2792</v>
      </c>
      <c r="H936" s="23" t="s">
        <v>2792</v>
      </c>
      <c r="I936" s="23" t="s">
        <v>2792</v>
      </c>
      <c r="J936" s="23" t="s">
        <v>2792</v>
      </c>
      <c r="K936" s="23" t="s">
        <v>2792</v>
      </c>
      <c r="M936" s="23" t="s">
        <v>2792</v>
      </c>
      <c r="T936" s="23" t="s">
        <v>2792</v>
      </c>
      <c r="U936" s="24" t="s">
        <v>2792</v>
      </c>
      <c r="V936" s="25"/>
      <c r="W936" s="23"/>
      <c r="X936" s="23"/>
      <c r="Y936" s="10"/>
      <c r="Z936" s="10"/>
      <c r="AA936" s="23"/>
      <c r="AB936" s="15"/>
      <c r="AC936" s="26"/>
      <c r="AD936" s="16"/>
      <c r="AE936" s="16"/>
      <c r="AF936" s="16"/>
      <c r="AG936" s="16"/>
      <c r="AH936" s="16"/>
      <c r="AI936" s="16"/>
      <c r="AQ936" s="17"/>
      <c r="AS936" s="18"/>
      <c r="AU936" s="18"/>
      <c r="AV936" s="27"/>
      <c r="AW936" s="28"/>
      <c r="AX936" s="21"/>
    </row>
    <row r="937" spans="1:50" ht="15.75" customHeight="1">
      <c r="B937" s="22"/>
      <c r="C937" s="22"/>
      <c r="E937" s="23" t="s">
        <v>2792</v>
      </c>
      <c r="F937" s="23" t="s">
        <v>2792</v>
      </c>
      <c r="G937" s="23" t="s">
        <v>2792</v>
      </c>
      <c r="H937" s="23" t="s">
        <v>2792</v>
      </c>
      <c r="I937" s="23" t="s">
        <v>2792</v>
      </c>
      <c r="J937" s="23" t="s">
        <v>2792</v>
      </c>
      <c r="K937" s="23" t="s">
        <v>2792</v>
      </c>
      <c r="M937" s="23" t="s">
        <v>2792</v>
      </c>
      <c r="T937" s="23" t="s">
        <v>2792</v>
      </c>
      <c r="U937" s="24" t="s">
        <v>2792</v>
      </c>
      <c r="V937" s="25"/>
      <c r="W937" s="23"/>
      <c r="X937" s="23"/>
      <c r="Y937" s="10"/>
      <c r="Z937" s="10"/>
      <c r="AA937" s="23"/>
      <c r="AB937" s="15"/>
      <c r="AC937" s="26"/>
      <c r="AD937" s="16"/>
      <c r="AE937" s="16"/>
      <c r="AF937" s="16"/>
      <c r="AG937" s="16"/>
      <c r="AH937" s="16"/>
      <c r="AI937" s="16"/>
      <c r="AQ937" s="17"/>
      <c r="AS937" s="18"/>
      <c r="AU937" s="18"/>
      <c r="AV937" s="27"/>
      <c r="AW937" s="28"/>
      <c r="AX937" s="21"/>
    </row>
    <row r="938" spans="1:50" ht="15.75" customHeight="1">
      <c r="B938" s="22"/>
      <c r="C938" s="22"/>
      <c r="E938" s="23" t="s">
        <v>2792</v>
      </c>
      <c r="F938" s="23" t="s">
        <v>2792</v>
      </c>
      <c r="G938" s="23" t="s">
        <v>2792</v>
      </c>
      <c r="H938" s="23" t="s">
        <v>2792</v>
      </c>
      <c r="I938" s="23" t="s">
        <v>2792</v>
      </c>
      <c r="J938" s="23" t="s">
        <v>2792</v>
      </c>
      <c r="K938" s="23" t="s">
        <v>2792</v>
      </c>
      <c r="M938" s="23" t="s">
        <v>2792</v>
      </c>
      <c r="T938" s="23" t="s">
        <v>2792</v>
      </c>
      <c r="U938" s="24" t="s">
        <v>2792</v>
      </c>
      <c r="V938" s="25"/>
      <c r="W938" s="23"/>
      <c r="X938" s="23"/>
      <c r="Y938" s="10"/>
      <c r="Z938" s="10"/>
      <c r="AA938" s="23"/>
      <c r="AB938" s="15"/>
      <c r="AC938" s="26"/>
      <c r="AD938" s="16"/>
      <c r="AE938" s="16"/>
      <c r="AF938" s="16"/>
      <c r="AG938" s="16"/>
      <c r="AH938" s="16"/>
      <c r="AI938" s="16"/>
      <c r="AQ938" s="17"/>
      <c r="AS938" s="18"/>
      <c r="AU938" s="18"/>
      <c r="AV938" s="27"/>
      <c r="AW938" s="28"/>
      <c r="AX938" s="21"/>
    </row>
    <row r="939" spans="1:50" ht="15.75" customHeight="1">
      <c r="B939" s="22"/>
      <c r="C939" s="22"/>
      <c r="E939" s="23" t="s">
        <v>2792</v>
      </c>
      <c r="F939" s="23" t="s">
        <v>2792</v>
      </c>
      <c r="G939" s="23" t="s">
        <v>2792</v>
      </c>
      <c r="H939" s="23" t="s">
        <v>2792</v>
      </c>
      <c r="I939" s="23" t="s">
        <v>2792</v>
      </c>
      <c r="J939" s="23" t="s">
        <v>2792</v>
      </c>
      <c r="K939" s="23" t="s">
        <v>2792</v>
      </c>
      <c r="M939" s="23" t="s">
        <v>2792</v>
      </c>
      <c r="T939" s="23" t="s">
        <v>2792</v>
      </c>
      <c r="U939" s="24" t="s">
        <v>2792</v>
      </c>
      <c r="V939" s="25"/>
      <c r="W939" s="23"/>
      <c r="X939" s="23"/>
      <c r="Y939" s="10"/>
      <c r="Z939" s="10"/>
      <c r="AA939" s="23"/>
      <c r="AB939" s="15"/>
      <c r="AC939" s="26"/>
      <c r="AD939" s="16"/>
      <c r="AE939" s="16"/>
      <c r="AF939" s="16"/>
      <c r="AG939" s="16"/>
      <c r="AH939" s="16"/>
      <c r="AI939" s="16"/>
      <c r="AQ939" s="17"/>
      <c r="AS939" s="18"/>
      <c r="AU939" s="18"/>
      <c r="AV939" s="27"/>
      <c r="AW939" s="28"/>
      <c r="AX939" s="21"/>
    </row>
    <row r="940" spans="1:50" ht="15.75" customHeight="1">
      <c r="B940" s="22"/>
      <c r="C940" s="22"/>
      <c r="E940" s="23" t="s">
        <v>2792</v>
      </c>
      <c r="F940" s="23" t="s">
        <v>2792</v>
      </c>
      <c r="G940" s="23" t="s">
        <v>2792</v>
      </c>
      <c r="H940" s="23" t="s">
        <v>2792</v>
      </c>
      <c r="I940" s="23" t="s">
        <v>2792</v>
      </c>
      <c r="J940" s="23" t="s">
        <v>2792</v>
      </c>
      <c r="K940" s="23" t="s">
        <v>2792</v>
      </c>
      <c r="M940" s="23" t="s">
        <v>2792</v>
      </c>
      <c r="T940" s="23" t="s">
        <v>2792</v>
      </c>
      <c r="U940" s="24" t="s">
        <v>2792</v>
      </c>
      <c r="V940" s="25"/>
      <c r="W940" s="23"/>
      <c r="X940" s="23"/>
      <c r="Y940" s="10"/>
      <c r="Z940" s="10"/>
      <c r="AA940" s="23"/>
      <c r="AB940" s="15"/>
      <c r="AC940" s="26"/>
      <c r="AD940" s="16"/>
      <c r="AE940" s="16"/>
      <c r="AF940" s="16"/>
      <c r="AG940" s="16"/>
      <c r="AH940" s="16"/>
      <c r="AI940" s="16"/>
      <c r="AQ940" s="17"/>
      <c r="AS940" s="18"/>
      <c r="AU940" s="18"/>
      <c r="AV940" s="27"/>
      <c r="AW940" s="28"/>
      <c r="AX940" s="21"/>
    </row>
    <row r="941" spans="1:50" ht="15.75" customHeight="1">
      <c r="B941" s="22"/>
      <c r="C941" s="22"/>
      <c r="E941" s="23" t="s">
        <v>2792</v>
      </c>
      <c r="F941" s="23" t="s">
        <v>2792</v>
      </c>
      <c r="G941" s="23" t="s">
        <v>2792</v>
      </c>
      <c r="H941" s="23" t="s">
        <v>2792</v>
      </c>
      <c r="I941" s="23" t="s">
        <v>2792</v>
      </c>
      <c r="J941" s="23" t="s">
        <v>2792</v>
      </c>
      <c r="K941" s="23" t="s">
        <v>2792</v>
      </c>
      <c r="M941" s="23" t="s">
        <v>2792</v>
      </c>
      <c r="T941" s="23" t="s">
        <v>2792</v>
      </c>
      <c r="U941" s="24" t="s">
        <v>2792</v>
      </c>
      <c r="V941" s="25"/>
      <c r="W941" s="23"/>
      <c r="X941" s="23"/>
      <c r="Y941" s="10"/>
      <c r="Z941" s="10"/>
      <c r="AA941" s="23"/>
      <c r="AB941" s="15"/>
      <c r="AC941" s="26"/>
      <c r="AD941" s="16"/>
      <c r="AE941" s="16"/>
      <c r="AF941" s="16"/>
      <c r="AG941" s="16"/>
      <c r="AH941" s="16"/>
      <c r="AI941" s="16"/>
      <c r="AQ941" s="17"/>
      <c r="AS941" s="18"/>
      <c r="AU941" s="18"/>
      <c r="AV941" s="27"/>
      <c r="AW941" s="28"/>
      <c r="AX941" s="21"/>
    </row>
    <row r="942" spans="1:50" ht="15.75" customHeight="1">
      <c r="B942" s="22"/>
      <c r="C942" s="22"/>
      <c r="E942" s="23" t="s">
        <v>2792</v>
      </c>
      <c r="F942" s="23" t="s">
        <v>2792</v>
      </c>
      <c r="G942" s="23" t="s">
        <v>2792</v>
      </c>
      <c r="H942" s="23" t="s">
        <v>2792</v>
      </c>
      <c r="I942" s="23" t="s">
        <v>2792</v>
      </c>
      <c r="J942" s="23" t="s">
        <v>2792</v>
      </c>
      <c r="K942" s="23" t="s">
        <v>2792</v>
      </c>
      <c r="M942" s="23" t="s">
        <v>2792</v>
      </c>
      <c r="T942" s="23" t="s">
        <v>2792</v>
      </c>
      <c r="U942" s="24" t="s">
        <v>2792</v>
      </c>
      <c r="V942" s="25"/>
      <c r="W942" s="23"/>
      <c r="X942" s="23"/>
      <c r="Y942" s="10"/>
      <c r="Z942" s="10"/>
      <c r="AA942" s="23"/>
      <c r="AB942" s="15"/>
      <c r="AC942" s="26"/>
      <c r="AD942" s="16"/>
      <c r="AE942" s="16"/>
      <c r="AF942" s="16"/>
      <c r="AG942" s="16"/>
      <c r="AH942" s="16"/>
      <c r="AI942" s="16"/>
      <c r="AQ942" s="17"/>
      <c r="AS942" s="18"/>
      <c r="AU942" s="18"/>
      <c r="AV942" s="27"/>
      <c r="AW942" s="28"/>
      <c r="AX942" s="21"/>
    </row>
    <row r="943" spans="1:50" ht="15.75" customHeight="1">
      <c r="B943" s="22"/>
      <c r="C943" s="22"/>
      <c r="E943" s="23" t="s">
        <v>2792</v>
      </c>
      <c r="F943" s="23" t="s">
        <v>2792</v>
      </c>
      <c r="G943" s="23" t="s">
        <v>2792</v>
      </c>
      <c r="H943" s="23" t="s">
        <v>2792</v>
      </c>
      <c r="I943" s="23" t="s">
        <v>2792</v>
      </c>
      <c r="J943" s="23" t="s">
        <v>2792</v>
      </c>
      <c r="K943" s="23" t="s">
        <v>2792</v>
      </c>
      <c r="M943" s="23" t="s">
        <v>2792</v>
      </c>
      <c r="T943" s="23" t="s">
        <v>2792</v>
      </c>
      <c r="U943" s="24" t="s">
        <v>2792</v>
      </c>
      <c r="V943" s="25"/>
      <c r="W943" s="23"/>
      <c r="X943" s="23"/>
      <c r="Y943" s="10"/>
      <c r="Z943" s="10"/>
      <c r="AA943" s="23"/>
      <c r="AB943" s="15"/>
      <c r="AC943" s="26"/>
      <c r="AD943" s="16"/>
      <c r="AE943" s="16"/>
      <c r="AF943" s="16"/>
      <c r="AG943" s="16"/>
      <c r="AH943" s="16"/>
      <c r="AI943" s="16"/>
      <c r="AQ943" s="17"/>
      <c r="AS943" s="18"/>
      <c r="AU943" s="18"/>
      <c r="AV943" s="27"/>
      <c r="AW943" s="28"/>
      <c r="AX943" s="21"/>
    </row>
    <row r="944" spans="1:50" ht="15.75" customHeight="1">
      <c r="B944" s="22"/>
      <c r="C944" s="22"/>
      <c r="E944" s="23" t="s">
        <v>2792</v>
      </c>
      <c r="F944" s="23" t="s">
        <v>2792</v>
      </c>
      <c r="G944" s="23" t="s">
        <v>2792</v>
      </c>
      <c r="H944" s="23" t="s">
        <v>2792</v>
      </c>
      <c r="I944" s="23" t="s">
        <v>2792</v>
      </c>
      <c r="J944" s="23" t="s">
        <v>2792</v>
      </c>
      <c r="K944" s="23" t="s">
        <v>2792</v>
      </c>
      <c r="M944" s="23" t="s">
        <v>2792</v>
      </c>
      <c r="T944" s="23" t="s">
        <v>2792</v>
      </c>
      <c r="U944" s="24" t="s">
        <v>2792</v>
      </c>
      <c r="V944" s="25"/>
      <c r="W944" s="23"/>
      <c r="X944" s="23"/>
      <c r="Y944" s="10"/>
      <c r="Z944" s="10"/>
      <c r="AA944" s="23"/>
      <c r="AB944" s="15"/>
      <c r="AC944" s="26"/>
      <c r="AD944" s="16"/>
      <c r="AE944" s="16"/>
      <c r="AF944" s="16"/>
      <c r="AG944" s="16"/>
      <c r="AH944" s="16"/>
      <c r="AI944" s="16"/>
      <c r="AQ944" s="17"/>
      <c r="AS944" s="18"/>
      <c r="AU944" s="18"/>
      <c r="AV944" s="27"/>
      <c r="AW944" s="28"/>
      <c r="AX944" s="21"/>
    </row>
    <row r="945" spans="2:50" ht="15.75" customHeight="1">
      <c r="B945" s="22"/>
      <c r="C945" s="22"/>
      <c r="E945" s="23" t="s">
        <v>2792</v>
      </c>
      <c r="F945" s="23" t="s">
        <v>2792</v>
      </c>
      <c r="G945" s="23" t="s">
        <v>2792</v>
      </c>
      <c r="H945" s="23" t="s">
        <v>2792</v>
      </c>
      <c r="I945" s="23" t="s">
        <v>2792</v>
      </c>
      <c r="J945" s="23" t="s">
        <v>2792</v>
      </c>
      <c r="K945" s="23" t="s">
        <v>2792</v>
      </c>
      <c r="M945" s="23" t="s">
        <v>2792</v>
      </c>
      <c r="T945" s="23" t="s">
        <v>2792</v>
      </c>
      <c r="U945" s="24" t="s">
        <v>2792</v>
      </c>
      <c r="V945" s="25"/>
      <c r="W945" s="23"/>
      <c r="X945" s="23"/>
      <c r="Y945" s="10"/>
      <c r="Z945" s="10"/>
      <c r="AA945" s="23"/>
      <c r="AB945" s="15"/>
      <c r="AC945" s="26"/>
      <c r="AD945" s="16"/>
      <c r="AE945" s="16"/>
      <c r="AF945" s="16"/>
      <c r="AG945" s="16"/>
      <c r="AH945" s="16"/>
      <c r="AI945" s="16"/>
      <c r="AQ945" s="17"/>
      <c r="AS945" s="18"/>
      <c r="AU945" s="18"/>
      <c r="AV945" s="27"/>
      <c r="AW945" s="28"/>
      <c r="AX945" s="21"/>
    </row>
    <row r="946" spans="2:50" ht="15.75" customHeight="1">
      <c r="B946" s="22"/>
      <c r="C946" s="22"/>
      <c r="E946" s="23" t="s">
        <v>2792</v>
      </c>
      <c r="F946" s="23" t="s">
        <v>2792</v>
      </c>
      <c r="G946" s="23" t="s">
        <v>2792</v>
      </c>
      <c r="H946" s="23" t="s">
        <v>2792</v>
      </c>
      <c r="I946" s="23" t="s">
        <v>2792</v>
      </c>
      <c r="J946" s="23" t="s">
        <v>2792</v>
      </c>
      <c r="K946" s="23" t="s">
        <v>2792</v>
      </c>
      <c r="M946" s="23" t="s">
        <v>2792</v>
      </c>
      <c r="T946" s="23" t="s">
        <v>2792</v>
      </c>
      <c r="U946" s="24" t="s">
        <v>2792</v>
      </c>
      <c r="V946" s="25"/>
      <c r="W946" s="23"/>
      <c r="X946" s="23"/>
      <c r="Y946" s="10"/>
      <c r="Z946" s="10"/>
      <c r="AA946" s="23"/>
      <c r="AB946" s="15"/>
      <c r="AC946" s="26"/>
      <c r="AD946" s="16"/>
      <c r="AE946" s="16"/>
      <c r="AF946" s="16"/>
      <c r="AG946" s="16"/>
      <c r="AH946" s="16"/>
      <c r="AI946" s="16"/>
      <c r="AQ946" s="17"/>
      <c r="AS946" s="18"/>
      <c r="AU946" s="18"/>
      <c r="AV946" s="27"/>
      <c r="AW946" s="28"/>
      <c r="AX946" s="21"/>
    </row>
    <row r="947" spans="2:50" ht="15.75" customHeight="1">
      <c r="B947" s="22"/>
      <c r="C947" s="22"/>
      <c r="E947" s="23" t="s">
        <v>2792</v>
      </c>
      <c r="F947" s="23" t="s">
        <v>2792</v>
      </c>
      <c r="G947" s="23" t="s">
        <v>2792</v>
      </c>
      <c r="H947" s="23" t="s">
        <v>2792</v>
      </c>
      <c r="I947" s="23" t="s">
        <v>2792</v>
      </c>
      <c r="J947" s="23" t="s">
        <v>2792</v>
      </c>
      <c r="K947" s="23" t="s">
        <v>2792</v>
      </c>
      <c r="M947" s="23" t="s">
        <v>2792</v>
      </c>
      <c r="T947" s="23" t="s">
        <v>2792</v>
      </c>
      <c r="U947" s="24" t="s">
        <v>2792</v>
      </c>
      <c r="V947" s="25"/>
      <c r="W947" s="23"/>
      <c r="X947" s="23"/>
      <c r="Y947" s="10"/>
      <c r="Z947" s="10"/>
      <c r="AA947" s="23"/>
      <c r="AB947" s="15"/>
      <c r="AC947" s="26"/>
      <c r="AD947" s="16"/>
      <c r="AE947" s="16"/>
      <c r="AF947" s="16"/>
      <c r="AG947" s="16"/>
      <c r="AH947" s="16"/>
      <c r="AI947" s="16"/>
      <c r="AQ947" s="17"/>
      <c r="AS947" s="18"/>
      <c r="AU947" s="18"/>
      <c r="AV947" s="27"/>
      <c r="AW947" s="28"/>
      <c r="AX947" s="21"/>
    </row>
    <row r="948" spans="2:50" ht="15.75" customHeight="1">
      <c r="B948" s="22"/>
      <c r="C948" s="22"/>
      <c r="E948" s="23" t="s">
        <v>2792</v>
      </c>
      <c r="F948" s="23" t="s">
        <v>2792</v>
      </c>
      <c r="G948" s="23" t="s">
        <v>2792</v>
      </c>
      <c r="H948" s="23" t="s">
        <v>2792</v>
      </c>
      <c r="I948" s="23" t="s">
        <v>2792</v>
      </c>
      <c r="J948" s="23" t="s">
        <v>2792</v>
      </c>
      <c r="K948" s="23" t="s">
        <v>2792</v>
      </c>
      <c r="M948" s="23" t="s">
        <v>2792</v>
      </c>
      <c r="T948" s="23" t="s">
        <v>2792</v>
      </c>
      <c r="U948" s="24" t="s">
        <v>2792</v>
      </c>
      <c r="V948" s="25"/>
      <c r="W948" s="23"/>
      <c r="X948" s="23"/>
      <c r="Y948" s="10"/>
      <c r="Z948" s="10"/>
      <c r="AA948" s="23"/>
      <c r="AB948" s="15"/>
      <c r="AC948" s="26"/>
      <c r="AD948" s="16"/>
      <c r="AE948" s="16"/>
      <c r="AF948" s="16"/>
      <c r="AG948" s="16"/>
      <c r="AH948" s="16"/>
      <c r="AI948" s="16"/>
      <c r="AQ948" s="17"/>
      <c r="AS948" s="18"/>
      <c r="AU948" s="18"/>
      <c r="AV948" s="27"/>
      <c r="AW948" s="28"/>
      <c r="AX948" s="21"/>
    </row>
    <row r="949" spans="2:50" ht="15.75" customHeight="1">
      <c r="B949" s="22"/>
      <c r="C949" s="22"/>
      <c r="E949" s="23" t="s">
        <v>2792</v>
      </c>
      <c r="F949" s="23" t="s">
        <v>2792</v>
      </c>
      <c r="G949" s="23" t="s">
        <v>2792</v>
      </c>
      <c r="H949" s="23" t="s">
        <v>2792</v>
      </c>
      <c r="I949" s="23" t="s">
        <v>2792</v>
      </c>
      <c r="J949" s="23" t="s">
        <v>2792</v>
      </c>
      <c r="K949" s="23" t="s">
        <v>2792</v>
      </c>
      <c r="M949" s="23" t="s">
        <v>2792</v>
      </c>
      <c r="T949" s="23" t="s">
        <v>2792</v>
      </c>
      <c r="U949" s="24" t="s">
        <v>2792</v>
      </c>
      <c r="V949" s="25"/>
      <c r="W949" s="23"/>
      <c r="X949" s="23"/>
      <c r="Y949" s="10"/>
      <c r="Z949" s="10"/>
      <c r="AA949" s="23"/>
      <c r="AB949" s="15"/>
      <c r="AC949" s="26"/>
      <c r="AD949" s="16"/>
      <c r="AE949" s="16"/>
      <c r="AF949" s="16"/>
      <c r="AG949" s="16"/>
      <c r="AH949" s="16"/>
      <c r="AI949" s="16"/>
      <c r="AQ949" s="17"/>
      <c r="AS949" s="18"/>
      <c r="AU949" s="18"/>
      <c r="AV949" s="27"/>
      <c r="AW949" s="28"/>
      <c r="AX949" s="21"/>
    </row>
    <row r="950" spans="2:50" ht="15.75" customHeight="1">
      <c r="B950" s="22"/>
      <c r="C950" s="22"/>
      <c r="E950" s="23" t="s">
        <v>2792</v>
      </c>
      <c r="F950" s="23" t="s">
        <v>2792</v>
      </c>
      <c r="G950" s="23" t="s">
        <v>2792</v>
      </c>
      <c r="H950" s="23" t="s">
        <v>2792</v>
      </c>
      <c r="I950" s="23" t="s">
        <v>2792</v>
      </c>
      <c r="J950" s="23" t="s">
        <v>2792</v>
      </c>
      <c r="K950" s="23" t="s">
        <v>2792</v>
      </c>
      <c r="M950" s="23" t="s">
        <v>2792</v>
      </c>
      <c r="T950" s="23" t="s">
        <v>2792</v>
      </c>
      <c r="U950" s="24" t="s">
        <v>2792</v>
      </c>
      <c r="V950" s="25"/>
      <c r="W950" s="23"/>
      <c r="X950" s="23"/>
      <c r="Y950" s="10"/>
      <c r="Z950" s="10"/>
      <c r="AA950" s="23"/>
      <c r="AB950" s="15"/>
      <c r="AC950" s="26"/>
      <c r="AD950" s="16"/>
      <c r="AE950" s="16"/>
      <c r="AF950" s="16"/>
      <c r="AG950" s="16"/>
      <c r="AH950" s="16"/>
      <c r="AI950" s="16"/>
      <c r="AQ950" s="17"/>
      <c r="AS950" s="18"/>
      <c r="AU950" s="18"/>
      <c r="AV950" s="27"/>
      <c r="AW950" s="28"/>
      <c r="AX950" s="21"/>
    </row>
    <row r="951" spans="2:50" ht="15.75" customHeight="1">
      <c r="B951" s="22"/>
      <c r="C951" s="22"/>
      <c r="E951" s="23" t="s">
        <v>2792</v>
      </c>
      <c r="F951" s="23" t="s">
        <v>2792</v>
      </c>
      <c r="G951" s="23" t="s">
        <v>2792</v>
      </c>
      <c r="H951" s="23" t="s">
        <v>2792</v>
      </c>
      <c r="I951" s="23" t="s">
        <v>2792</v>
      </c>
      <c r="J951" s="23" t="s">
        <v>2792</v>
      </c>
      <c r="K951" s="23" t="s">
        <v>2792</v>
      </c>
      <c r="M951" s="23" t="s">
        <v>2792</v>
      </c>
      <c r="T951" s="23" t="s">
        <v>2792</v>
      </c>
      <c r="U951" s="24" t="s">
        <v>2792</v>
      </c>
      <c r="V951" s="25"/>
      <c r="W951" s="23"/>
      <c r="X951" s="23"/>
      <c r="Y951" s="10"/>
      <c r="Z951" s="10"/>
      <c r="AA951" s="23"/>
      <c r="AB951" s="15"/>
      <c r="AC951" s="26"/>
      <c r="AD951" s="16"/>
      <c r="AE951" s="16"/>
      <c r="AF951" s="16"/>
      <c r="AG951" s="16"/>
      <c r="AH951" s="16"/>
      <c r="AI951" s="16"/>
      <c r="AQ951" s="17"/>
      <c r="AS951" s="18"/>
      <c r="AU951" s="18"/>
      <c r="AV951" s="27"/>
      <c r="AW951" s="28"/>
      <c r="AX951" s="21"/>
    </row>
    <row r="952" spans="2:50" ht="15.75" customHeight="1">
      <c r="B952" s="22"/>
      <c r="C952" s="22"/>
      <c r="E952" s="23" t="s">
        <v>2792</v>
      </c>
      <c r="F952" s="23" t="s">
        <v>2792</v>
      </c>
      <c r="G952" s="23" t="s">
        <v>2792</v>
      </c>
      <c r="H952" s="23" t="s">
        <v>2792</v>
      </c>
      <c r="I952" s="23" t="s">
        <v>2792</v>
      </c>
      <c r="J952" s="23" t="s">
        <v>2792</v>
      </c>
      <c r="K952" s="23" t="s">
        <v>2792</v>
      </c>
      <c r="M952" s="23" t="s">
        <v>2792</v>
      </c>
      <c r="T952" s="23" t="s">
        <v>2792</v>
      </c>
      <c r="U952" s="24" t="s">
        <v>2792</v>
      </c>
      <c r="V952" s="25"/>
      <c r="W952" s="23"/>
      <c r="X952" s="23"/>
      <c r="Y952" s="10"/>
      <c r="Z952" s="10"/>
      <c r="AA952" s="23"/>
      <c r="AB952" s="15"/>
      <c r="AC952" s="26"/>
      <c r="AD952" s="16"/>
      <c r="AE952" s="16"/>
      <c r="AF952" s="16"/>
      <c r="AG952" s="16"/>
      <c r="AH952" s="16"/>
      <c r="AI952" s="16"/>
      <c r="AQ952" s="17"/>
      <c r="AS952" s="18"/>
      <c r="AU952" s="18"/>
      <c r="AV952" s="27"/>
      <c r="AW952" s="28"/>
      <c r="AX952" s="21"/>
    </row>
    <row r="953" spans="2:50" ht="15.75" customHeight="1">
      <c r="B953" s="22"/>
      <c r="C953" s="22"/>
      <c r="E953" s="23" t="s">
        <v>2792</v>
      </c>
      <c r="F953" s="23" t="s">
        <v>2792</v>
      </c>
      <c r="G953" s="23" t="s">
        <v>2792</v>
      </c>
      <c r="H953" s="23" t="s">
        <v>2792</v>
      </c>
      <c r="I953" s="23" t="s">
        <v>2792</v>
      </c>
      <c r="J953" s="23" t="s">
        <v>2792</v>
      </c>
      <c r="K953" s="23" t="s">
        <v>2792</v>
      </c>
      <c r="M953" s="23" t="s">
        <v>2792</v>
      </c>
      <c r="T953" s="23" t="s">
        <v>2792</v>
      </c>
      <c r="U953" s="24" t="s">
        <v>2792</v>
      </c>
      <c r="V953" s="25"/>
      <c r="W953" s="23"/>
      <c r="X953" s="23"/>
      <c r="Y953" s="10"/>
      <c r="Z953" s="10"/>
      <c r="AA953" s="23"/>
      <c r="AB953" s="15"/>
      <c r="AC953" s="26"/>
      <c r="AD953" s="16"/>
      <c r="AE953" s="16"/>
      <c r="AF953" s="16"/>
      <c r="AG953" s="16"/>
      <c r="AH953" s="16"/>
      <c r="AI953" s="16"/>
      <c r="AQ953" s="17"/>
      <c r="AS953" s="18"/>
      <c r="AU953" s="18"/>
      <c r="AV953" s="27"/>
      <c r="AW953" s="28"/>
      <c r="AX953" s="21"/>
    </row>
    <row r="954" spans="2:50" ht="15.75" customHeight="1">
      <c r="B954" s="22"/>
      <c r="C954" s="22"/>
      <c r="E954" s="23" t="s">
        <v>2792</v>
      </c>
      <c r="F954" s="23" t="s">
        <v>2792</v>
      </c>
      <c r="G954" s="23" t="s">
        <v>2792</v>
      </c>
      <c r="H954" s="23" t="s">
        <v>2792</v>
      </c>
      <c r="I954" s="23" t="s">
        <v>2792</v>
      </c>
      <c r="J954" s="23" t="s">
        <v>2792</v>
      </c>
      <c r="K954" s="23" t="s">
        <v>2792</v>
      </c>
      <c r="M954" s="23" t="s">
        <v>2792</v>
      </c>
      <c r="T954" s="23" t="s">
        <v>2792</v>
      </c>
      <c r="U954" s="24" t="s">
        <v>2792</v>
      </c>
      <c r="V954" s="25"/>
      <c r="W954" s="23"/>
      <c r="X954" s="23"/>
      <c r="Y954" s="10"/>
      <c r="Z954" s="10"/>
      <c r="AA954" s="23"/>
      <c r="AB954" s="15"/>
      <c r="AC954" s="26"/>
      <c r="AD954" s="16"/>
      <c r="AE954" s="16"/>
      <c r="AF954" s="16"/>
      <c r="AG954" s="16"/>
      <c r="AH954" s="16"/>
      <c r="AI954" s="16"/>
      <c r="AQ954" s="17"/>
      <c r="AS954" s="18"/>
      <c r="AU954" s="18"/>
      <c r="AV954" s="27"/>
      <c r="AW954" s="28"/>
      <c r="AX954" s="21"/>
    </row>
    <row r="955" spans="2:50" ht="15.75" customHeight="1">
      <c r="B955" s="22"/>
      <c r="C955" s="22"/>
      <c r="E955" s="23" t="s">
        <v>2792</v>
      </c>
      <c r="F955" s="23" t="s">
        <v>2792</v>
      </c>
      <c r="G955" s="23" t="s">
        <v>2792</v>
      </c>
      <c r="H955" s="23" t="s">
        <v>2792</v>
      </c>
      <c r="I955" s="23" t="s">
        <v>2792</v>
      </c>
      <c r="J955" s="23" t="s">
        <v>2792</v>
      </c>
      <c r="K955" s="23" t="s">
        <v>2792</v>
      </c>
      <c r="M955" s="23" t="s">
        <v>2792</v>
      </c>
      <c r="T955" s="23" t="s">
        <v>2792</v>
      </c>
      <c r="U955" s="24" t="s">
        <v>2792</v>
      </c>
      <c r="V955" s="25"/>
      <c r="W955" s="23"/>
      <c r="X955" s="23"/>
      <c r="Y955" s="10"/>
      <c r="Z955" s="10"/>
      <c r="AA955" s="23"/>
      <c r="AB955" s="15"/>
      <c r="AC955" s="26"/>
      <c r="AD955" s="16"/>
      <c r="AE955" s="16"/>
      <c r="AF955" s="16"/>
      <c r="AG955" s="16"/>
      <c r="AH955" s="16"/>
      <c r="AI955" s="16"/>
      <c r="AQ955" s="17"/>
      <c r="AS955" s="18"/>
      <c r="AU955" s="18"/>
      <c r="AV955" s="27"/>
      <c r="AW955" s="28"/>
      <c r="AX955" s="21"/>
    </row>
    <row r="956" spans="2:50" ht="15.75" customHeight="1">
      <c r="B956" s="22"/>
      <c r="C956" s="22"/>
      <c r="E956" s="23" t="s">
        <v>2792</v>
      </c>
      <c r="F956" s="23" t="s">
        <v>2792</v>
      </c>
      <c r="G956" s="23" t="s">
        <v>2792</v>
      </c>
      <c r="H956" s="23" t="s">
        <v>2792</v>
      </c>
      <c r="I956" s="23" t="s">
        <v>2792</v>
      </c>
      <c r="J956" s="23" t="s">
        <v>2792</v>
      </c>
      <c r="K956" s="23" t="s">
        <v>2792</v>
      </c>
      <c r="M956" s="23" t="s">
        <v>2792</v>
      </c>
      <c r="T956" s="23" t="s">
        <v>2792</v>
      </c>
      <c r="U956" s="24" t="s">
        <v>2792</v>
      </c>
      <c r="V956" s="25"/>
      <c r="W956" s="23"/>
      <c r="X956" s="23"/>
      <c r="Y956" s="10"/>
      <c r="Z956" s="10"/>
      <c r="AA956" s="23"/>
      <c r="AB956" s="15"/>
      <c r="AC956" s="26"/>
      <c r="AD956" s="16"/>
      <c r="AE956" s="16"/>
      <c r="AF956" s="16"/>
      <c r="AG956" s="16"/>
      <c r="AH956" s="16"/>
      <c r="AI956" s="16"/>
      <c r="AQ956" s="17"/>
      <c r="AS956" s="18"/>
      <c r="AU956" s="18"/>
      <c r="AV956" s="27"/>
      <c r="AW956" s="28"/>
      <c r="AX956" s="21"/>
    </row>
    <row r="957" spans="2:50" ht="15.75" customHeight="1">
      <c r="B957" s="22"/>
      <c r="C957" s="22"/>
      <c r="E957" s="23" t="s">
        <v>2792</v>
      </c>
      <c r="F957" s="23" t="s">
        <v>2792</v>
      </c>
      <c r="G957" s="23" t="s">
        <v>2792</v>
      </c>
      <c r="H957" s="23" t="s">
        <v>2792</v>
      </c>
      <c r="I957" s="23" t="s">
        <v>2792</v>
      </c>
      <c r="J957" s="23" t="s">
        <v>2792</v>
      </c>
      <c r="K957" s="23" t="s">
        <v>2792</v>
      </c>
      <c r="M957" s="23" t="s">
        <v>2792</v>
      </c>
      <c r="T957" s="23" t="s">
        <v>2792</v>
      </c>
      <c r="U957" s="24" t="s">
        <v>2792</v>
      </c>
      <c r="V957" s="25"/>
      <c r="W957" s="23"/>
      <c r="X957" s="23"/>
      <c r="Y957" s="10"/>
      <c r="Z957" s="10"/>
      <c r="AA957" s="23"/>
      <c r="AB957" s="15"/>
      <c r="AC957" s="26"/>
      <c r="AD957" s="16"/>
      <c r="AE957" s="16"/>
      <c r="AF957" s="16"/>
      <c r="AG957" s="16"/>
      <c r="AH957" s="16"/>
      <c r="AI957" s="16"/>
      <c r="AQ957" s="17"/>
      <c r="AS957" s="18"/>
      <c r="AU957" s="18"/>
      <c r="AV957" s="27"/>
      <c r="AW957" s="28"/>
      <c r="AX957" s="21"/>
    </row>
    <row r="958" spans="2:50" ht="15.75" customHeight="1">
      <c r="B958" s="22"/>
      <c r="C958" s="22"/>
      <c r="E958" s="23" t="s">
        <v>2792</v>
      </c>
      <c r="F958" s="23" t="s">
        <v>2792</v>
      </c>
      <c r="G958" s="23" t="s">
        <v>2792</v>
      </c>
      <c r="H958" s="23" t="s">
        <v>2792</v>
      </c>
      <c r="I958" s="23" t="s">
        <v>2792</v>
      </c>
      <c r="J958" s="23" t="s">
        <v>2792</v>
      </c>
      <c r="K958" s="23" t="s">
        <v>2792</v>
      </c>
      <c r="M958" s="23" t="s">
        <v>2792</v>
      </c>
      <c r="T958" s="23" t="s">
        <v>2792</v>
      </c>
      <c r="U958" s="24" t="s">
        <v>2792</v>
      </c>
      <c r="V958" s="25"/>
      <c r="W958" s="23"/>
      <c r="X958" s="23"/>
      <c r="Y958" s="10"/>
      <c r="Z958" s="10"/>
      <c r="AA958" s="23"/>
      <c r="AB958" s="15"/>
      <c r="AC958" s="26"/>
      <c r="AD958" s="16"/>
      <c r="AE958" s="16"/>
      <c r="AF958" s="16"/>
      <c r="AG958" s="16"/>
      <c r="AH958" s="16"/>
      <c r="AI958" s="16"/>
      <c r="AQ958" s="17"/>
      <c r="AS958" s="18"/>
      <c r="AU958" s="18"/>
      <c r="AV958" s="27"/>
      <c r="AW958" s="28"/>
      <c r="AX958" s="21"/>
    </row>
    <row r="959" spans="2:50" ht="15.75" customHeight="1">
      <c r="B959" s="22"/>
      <c r="C959" s="22"/>
      <c r="E959" s="23" t="s">
        <v>2792</v>
      </c>
      <c r="F959" s="23" t="s">
        <v>2792</v>
      </c>
      <c r="G959" s="23" t="s">
        <v>2792</v>
      </c>
      <c r="H959" s="23" t="s">
        <v>2792</v>
      </c>
      <c r="I959" s="23" t="s">
        <v>2792</v>
      </c>
      <c r="J959" s="23" t="s">
        <v>2792</v>
      </c>
      <c r="K959" s="23" t="s">
        <v>2792</v>
      </c>
      <c r="M959" s="23" t="s">
        <v>2792</v>
      </c>
      <c r="T959" s="23" t="s">
        <v>2792</v>
      </c>
      <c r="U959" s="24" t="s">
        <v>2792</v>
      </c>
      <c r="V959" s="25"/>
      <c r="W959" s="23"/>
      <c r="X959" s="23"/>
      <c r="Y959" s="10"/>
      <c r="Z959" s="10"/>
      <c r="AA959" s="23"/>
      <c r="AB959" s="15"/>
      <c r="AC959" s="26"/>
      <c r="AD959" s="16"/>
      <c r="AE959" s="16"/>
      <c r="AF959" s="16"/>
      <c r="AG959" s="16"/>
      <c r="AH959" s="16"/>
      <c r="AI959" s="16"/>
      <c r="AQ959" s="17"/>
      <c r="AS959" s="18"/>
      <c r="AU959" s="18"/>
      <c r="AV959" s="27"/>
      <c r="AW959" s="28"/>
      <c r="AX959" s="21"/>
    </row>
    <row r="960" spans="2:50" ht="15.75" customHeight="1">
      <c r="B960" s="22"/>
      <c r="C960" s="22"/>
      <c r="E960" s="23" t="s">
        <v>2792</v>
      </c>
      <c r="F960" s="23" t="s">
        <v>2792</v>
      </c>
      <c r="G960" s="23" t="s">
        <v>2792</v>
      </c>
      <c r="H960" s="23" t="s">
        <v>2792</v>
      </c>
      <c r="I960" s="23" t="s">
        <v>2792</v>
      </c>
      <c r="J960" s="23" t="s">
        <v>2792</v>
      </c>
      <c r="K960" s="23" t="s">
        <v>2792</v>
      </c>
      <c r="M960" s="23" t="s">
        <v>2792</v>
      </c>
      <c r="T960" s="23" t="s">
        <v>2792</v>
      </c>
      <c r="U960" s="24" t="s">
        <v>2792</v>
      </c>
      <c r="V960" s="25"/>
      <c r="W960" s="23"/>
      <c r="X960" s="23"/>
      <c r="Y960" s="10"/>
      <c r="Z960" s="10"/>
      <c r="AA960" s="23"/>
      <c r="AB960" s="15"/>
      <c r="AC960" s="26"/>
      <c r="AD960" s="16"/>
      <c r="AE960" s="16"/>
      <c r="AF960" s="16"/>
      <c r="AG960" s="16"/>
      <c r="AH960" s="16"/>
      <c r="AI960" s="16"/>
      <c r="AQ960" s="17"/>
      <c r="AS960" s="18"/>
      <c r="AU960" s="18"/>
      <c r="AV960" s="27"/>
      <c r="AW960" s="28"/>
      <c r="AX960" s="21"/>
    </row>
    <row r="961" spans="2:50" ht="15.75" customHeight="1">
      <c r="B961" s="22"/>
      <c r="C961" s="22"/>
      <c r="E961" s="23" t="s">
        <v>2792</v>
      </c>
      <c r="F961" s="23" t="s">
        <v>2792</v>
      </c>
      <c r="G961" s="23" t="s">
        <v>2792</v>
      </c>
      <c r="H961" s="23" t="s">
        <v>2792</v>
      </c>
      <c r="I961" s="23" t="s">
        <v>2792</v>
      </c>
      <c r="J961" s="23" t="s">
        <v>2792</v>
      </c>
      <c r="K961" s="23" t="s">
        <v>2792</v>
      </c>
      <c r="M961" s="23" t="s">
        <v>2792</v>
      </c>
      <c r="T961" s="23" t="s">
        <v>2792</v>
      </c>
      <c r="U961" s="24" t="s">
        <v>2792</v>
      </c>
      <c r="V961" s="25"/>
      <c r="W961" s="23"/>
      <c r="X961" s="23"/>
      <c r="Y961" s="10"/>
      <c r="Z961" s="10"/>
      <c r="AA961" s="23"/>
      <c r="AB961" s="15"/>
      <c r="AC961" s="26"/>
      <c r="AD961" s="16"/>
      <c r="AE961" s="16"/>
      <c r="AF961" s="16"/>
      <c r="AG961" s="16"/>
      <c r="AH961" s="16"/>
      <c r="AI961" s="16"/>
      <c r="AQ961" s="17"/>
      <c r="AS961" s="18"/>
      <c r="AU961" s="18"/>
      <c r="AV961" s="27"/>
      <c r="AW961" s="28"/>
      <c r="AX961" s="21"/>
    </row>
    <row r="962" spans="2:50" ht="15.75" customHeight="1">
      <c r="B962" s="22"/>
      <c r="C962" s="22"/>
      <c r="E962" s="23" t="s">
        <v>2792</v>
      </c>
      <c r="F962" s="23" t="s">
        <v>2792</v>
      </c>
      <c r="G962" s="23" t="s">
        <v>2792</v>
      </c>
      <c r="H962" s="23" t="s">
        <v>2792</v>
      </c>
      <c r="I962" s="23" t="s">
        <v>2792</v>
      </c>
      <c r="J962" s="23" t="s">
        <v>2792</v>
      </c>
      <c r="K962" s="23" t="s">
        <v>2792</v>
      </c>
      <c r="M962" s="23" t="s">
        <v>2792</v>
      </c>
      <c r="T962" s="23" t="s">
        <v>2792</v>
      </c>
      <c r="U962" s="24" t="s">
        <v>2792</v>
      </c>
      <c r="V962" s="25"/>
      <c r="W962" s="23"/>
      <c r="X962" s="23"/>
      <c r="Y962" s="10"/>
      <c r="Z962" s="10"/>
      <c r="AA962" s="23"/>
      <c r="AB962" s="15"/>
      <c r="AC962" s="26"/>
      <c r="AD962" s="16"/>
      <c r="AE962" s="16"/>
      <c r="AF962" s="16"/>
      <c r="AG962" s="16"/>
      <c r="AH962" s="16"/>
      <c r="AI962" s="16"/>
      <c r="AQ962" s="17"/>
      <c r="AS962" s="18"/>
      <c r="AU962" s="18"/>
      <c r="AV962" s="27"/>
      <c r="AW962" s="28"/>
      <c r="AX962" s="21"/>
    </row>
    <row r="963" spans="2:50" ht="15.75" customHeight="1">
      <c r="B963" s="22"/>
      <c r="C963" s="22"/>
      <c r="E963" s="23" t="s">
        <v>2792</v>
      </c>
      <c r="F963" s="23" t="s">
        <v>2792</v>
      </c>
      <c r="G963" s="23" t="s">
        <v>2792</v>
      </c>
      <c r="H963" s="23" t="s">
        <v>2792</v>
      </c>
      <c r="I963" s="23" t="s">
        <v>2792</v>
      </c>
      <c r="J963" s="23" t="s">
        <v>2792</v>
      </c>
      <c r="K963" s="23" t="s">
        <v>2792</v>
      </c>
      <c r="M963" s="23" t="s">
        <v>2792</v>
      </c>
      <c r="T963" s="23" t="s">
        <v>2792</v>
      </c>
      <c r="U963" s="24" t="s">
        <v>2792</v>
      </c>
      <c r="V963" s="25"/>
      <c r="W963" s="23"/>
      <c r="X963" s="23"/>
      <c r="Y963" s="10"/>
      <c r="Z963" s="10"/>
      <c r="AA963" s="23"/>
      <c r="AB963" s="15"/>
      <c r="AC963" s="26"/>
      <c r="AD963" s="16"/>
      <c r="AE963" s="16"/>
      <c r="AF963" s="16"/>
      <c r="AG963" s="16"/>
      <c r="AH963" s="16"/>
      <c r="AI963" s="16"/>
      <c r="AQ963" s="17"/>
      <c r="AS963" s="18"/>
      <c r="AU963" s="18"/>
      <c r="AV963" s="27"/>
      <c r="AW963" s="28"/>
      <c r="AX963" s="21"/>
    </row>
    <row r="964" spans="2:50" ht="15.75" customHeight="1">
      <c r="B964" s="22"/>
      <c r="C964" s="22"/>
      <c r="E964" s="23" t="s">
        <v>2792</v>
      </c>
      <c r="F964" s="23" t="s">
        <v>2792</v>
      </c>
      <c r="G964" s="23" t="s">
        <v>2792</v>
      </c>
      <c r="H964" s="23" t="s">
        <v>2792</v>
      </c>
      <c r="I964" s="23" t="s">
        <v>2792</v>
      </c>
      <c r="J964" s="23" t="s">
        <v>2792</v>
      </c>
      <c r="K964" s="23" t="s">
        <v>2792</v>
      </c>
      <c r="M964" s="23" t="s">
        <v>2792</v>
      </c>
      <c r="T964" s="23" t="s">
        <v>2792</v>
      </c>
      <c r="U964" s="24" t="s">
        <v>2792</v>
      </c>
      <c r="V964" s="25"/>
      <c r="W964" s="23"/>
      <c r="X964" s="23"/>
      <c r="Y964" s="10"/>
      <c r="Z964" s="10"/>
      <c r="AA964" s="23"/>
      <c r="AB964" s="15"/>
      <c r="AC964" s="26"/>
      <c r="AD964" s="16"/>
      <c r="AE964" s="16"/>
      <c r="AF964" s="16"/>
      <c r="AG964" s="16"/>
      <c r="AH964" s="16"/>
      <c r="AI964" s="16"/>
      <c r="AQ964" s="17"/>
      <c r="AS964" s="18"/>
      <c r="AU964" s="18"/>
      <c r="AV964" s="27"/>
      <c r="AW964" s="28"/>
      <c r="AX964" s="21"/>
    </row>
    <row r="965" spans="2:50" ht="15.75" customHeight="1">
      <c r="B965" s="22"/>
      <c r="C965" s="22"/>
      <c r="E965" s="23" t="s">
        <v>2792</v>
      </c>
      <c r="F965" s="23" t="s">
        <v>2792</v>
      </c>
      <c r="G965" s="23" t="s">
        <v>2792</v>
      </c>
      <c r="H965" s="23" t="s">
        <v>2792</v>
      </c>
      <c r="I965" s="23" t="s">
        <v>2792</v>
      </c>
      <c r="J965" s="23" t="s">
        <v>2792</v>
      </c>
      <c r="K965" s="23" t="s">
        <v>2792</v>
      </c>
      <c r="M965" s="23" t="s">
        <v>2792</v>
      </c>
      <c r="T965" s="23" t="s">
        <v>2792</v>
      </c>
      <c r="U965" s="24" t="s">
        <v>2792</v>
      </c>
      <c r="V965" s="25"/>
      <c r="W965" s="23"/>
      <c r="X965" s="23"/>
      <c r="Y965" s="10"/>
      <c r="Z965" s="10"/>
      <c r="AA965" s="23"/>
      <c r="AB965" s="15"/>
      <c r="AC965" s="26"/>
      <c r="AD965" s="16"/>
      <c r="AE965" s="16"/>
      <c r="AF965" s="16"/>
      <c r="AG965" s="16"/>
      <c r="AH965" s="16"/>
      <c r="AI965" s="16"/>
      <c r="AQ965" s="17"/>
      <c r="AS965" s="18"/>
      <c r="AU965" s="18"/>
      <c r="AV965" s="27"/>
      <c r="AW965" s="28"/>
      <c r="AX965" s="21"/>
    </row>
    <row r="966" spans="2:50" ht="15.75" customHeight="1">
      <c r="B966" s="22"/>
      <c r="C966" s="22"/>
      <c r="E966" s="23" t="s">
        <v>2792</v>
      </c>
      <c r="F966" s="23" t="s">
        <v>2792</v>
      </c>
      <c r="G966" s="23" t="s">
        <v>2792</v>
      </c>
      <c r="H966" s="23" t="s">
        <v>2792</v>
      </c>
      <c r="I966" s="23" t="s">
        <v>2792</v>
      </c>
      <c r="J966" s="23" t="s">
        <v>2792</v>
      </c>
      <c r="K966" s="23" t="s">
        <v>2792</v>
      </c>
      <c r="M966" s="23" t="s">
        <v>2792</v>
      </c>
      <c r="T966" s="23" t="s">
        <v>2792</v>
      </c>
      <c r="U966" s="24" t="s">
        <v>2792</v>
      </c>
      <c r="V966" s="25"/>
      <c r="W966" s="23"/>
      <c r="X966" s="23"/>
      <c r="Y966" s="10"/>
      <c r="Z966" s="10"/>
      <c r="AA966" s="23"/>
      <c r="AB966" s="15"/>
      <c r="AC966" s="26"/>
      <c r="AD966" s="16"/>
      <c r="AE966" s="16"/>
      <c r="AF966" s="16"/>
      <c r="AG966" s="16"/>
      <c r="AH966" s="16"/>
      <c r="AI966" s="16"/>
      <c r="AQ966" s="17"/>
      <c r="AS966" s="18"/>
      <c r="AU966" s="18"/>
      <c r="AV966" s="27"/>
      <c r="AW966" s="28"/>
      <c r="AX966" s="21"/>
    </row>
    <row r="967" spans="2:50" ht="15.75" customHeight="1">
      <c r="B967" s="22"/>
      <c r="C967" s="22"/>
      <c r="E967" s="23" t="s">
        <v>2792</v>
      </c>
      <c r="F967" s="23" t="s">
        <v>2792</v>
      </c>
      <c r="G967" s="23" t="s">
        <v>2792</v>
      </c>
      <c r="H967" s="23" t="s">
        <v>2792</v>
      </c>
      <c r="I967" s="23" t="s">
        <v>2792</v>
      </c>
      <c r="J967" s="23" t="s">
        <v>2792</v>
      </c>
      <c r="K967" s="23" t="s">
        <v>2792</v>
      </c>
      <c r="M967" s="23" t="s">
        <v>2792</v>
      </c>
      <c r="T967" s="23" t="s">
        <v>2792</v>
      </c>
      <c r="U967" s="24" t="s">
        <v>2792</v>
      </c>
      <c r="V967" s="25"/>
      <c r="W967" s="23"/>
      <c r="X967" s="23"/>
      <c r="Y967" s="10"/>
      <c r="Z967" s="10"/>
      <c r="AA967" s="23"/>
      <c r="AB967" s="15"/>
      <c r="AC967" s="26"/>
      <c r="AD967" s="16"/>
      <c r="AE967" s="16"/>
      <c r="AF967" s="16"/>
      <c r="AG967" s="16"/>
      <c r="AH967" s="16"/>
      <c r="AI967" s="16"/>
      <c r="AQ967" s="17"/>
      <c r="AS967" s="18"/>
      <c r="AU967" s="18"/>
      <c r="AV967" s="27"/>
      <c r="AW967" s="28"/>
      <c r="AX967" s="21"/>
    </row>
    <row r="968" spans="2:50" ht="15.75" customHeight="1">
      <c r="B968" s="22"/>
      <c r="C968" s="22"/>
      <c r="E968" s="23" t="s">
        <v>2792</v>
      </c>
      <c r="F968" s="23" t="s">
        <v>2792</v>
      </c>
      <c r="G968" s="23" t="s">
        <v>2792</v>
      </c>
      <c r="H968" s="23" t="s">
        <v>2792</v>
      </c>
      <c r="I968" s="23" t="s">
        <v>2792</v>
      </c>
      <c r="J968" s="23" t="s">
        <v>2792</v>
      </c>
      <c r="K968" s="23" t="s">
        <v>2792</v>
      </c>
      <c r="M968" s="23" t="s">
        <v>2792</v>
      </c>
      <c r="T968" s="23" t="s">
        <v>2792</v>
      </c>
      <c r="U968" s="24" t="s">
        <v>2792</v>
      </c>
      <c r="V968" s="25"/>
      <c r="W968" s="23"/>
      <c r="X968" s="23"/>
      <c r="Y968" s="10"/>
      <c r="Z968" s="10"/>
      <c r="AA968" s="23"/>
      <c r="AB968" s="15"/>
      <c r="AC968" s="26"/>
      <c r="AD968" s="16"/>
      <c r="AE968" s="16"/>
      <c r="AF968" s="16"/>
      <c r="AG968" s="16"/>
      <c r="AH968" s="16"/>
      <c r="AI968" s="16"/>
      <c r="AQ968" s="17"/>
      <c r="AS968" s="18"/>
      <c r="AU968" s="18"/>
      <c r="AV968" s="27"/>
      <c r="AW968" s="28"/>
      <c r="AX968" s="21"/>
    </row>
    <row r="969" spans="2:50" ht="15.75" customHeight="1">
      <c r="B969" s="22"/>
      <c r="C969" s="22"/>
      <c r="E969" s="23" t="s">
        <v>2792</v>
      </c>
      <c r="F969" s="23" t="s">
        <v>2792</v>
      </c>
      <c r="G969" s="23" t="s">
        <v>2792</v>
      </c>
      <c r="H969" s="23" t="s">
        <v>2792</v>
      </c>
      <c r="I969" s="23" t="s">
        <v>2792</v>
      </c>
      <c r="J969" s="23" t="s">
        <v>2792</v>
      </c>
      <c r="K969" s="23" t="s">
        <v>2792</v>
      </c>
      <c r="M969" s="23" t="s">
        <v>2792</v>
      </c>
      <c r="T969" s="23" t="s">
        <v>2792</v>
      </c>
      <c r="U969" s="24" t="s">
        <v>2792</v>
      </c>
      <c r="V969" s="25"/>
      <c r="W969" s="23"/>
      <c r="X969" s="23"/>
      <c r="Y969" s="10"/>
      <c r="Z969" s="10"/>
      <c r="AA969" s="23"/>
      <c r="AB969" s="15"/>
      <c r="AC969" s="26"/>
      <c r="AD969" s="16"/>
      <c r="AE969" s="16"/>
      <c r="AF969" s="16"/>
      <c r="AG969" s="16"/>
      <c r="AH969" s="16"/>
      <c r="AI969" s="16"/>
      <c r="AQ969" s="17"/>
      <c r="AS969" s="18"/>
      <c r="AU969" s="18"/>
      <c r="AV969" s="27"/>
      <c r="AW969" s="28"/>
      <c r="AX969" s="21"/>
    </row>
    <row r="970" spans="2:50" ht="15.75" customHeight="1">
      <c r="B970" s="22"/>
      <c r="C970" s="22"/>
      <c r="E970" s="23" t="s">
        <v>2792</v>
      </c>
      <c r="F970" s="23" t="s">
        <v>2792</v>
      </c>
      <c r="G970" s="23" t="s">
        <v>2792</v>
      </c>
      <c r="H970" s="23" t="s">
        <v>2792</v>
      </c>
      <c r="I970" s="23" t="s">
        <v>2792</v>
      </c>
      <c r="J970" s="23" t="s">
        <v>2792</v>
      </c>
      <c r="K970" s="23" t="s">
        <v>2792</v>
      </c>
      <c r="M970" s="23" t="s">
        <v>2792</v>
      </c>
      <c r="T970" s="23" t="s">
        <v>2792</v>
      </c>
      <c r="U970" s="24" t="s">
        <v>2792</v>
      </c>
      <c r="V970" s="25"/>
      <c r="W970" s="23"/>
      <c r="X970" s="23"/>
      <c r="Y970" s="10"/>
      <c r="Z970" s="10"/>
      <c r="AA970" s="23"/>
      <c r="AB970" s="15"/>
      <c r="AC970" s="26"/>
      <c r="AD970" s="16"/>
      <c r="AE970" s="16"/>
      <c r="AF970" s="16"/>
      <c r="AG970" s="16"/>
      <c r="AH970" s="16"/>
      <c r="AI970" s="16"/>
      <c r="AQ970" s="17"/>
      <c r="AS970" s="18"/>
      <c r="AU970" s="18"/>
      <c r="AV970" s="27"/>
      <c r="AW970" s="28"/>
      <c r="AX970" s="21"/>
    </row>
    <row r="971" spans="2:50" ht="15.75" customHeight="1">
      <c r="B971" s="22"/>
      <c r="C971" s="22"/>
      <c r="E971" s="23" t="s">
        <v>2792</v>
      </c>
      <c r="F971" s="23" t="s">
        <v>2792</v>
      </c>
      <c r="G971" s="23" t="s">
        <v>2792</v>
      </c>
      <c r="H971" s="23" t="s">
        <v>2792</v>
      </c>
      <c r="I971" s="23" t="s">
        <v>2792</v>
      </c>
      <c r="J971" s="23" t="s">
        <v>2792</v>
      </c>
      <c r="K971" s="23" t="s">
        <v>2792</v>
      </c>
      <c r="M971" s="23" t="s">
        <v>2792</v>
      </c>
      <c r="T971" s="23" t="s">
        <v>2792</v>
      </c>
      <c r="U971" s="24" t="s">
        <v>2792</v>
      </c>
      <c r="V971" s="25"/>
      <c r="W971" s="23"/>
      <c r="X971" s="23"/>
      <c r="Y971" s="10"/>
      <c r="Z971" s="10"/>
      <c r="AA971" s="23"/>
      <c r="AB971" s="15"/>
      <c r="AC971" s="26"/>
      <c r="AD971" s="16"/>
      <c r="AE971" s="16"/>
      <c r="AF971" s="16"/>
      <c r="AG971" s="16"/>
      <c r="AH971" s="16"/>
      <c r="AI971" s="16"/>
      <c r="AQ971" s="17"/>
      <c r="AS971" s="18"/>
      <c r="AU971" s="18"/>
      <c r="AV971" s="27"/>
      <c r="AW971" s="28"/>
      <c r="AX971" s="21"/>
    </row>
    <row r="972" spans="2:50" ht="15.75" customHeight="1">
      <c r="B972" s="22"/>
      <c r="C972" s="22"/>
      <c r="E972" s="23" t="s">
        <v>2792</v>
      </c>
      <c r="F972" s="23" t="s">
        <v>2792</v>
      </c>
      <c r="G972" s="23" t="s">
        <v>2792</v>
      </c>
      <c r="H972" s="23" t="s">
        <v>2792</v>
      </c>
      <c r="I972" s="23" t="s">
        <v>2792</v>
      </c>
      <c r="J972" s="23" t="s">
        <v>2792</v>
      </c>
      <c r="K972" s="23" t="s">
        <v>2792</v>
      </c>
      <c r="M972" s="23" t="s">
        <v>2792</v>
      </c>
      <c r="T972" s="23" t="s">
        <v>2792</v>
      </c>
      <c r="U972" s="24" t="s">
        <v>2792</v>
      </c>
      <c r="V972" s="25"/>
      <c r="W972" s="23"/>
      <c r="X972" s="23"/>
      <c r="Y972" s="10"/>
      <c r="Z972" s="10"/>
      <c r="AA972" s="23"/>
      <c r="AB972" s="15"/>
      <c r="AC972" s="26"/>
      <c r="AD972" s="16"/>
      <c r="AE972" s="16"/>
      <c r="AF972" s="16"/>
      <c r="AG972" s="16"/>
      <c r="AH972" s="16"/>
      <c r="AI972" s="16"/>
      <c r="AQ972" s="17"/>
      <c r="AS972" s="18"/>
      <c r="AU972" s="18"/>
      <c r="AV972" s="27"/>
      <c r="AW972" s="28"/>
      <c r="AX972" s="21"/>
    </row>
    <row r="973" spans="2:50" ht="15.75" customHeight="1">
      <c r="B973" s="22"/>
      <c r="C973" s="22"/>
      <c r="E973" s="23" t="s">
        <v>2792</v>
      </c>
      <c r="F973" s="23" t="s">
        <v>2792</v>
      </c>
      <c r="G973" s="23" t="s">
        <v>2792</v>
      </c>
      <c r="H973" s="23" t="s">
        <v>2792</v>
      </c>
      <c r="I973" s="23" t="s">
        <v>2792</v>
      </c>
      <c r="J973" s="23" t="s">
        <v>2792</v>
      </c>
      <c r="K973" s="23" t="s">
        <v>2792</v>
      </c>
      <c r="M973" s="23" t="s">
        <v>2792</v>
      </c>
      <c r="T973" s="23" t="s">
        <v>2792</v>
      </c>
      <c r="U973" s="24" t="s">
        <v>2792</v>
      </c>
      <c r="V973" s="25"/>
      <c r="W973" s="23"/>
      <c r="X973" s="23"/>
      <c r="Y973" s="10"/>
      <c r="Z973" s="10"/>
      <c r="AA973" s="23"/>
      <c r="AB973" s="15"/>
      <c r="AC973" s="26"/>
      <c r="AD973" s="16"/>
      <c r="AE973" s="16"/>
      <c r="AF973" s="16"/>
      <c r="AG973" s="16"/>
      <c r="AH973" s="16"/>
      <c r="AI973" s="16"/>
      <c r="AQ973" s="17"/>
      <c r="AS973" s="18"/>
      <c r="AU973" s="18"/>
      <c r="AV973" s="27"/>
      <c r="AW973" s="28"/>
      <c r="AX973" s="21"/>
    </row>
    <row r="974" spans="2:50" ht="15.75" customHeight="1">
      <c r="B974" s="22"/>
      <c r="C974" s="22"/>
      <c r="E974" s="23" t="s">
        <v>2792</v>
      </c>
      <c r="F974" s="23" t="s">
        <v>2792</v>
      </c>
      <c r="G974" s="23" t="s">
        <v>2792</v>
      </c>
      <c r="H974" s="23" t="s">
        <v>2792</v>
      </c>
      <c r="I974" s="23" t="s">
        <v>2792</v>
      </c>
      <c r="J974" s="23" t="s">
        <v>2792</v>
      </c>
      <c r="K974" s="23" t="s">
        <v>2792</v>
      </c>
      <c r="M974" s="23" t="s">
        <v>2792</v>
      </c>
      <c r="T974" s="23" t="s">
        <v>2792</v>
      </c>
      <c r="U974" s="24" t="s">
        <v>2792</v>
      </c>
      <c r="V974" s="25"/>
      <c r="W974" s="23"/>
      <c r="X974" s="23"/>
      <c r="Y974" s="10"/>
      <c r="Z974" s="10"/>
      <c r="AA974" s="23"/>
      <c r="AB974" s="15"/>
      <c r="AC974" s="26"/>
      <c r="AD974" s="16"/>
      <c r="AE974" s="16"/>
      <c r="AF974" s="16"/>
      <c r="AG974" s="16"/>
      <c r="AH974" s="16"/>
      <c r="AI974" s="16"/>
      <c r="AQ974" s="17"/>
      <c r="AS974" s="18"/>
      <c r="AU974" s="18"/>
      <c r="AV974" s="27"/>
      <c r="AW974" s="28"/>
      <c r="AX974" s="21"/>
    </row>
    <row r="975" spans="2:50" ht="15.75" customHeight="1">
      <c r="B975" s="22"/>
      <c r="C975" s="22"/>
      <c r="E975" s="23" t="s">
        <v>2792</v>
      </c>
      <c r="F975" s="23" t="s">
        <v>2792</v>
      </c>
      <c r="G975" s="23" t="s">
        <v>2792</v>
      </c>
      <c r="H975" s="23" t="s">
        <v>2792</v>
      </c>
      <c r="I975" s="23" t="s">
        <v>2792</v>
      </c>
      <c r="J975" s="23" t="s">
        <v>2792</v>
      </c>
      <c r="K975" s="23" t="s">
        <v>2792</v>
      </c>
      <c r="M975" s="23" t="s">
        <v>2792</v>
      </c>
      <c r="T975" s="23" t="s">
        <v>2792</v>
      </c>
      <c r="U975" s="24" t="s">
        <v>2792</v>
      </c>
      <c r="V975" s="25"/>
      <c r="W975" s="23"/>
      <c r="X975" s="23"/>
      <c r="Y975" s="10"/>
      <c r="Z975" s="10"/>
      <c r="AA975" s="23"/>
      <c r="AB975" s="15"/>
      <c r="AC975" s="26"/>
      <c r="AD975" s="16"/>
      <c r="AE975" s="16"/>
      <c r="AF975" s="16"/>
      <c r="AG975" s="16"/>
      <c r="AH975" s="16"/>
      <c r="AI975" s="16"/>
      <c r="AQ975" s="17"/>
      <c r="AS975" s="18"/>
      <c r="AU975" s="18"/>
      <c r="AV975" s="27"/>
      <c r="AW975" s="28"/>
      <c r="AX975" s="21"/>
    </row>
    <row r="976" spans="2:50" ht="15.75" customHeight="1">
      <c r="B976" s="22"/>
      <c r="C976" s="22"/>
      <c r="E976" s="23" t="s">
        <v>2792</v>
      </c>
      <c r="F976" s="23" t="s">
        <v>2792</v>
      </c>
      <c r="G976" s="23" t="s">
        <v>2792</v>
      </c>
      <c r="H976" s="23" t="s">
        <v>2792</v>
      </c>
      <c r="I976" s="23" t="s">
        <v>2792</v>
      </c>
      <c r="J976" s="23" t="s">
        <v>2792</v>
      </c>
      <c r="K976" s="23" t="s">
        <v>2792</v>
      </c>
      <c r="M976" s="23" t="s">
        <v>2792</v>
      </c>
      <c r="T976" s="23" t="s">
        <v>2792</v>
      </c>
      <c r="U976" s="24" t="s">
        <v>2792</v>
      </c>
      <c r="V976" s="25"/>
      <c r="W976" s="23"/>
      <c r="X976" s="23"/>
      <c r="Y976" s="10"/>
      <c r="Z976" s="10"/>
      <c r="AA976" s="23"/>
      <c r="AB976" s="15"/>
      <c r="AC976" s="26"/>
      <c r="AD976" s="16"/>
      <c r="AE976" s="16"/>
      <c r="AF976" s="16"/>
      <c r="AG976" s="16"/>
      <c r="AH976" s="16"/>
      <c r="AI976" s="16"/>
      <c r="AQ976" s="17"/>
      <c r="AS976" s="18"/>
      <c r="AU976" s="18"/>
      <c r="AV976" s="27"/>
      <c r="AW976" s="28"/>
      <c r="AX976" s="21"/>
    </row>
    <row r="977" spans="2:50" ht="15.75" customHeight="1">
      <c r="B977" s="22"/>
      <c r="C977" s="22"/>
      <c r="E977" s="23" t="s">
        <v>2792</v>
      </c>
      <c r="F977" s="23" t="s">
        <v>2792</v>
      </c>
      <c r="G977" s="23" t="s">
        <v>2792</v>
      </c>
      <c r="H977" s="23" t="s">
        <v>2792</v>
      </c>
      <c r="I977" s="23" t="s">
        <v>2792</v>
      </c>
      <c r="J977" s="23" t="s">
        <v>2792</v>
      </c>
      <c r="K977" s="23" t="s">
        <v>2792</v>
      </c>
      <c r="M977" s="23" t="s">
        <v>2792</v>
      </c>
      <c r="T977" s="23" t="s">
        <v>2792</v>
      </c>
      <c r="U977" s="24" t="s">
        <v>2792</v>
      </c>
      <c r="V977" s="25"/>
      <c r="W977" s="23"/>
      <c r="X977" s="23"/>
      <c r="Y977" s="10"/>
      <c r="Z977" s="10"/>
      <c r="AA977" s="23"/>
      <c r="AB977" s="15"/>
      <c r="AC977" s="26"/>
      <c r="AD977" s="16"/>
      <c r="AE977" s="16"/>
      <c r="AF977" s="16"/>
      <c r="AG977" s="16"/>
      <c r="AH977" s="16"/>
      <c r="AI977" s="16"/>
      <c r="AQ977" s="17"/>
      <c r="AS977" s="18"/>
      <c r="AU977" s="18"/>
      <c r="AV977" s="27"/>
      <c r="AW977" s="28"/>
      <c r="AX977" s="21"/>
    </row>
    <row r="978" spans="2:50" ht="15.75" customHeight="1">
      <c r="B978" s="22"/>
      <c r="C978" s="22"/>
      <c r="E978" s="23" t="s">
        <v>2792</v>
      </c>
      <c r="F978" s="23" t="s">
        <v>2792</v>
      </c>
      <c r="G978" s="23" t="s">
        <v>2792</v>
      </c>
      <c r="H978" s="23" t="s">
        <v>2792</v>
      </c>
      <c r="I978" s="23" t="s">
        <v>2792</v>
      </c>
      <c r="J978" s="23" t="s">
        <v>2792</v>
      </c>
      <c r="K978" s="23" t="s">
        <v>2792</v>
      </c>
      <c r="M978" s="23" t="s">
        <v>2792</v>
      </c>
      <c r="T978" s="23" t="s">
        <v>2792</v>
      </c>
      <c r="U978" s="24" t="s">
        <v>2792</v>
      </c>
      <c r="V978" s="25"/>
      <c r="W978" s="23"/>
      <c r="X978" s="23"/>
      <c r="Y978" s="10"/>
      <c r="Z978" s="10"/>
      <c r="AA978" s="23"/>
      <c r="AB978" s="15"/>
      <c r="AC978" s="26"/>
      <c r="AD978" s="16"/>
      <c r="AE978" s="16"/>
      <c r="AF978" s="16"/>
      <c r="AG978" s="16"/>
      <c r="AH978" s="16"/>
      <c r="AI978" s="16"/>
      <c r="AQ978" s="17"/>
      <c r="AS978" s="18"/>
      <c r="AU978" s="18"/>
      <c r="AV978" s="27"/>
      <c r="AW978" s="28"/>
      <c r="AX978" s="21"/>
    </row>
    <row r="979" spans="2:50" ht="15.75" customHeight="1">
      <c r="B979" s="22"/>
      <c r="C979" s="22"/>
      <c r="E979" s="23" t="s">
        <v>2792</v>
      </c>
      <c r="F979" s="23" t="s">
        <v>2792</v>
      </c>
      <c r="G979" s="23" t="s">
        <v>2792</v>
      </c>
      <c r="H979" s="23" t="s">
        <v>2792</v>
      </c>
      <c r="I979" s="23" t="s">
        <v>2792</v>
      </c>
      <c r="J979" s="23" t="s">
        <v>2792</v>
      </c>
      <c r="K979" s="23" t="s">
        <v>2792</v>
      </c>
      <c r="M979" s="23" t="s">
        <v>2792</v>
      </c>
      <c r="T979" s="23" t="s">
        <v>2792</v>
      </c>
      <c r="U979" s="24" t="s">
        <v>2792</v>
      </c>
      <c r="V979" s="25"/>
      <c r="W979" s="23"/>
      <c r="X979" s="23"/>
      <c r="Y979" s="10"/>
      <c r="Z979" s="10"/>
      <c r="AA979" s="23"/>
      <c r="AB979" s="15"/>
      <c r="AC979" s="26"/>
      <c r="AD979" s="16"/>
      <c r="AE979" s="16"/>
      <c r="AF979" s="16"/>
      <c r="AG979" s="16"/>
      <c r="AH979" s="16"/>
      <c r="AI979" s="16"/>
      <c r="AQ979" s="17"/>
      <c r="AS979" s="18"/>
      <c r="AU979" s="18"/>
      <c r="AV979" s="27"/>
      <c r="AW979" s="28"/>
      <c r="AX979" s="21"/>
    </row>
    <row r="980" spans="2:50" ht="15.75" customHeight="1">
      <c r="B980" s="22"/>
      <c r="C980" s="22"/>
      <c r="E980" s="23" t="s">
        <v>2792</v>
      </c>
      <c r="F980" s="23" t="s">
        <v>2792</v>
      </c>
      <c r="G980" s="23" t="s">
        <v>2792</v>
      </c>
      <c r="H980" s="23" t="s">
        <v>2792</v>
      </c>
      <c r="I980" s="23" t="s">
        <v>2792</v>
      </c>
      <c r="J980" s="23" t="s">
        <v>2792</v>
      </c>
      <c r="K980" s="23" t="s">
        <v>2792</v>
      </c>
      <c r="M980" s="23" t="s">
        <v>2792</v>
      </c>
      <c r="T980" s="23" t="s">
        <v>2792</v>
      </c>
      <c r="U980" s="24" t="s">
        <v>2792</v>
      </c>
      <c r="V980" s="25"/>
      <c r="W980" s="23"/>
      <c r="X980" s="23"/>
      <c r="Y980" s="10"/>
      <c r="Z980" s="10"/>
      <c r="AA980" s="23"/>
      <c r="AB980" s="15"/>
      <c r="AC980" s="26"/>
      <c r="AD980" s="16"/>
      <c r="AE980" s="16"/>
      <c r="AF980" s="16"/>
      <c r="AG980" s="16"/>
      <c r="AH980" s="16"/>
      <c r="AI980" s="16"/>
      <c r="AQ980" s="17"/>
      <c r="AS980" s="18"/>
      <c r="AU980" s="18"/>
      <c r="AV980" s="27"/>
      <c r="AW980" s="28"/>
      <c r="AX980" s="21"/>
    </row>
    <row r="981" spans="2:50" ht="15.75" customHeight="1">
      <c r="B981" s="22"/>
      <c r="C981" s="22"/>
      <c r="E981" s="23" t="s">
        <v>2792</v>
      </c>
      <c r="F981" s="23" t="s">
        <v>2792</v>
      </c>
      <c r="G981" s="23" t="s">
        <v>2792</v>
      </c>
      <c r="H981" s="23" t="s">
        <v>2792</v>
      </c>
      <c r="I981" s="23" t="s">
        <v>2792</v>
      </c>
      <c r="J981" s="23" t="s">
        <v>2792</v>
      </c>
      <c r="K981" s="23" t="s">
        <v>2792</v>
      </c>
      <c r="M981" s="23" t="s">
        <v>2792</v>
      </c>
      <c r="T981" s="23" t="s">
        <v>2792</v>
      </c>
      <c r="U981" s="24" t="s">
        <v>2792</v>
      </c>
      <c r="V981" s="25"/>
      <c r="W981" s="23"/>
      <c r="X981" s="23"/>
      <c r="Y981" s="10"/>
      <c r="Z981" s="10"/>
      <c r="AA981" s="23"/>
      <c r="AB981" s="15"/>
      <c r="AC981" s="26"/>
      <c r="AD981" s="16"/>
      <c r="AE981" s="16"/>
      <c r="AF981" s="16"/>
      <c r="AG981" s="16"/>
      <c r="AH981" s="16"/>
      <c r="AI981" s="16"/>
      <c r="AQ981" s="17"/>
      <c r="AS981" s="18"/>
      <c r="AU981" s="18"/>
      <c r="AV981" s="27"/>
      <c r="AW981" s="28"/>
      <c r="AX981" s="21"/>
    </row>
    <row r="982" spans="2:50" ht="15.75" customHeight="1">
      <c r="B982" s="22"/>
      <c r="C982" s="22"/>
      <c r="E982" s="23" t="s">
        <v>2792</v>
      </c>
      <c r="F982" s="23" t="s">
        <v>2792</v>
      </c>
      <c r="G982" s="23" t="s">
        <v>2792</v>
      </c>
      <c r="H982" s="23" t="s">
        <v>2792</v>
      </c>
      <c r="I982" s="23" t="s">
        <v>2792</v>
      </c>
      <c r="J982" s="23" t="s">
        <v>2792</v>
      </c>
      <c r="K982" s="23" t="s">
        <v>2792</v>
      </c>
      <c r="M982" s="23" t="s">
        <v>2792</v>
      </c>
      <c r="T982" s="23" t="s">
        <v>2792</v>
      </c>
      <c r="U982" s="24" t="s">
        <v>2792</v>
      </c>
      <c r="V982" s="25"/>
      <c r="W982" s="23"/>
      <c r="X982" s="23"/>
      <c r="Y982" s="10"/>
      <c r="Z982" s="10"/>
      <c r="AA982" s="23"/>
      <c r="AB982" s="15"/>
      <c r="AC982" s="26"/>
      <c r="AD982" s="16"/>
      <c r="AE982" s="16"/>
      <c r="AF982" s="16"/>
      <c r="AG982" s="16"/>
      <c r="AH982" s="16"/>
      <c r="AI982" s="16"/>
      <c r="AQ982" s="17"/>
      <c r="AS982" s="18"/>
      <c r="AU982" s="18"/>
      <c r="AV982" s="27"/>
      <c r="AW982" s="28"/>
      <c r="AX982" s="21"/>
    </row>
    <row r="983" spans="2:50" ht="15.75" customHeight="1">
      <c r="B983" s="22"/>
      <c r="C983" s="22"/>
      <c r="E983" s="23" t="s">
        <v>2792</v>
      </c>
      <c r="F983" s="23" t="s">
        <v>2792</v>
      </c>
      <c r="G983" s="23" t="s">
        <v>2792</v>
      </c>
      <c r="H983" s="23" t="s">
        <v>2792</v>
      </c>
      <c r="I983" s="23" t="s">
        <v>2792</v>
      </c>
      <c r="J983" s="23" t="s">
        <v>2792</v>
      </c>
      <c r="K983" s="23" t="s">
        <v>2792</v>
      </c>
      <c r="M983" s="23" t="s">
        <v>2792</v>
      </c>
      <c r="T983" s="23" t="s">
        <v>2792</v>
      </c>
      <c r="U983" s="24" t="s">
        <v>2792</v>
      </c>
      <c r="V983" s="25"/>
      <c r="W983" s="23"/>
      <c r="X983" s="23"/>
      <c r="Y983" s="10"/>
      <c r="Z983" s="10"/>
      <c r="AA983" s="23"/>
      <c r="AB983" s="15"/>
      <c r="AC983" s="26"/>
      <c r="AD983" s="16"/>
      <c r="AE983" s="16"/>
      <c r="AF983" s="16"/>
      <c r="AG983" s="16"/>
      <c r="AH983" s="16"/>
      <c r="AI983" s="16"/>
      <c r="AQ983" s="17"/>
      <c r="AS983" s="18"/>
      <c r="AU983" s="18"/>
      <c r="AV983" s="27"/>
      <c r="AW983" s="28"/>
      <c r="AX983" s="21"/>
    </row>
    <row r="984" spans="2:50" ht="15.75" customHeight="1">
      <c r="B984" s="22"/>
      <c r="C984" s="22"/>
      <c r="E984" s="23" t="s">
        <v>2792</v>
      </c>
      <c r="F984" s="23" t="s">
        <v>2792</v>
      </c>
      <c r="G984" s="23" t="s">
        <v>2792</v>
      </c>
      <c r="H984" s="23" t="s">
        <v>2792</v>
      </c>
      <c r="I984" s="23" t="s">
        <v>2792</v>
      </c>
      <c r="J984" s="23" t="s">
        <v>2792</v>
      </c>
      <c r="K984" s="23" t="s">
        <v>2792</v>
      </c>
      <c r="M984" s="23" t="s">
        <v>2792</v>
      </c>
      <c r="T984" s="23" t="s">
        <v>2792</v>
      </c>
      <c r="U984" s="24" t="s">
        <v>2792</v>
      </c>
      <c r="V984" s="25"/>
      <c r="W984" s="23"/>
      <c r="X984" s="23"/>
      <c r="Y984" s="10"/>
      <c r="Z984" s="10"/>
      <c r="AA984" s="23"/>
      <c r="AB984" s="15"/>
      <c r="AC984" s="26"/>
      <c r="AD984" s="16"/>
      <c r="AE984" s="16"/>
      <c r="AF984" s="16"/>
      <c r="AG984" s="16"/>
      <c r="AH984" s="16"/>
      <c r="AI984" s="16"/>
      <c r="AQ984" s="17"/>
      <c r="AS984" s="18"/>
      <c r="AU984" s="18"/>
      <c r="AV984" s="27"/>
      <c r="AW984" s="28"/>
      <c r="AX984" s="21"/>
    </row>
    <row r="985" spans="2:50" ht="15.75" customHeight="1">
      <c r="B985" s="22"/>
      <c r="C985" s="22"/>
      <c r="E985" s="23" t="s">
        <v>2792</v>
      </c>
      <c r="F985" s="23" t="s">
        <v>2792</v>
      </c>
      <c r="G985" s="23" t="s">
        <v>2792</v>
      </c>
      <c r="H985" s="23" t="s">
        <v>2792</v>
      </c>
      <c r="I985" s="23" t="s">
        <v>2792</v>
      </c>
      <c r="J985" s="23" t="s">
        <v>2792</v>
      </c>
      <c r="K985" s="23" t="s">
        <v>2792</v>
      </c>
      <c r="M985" s="23" t="s">
        <v>2792</v>
      </c>
      <c r="T985" s="23" t="s">
        <v>2792</v>
      </c>
      <c r="U985" s="24" t="s">
        <v>2792</v>
      </c>
      <c r="V985" s="25"/>
      <c r="W985" s="23"/>
      <c r="X985" s="23"/>
      <c r="Y985" s="10"/>
      <c r="Z985" s="10"/>
      <c r="AA985" s="23"/>
      <c r="AB985" s="15"/>
      <c r="AC985" s="26"/>
      <c r="AD985" s="16"/>
      <c r="AE985" s="16"/>
      <c r="AF985" s="16"/>
      <c r="AG985" s="16"/>
      <c r="AH985" s="16"/>
      <c r="AI985" s="16"/>
      <c r="AQ985" s="17"/>
      <c r="AS985" s="18"/>
      <c r="AU985" s="18"/>
      <c r="AV985" s="27"/>
      <c r="AW985" s="28"/>
      <c r="AX985" s="21"/>
    </row>
    <row r="986" spans="2:50" ht="15.75" customHeight="1">
      <c r="B986" s="22"/>
      <c r="C986" s="22"/>
      <c r="E986" s="23" t="s">
        <v>2792</v>
      </c>
      <c r="F986" s="23" t="s">
        <v>2792</v>
      </c>
      <c r="G986" s="23" t="s">
        <v>2792</v>
      </c>
      <c r="H986" s="23" t="s">
        <v>2792</v>
      </c>
      <c r="I986" s="23" t="s">
        <v>2792</v>
      </c>
      <c r="J986" s="23" t="s">
        <v>2792</v>
      </c>
      <c r="K986" s="23" t="s">
        <v>2792</v>
      </c>
      <c r="M986" s="23" t="s">
        <v>2792</v>
      </c>
      <c r="T986" s="23" t="s">
        <v>2792</v>
      </c>
      <c r="U986" s="24" t="s">
        <v>2792</v>
      </c>
      <c r="V986" s="25"/>
      <c r="W986" s="23"/>
      <c r="X986" s="23"/>
      <c r="Y986" s="10"/>
      <c r="Z986" s="10"/>
      <c r="AA986" s="23"/>
      <c r="AB986" s="15"/>
      <c r="AC986" s="26"/>
      <c r="AD986" s="16"/>
      <c r="AE986" s="16"/>
      <c r="AF986" s="16"/>
      <c r="AG986" s="16"/>
      <c r="AH986" s="16"/>
      <c r="AI986" s="16"/>
      <c r="AQ986" s="17"/>
      <c r="AS986" s="18"/>
      <c r="AU986" s="18"/>
      <c r="AV986" s="27"/>
      <c r="AW986" s="28"/>
      <c r="AX986" s="21"/>
    </row>
    <row r="987" spans="2:50" ht="15.75" customHeight="1">
      <c r="B987" s="22"/>
      <c r="C987" s="22"/>
      <c r="E987" s="23" t="s">
        <v>2792</v>
      </c>
      <c r="F987" s="23" t="s">
        <v>2792</v>
      </c>
      <c r="G987" s="23" t="s">
        <v>2792</v>
      </c>
      <c r="H987" s="23" t="s">
        <v>2792</v>
      </c>
      <c r="I987" s="23" t="s">
        <v>2792</v>
      </c>
      <c r="J987" s="23" t="s">
        <v>2792</v>
      </c>
      <c r="K987" s="23" t="s">
        <v>2792</v>
      </c>
      <c r="M987" s="23" t="s">
        <v>2792</v>
      </c>
      <c r="T987" s="23" t="s">
        <v>2792</v>
      </c>
      <c r="U987" s="24" t="s">
        <v>2792</v>
      </c>
      <c r="V987" s="25"/>
      <c r="W987" s="23"/>
      <c r="X987" s="23"/>
      <c r="Y987" s="10"/>
      <c r="Z987" s="10"/>
      <c r="AA987" s="23"/>
      <c r="AB987" s="15"/>
      <c r="AC987" s="26"/>
      <c r="AD987" s="16"/>
      <c r="AE987" s="16"/>
      <c r="AF987" s="16"/>
      <c r="AG987" s="16"/>
      <c r="AH987" s="16"/>
      <c r="AI987" s="16"/>
      <c r="AQ987" s="17"/>
      <c r="AS987" s="18"/>
      <c r="AU987" s="18"/>
      <c r="AV987" s="27"/>
      <c r="AW987" s="28"/>
      <c r="AX987" s="21"/>
    </row>
    <row r="988" spans="2:50" ht="15.75" customHeight="1">
      <c r="B988" s="22"/>
      <c r="C988" s="22"/>
      <c r="E988" s="23" t="s">
        <v>2792</v>
      </c>
      <c r="F988" s="23" t="s">
        <v>2792</v>
      </c>
      <c r="G988" s="23" t="s">
        <v>2792</v>
      </c>
      <c r="H988" s="23" t="s">
        <v>2792</v>
      </c>
      <c r="I988" s="23" t="s">
        <v>2792</v>
      </c>
      <c r="J988" s="23" t="s">
        <v>2792</v>
      </c>
      <c r="K988" s="23" t="s">
        <v>2792</v>
      </c>
      <c r="M988" s="23" t="s">
        <v>2792</v>
      </c>
      <c r="T988" s="23" t="s">
        <v>2792</v>
      </c>
      <c r="U988" s="24" t="s">
        <v>2792</v>
      </c>
      <c r="V988" s="25"/>
      <c r="W988" s="23"/>
      <c r="X988" s="23"/>
      <c r="Y988" s="10"/>
      <c r="Z988" s="10"/>
      <c r="AA988" s="23"/>
      <c r="AB988" s="15"/>
      <c r="AC988" s="26"/>
      <c r="AD988" s="16"/>
      <c r="AE988" s="16"/>
      <c r="AF988" s="16"/>
      <c r="AG988" s="16"/>
      <c r="AH988" s="16"/>
      <c r="AI988" s="16"/>
      <c r="AQ988" s="17"/>
      <c r="AS988" s="18"/>
      <c r="AU988" s="18"/>
      <c r="AV988" s="27"/>
      <c r="AW988" s="28"/>
      <c r="AX988" s="21"/>
    </row>
    <row r="989" spans="2:50" ht="15.75" customHeight="1">
      <c r="B989" s="22"/>
      <c r="C989" s="22"/>
      <c r="E989" s="23" t="s">
        <v>2792</v>
      </c>
      <c r="F989" s="23" t="s">
        <v>2792</v>
      </c>
      <c r="G989" s="23" t="s">
        <v>2792</v>
      </c>
      <c r="H989" s="23" t="s">
        <v>2792</v>
      </c>
      <c r="I989" s="23" t="s">
        <v>2792</v>
      </c>
      <c r="J989" s="23" t="s">
        <v>2792</v>
      </c>
      <c r="K989" s="23" t="s">
        <v>2792</v>
      </c>
      <c r="M989" s="23" t="s">
        <v>2792</v>
      </c>
      <c r="T989" s="23" t="s">
        <v>2792</v>
      </c>
      <c r="U989" s="24" t="s">
        <v>2792</v>
      </c>
      <c r="V989" s="25"/>
      <c r="W989" s="23"/>
      <c r="X989" s="23"/>
      <c r="Y989" s="10"/>
      <c r="Z989" s="10"/>
      <c r="AA989" s="23"/>
      <c r="AB989" s="15"/>
      <c r="AC989" s="26"/>
      <c r="AD989" s="16"/>
      <c r="AE989" s="16"/>
      <c r="AF989" s="16"/>
      <c r="AG989" s="16"/>
      <c r="AH989" s="16"/>
      <c r="AI989" s="16"/>
      <c r="AQ989" s="17"/>
      <c r="AS989" s="18"/>
      <c r="AU989" s="18"/>
      <c r="AV989" s="27"/>
      <c r="AW989" s="28"/>
      <c r="AX989" s="21"/>
    </row>
    <row r="990" spans="2:50" ht="15.75" customHeight="1">
      <c r="B990" s="22"/>
      <c r="C990" s="22"/>
      <c r="E990" s="23" t="s">
        <v>2792</v>
      </c>
      <c r="F990" s="23" t="s">
        <v>2792</v>
      </c>
      <c r="G990" s="23" t="s">
        <v>2792</v>
      </c>
      <c r="H990" s="23" t="s">
        <v>2792</v>
      </c>
      <c r="I990" s="23" t="s">
        <v>2792</v>
      </c>
      <c r="J990" s="23" t="s">
        <v>2792</v>
      </c>
      <c r="K990" s="23" t="s">
        <v>2792</v>
      </c>
      <c r="M990" s="23" t="s">
        <v>2792</v>
      </c>
      <c r="T990" s="23" t="s">
        <v>2792</v>
      </c>
      <c r="U990" s="24" t="s">
        <v>2792</v>
      </c>
      <c r="V990" s="25"/>
      <c r="W990" s="23"/>
      <c r="X990" s="23"/>
      <c r="Y990" s="10"/>
      <c r="Z990" s="10"/>
      <c r="AA990" s="23"/>
      <c r="AB990" s="15"/>
      <c r="AC990" s="26"/>
      <c r="AD990" s="16"/>
      <c r="AE990" s="16"/>
      <c r="AF990" s="16"/>
      <c r="AG990" s="16"/>
      <c r="AH990" s="16"/>
      <c r="AI990" s="16"/>
      <c r="AQ990" s="17"/>
      <c r="AS990" s="18"/>
      <c r="AU990" s="18"/>
      <c r="AV990" s="27"/>
      <c r="AW990" s="28"/>
      <c r="AX990" s="21"/>
    </row>
    <row r="991" spans="2:50" ht="15.75" customHeight="1">
      <c r="B991" s="22"/>
      <c r="C991" s="22"/>
      <c r="E991" s="23" t="s">
        <v>2792</v>
      </c>
      <c r="F991" s="23" t="s">
        <v>2792</v>
      </c>
      <c r="G991" s="23" t="s">
        <v>2792</v>
      </c>
      <c r="H991" s="23" t="s">
        <v>2792</v>
      </c>
      <c r="I991" s="23" t="s">
        <v>2792</v>
      </c>
      <c r="J991" s="23" t="s">
        <v>2792</v>
      </c>
      <c r="K991" s="23" t="s">
        <v>2792</v>
      </c>
      <c r="M991" s="23" t="s">
        <v>2792</v>
      </c>
      <c r="T991" s="23" t="s">
        <v>2792</v>
      </c>
      <c r="U991" s="24" t="s">
        <v>2792</v>
      </c>
      <c r="V991" s="25"/>
      <c r="W991" s="23"/>
      <c r="X991" s="23"/>
      <c r="Y991" s="10"/>
      <c r="Z991" s="10"/>
      <c r="AA991" s="23"/>
      <c r="AB991" s="15"/>
      <c r="AC991" s="26"/>
      <c r="AD991" s="16"/>
      <c r="AE991" s="16"/>
      <c r="AF991" s="16"/>
      <c r="AG991" s="16"/>
      <c r="AH991" s="16"/>
      <c r="AI991" s="16"/>
      <c r="AQ991" s="17"/>
      <c r="AS991" s="18"/>
      <c r="AU991" s="18"/>
      <c r="AV991" s="27"/>
      <c r="AW991" s="28"/>
      <c r="AX991" s="21"/>
    </row>
    <row r="992" spans="2:50" ht="15.75" customHeight="1">
      <c r="B992" s="22"/>
      <c r="C992" s="22"/>
      <c r="E992" s="23" t="s">
        <v>2792</v>
      </c>
      <c r="F992" s="23" t="s">
        <v>2792</v>
      </c>
      <c r="G992" s="23" t="s">
        <v>2792</v>
      </c>
      <c r="H992" s="23" t="s">
        <v>2792</v>
      </c>
      <c r="I992" s="23" t="s">
        <v>2792</v>
      </c>
      <c r="J992" s="23" t="s">
        <v>2792</v>
      </c>
      <c r="K992" s="23" t="s">
        <v>2792</v>
      </c>
      <c r="M992" s="23" t="s">
        <v>2792</v>
      </c>
      <c r="T992" s="23" t="s">
        <v>2792</v>
      </c>
      <c r="U992" s="24" t="s">
        <v>2792</v>
      </c>
      <c r="V992" s="25"/>
      <c r="W992" s="23"/>
      <c r="X992" s="23"/>
      <c r="Y992" s="10"/>
      <c r="Z992" s="10"/>
      <c r="AA992" s="23"/>
      <c r="AB992" s="15"/>
      <c r="AC992" s="26"/>
      <c r="AD992" s="16"/>
      <c r="AE992" s="16"/>
      <c r="AF992" s="16"/>
      <c r="AG992" s="16"/>
      <c r="AH992" s="16"/>
      <c r="AI992" s="16"/>
      <c r="AQ992" s="17"/>
      <c r="AS992" s="18"/>
      <c r="AU992" s="18"/>
      <c r="AV992" s="27"/>
      <c r="AW992" s="28"/>
      <c r="AX992" s="21"/>
    </row>
    <row r="993" spans="2:50" ht="15.75" customHeight="1">
      <c r="B993" s="22"/>
      <c r="C993" s="22"/>
      <c r="E993" s="23" t="s">
        <v>2792</v>
      </c>
      <c r="F993" s="23" t="s">
        <v>2792</v>
      </c>
      <c r="G993" s="23" t="s">
        <v>2792</v>
      </c>
      <c r="H993" s="23" t="s">
        <v>2792</v>
      </c>
      <c r="I993" s="23" t="s">
        <v>2792</v>
      </c>
      <c r="J993" s="23" t="s">
        <v>2792</v>
      </c>
      <c r="K993" s="23" t="s">
        <v>2792</v>
      </c>
      <c r="M993" s="23" t="s">
        <v>2792</v>
      </c>
      <c r="T993" s="23" t="s">
        <v>2792</v>
      </c>
      <c r="U993" s="24" t="s">
        <v>2792</v>
      </c>
      <c r="V993" s="25"/>
      <c r="W993" s="23"/>
      <c r="X993" s="23"/>
      <c r="Y993" s="10"/>
      <c r="Z993" s="10"/>
      <c r="AA993" s="23"/>
      <c r="AB993" s="15"/>
      <c r="AC993" s="26"/>
      <c r="AD993" s="16"/>
      <c r="AE993" s="16"/>
      <c r="AF993" s="16"/>
      <c r="AG993" s="16"/>
      <c r="AH993" s="16"/>
      <c r="AI993" s="16"/>
      <c r="AQ993" s="17"/>
      <c r="AS993" s="18"/>
      <c r="AU993" s="18"/>
      <c r="AV993" s="27"/>
      <c r="AW993" s="28"/>
      <c r="AX993" s="21"/>
    </row>
    <row r="994" spans="2:50" ht="15.75" customHeight="1">
      <c r="B994" s="22"/>
      <c r="C994" s="22"/>
      <c r="E994" s="23" t="s">
        <v>2792</v>
      </c>
      <c r="F994" s="23" t="s">
        <v>2792</v>
      </c>
      <c r="G994" s="23" t="s">
        <v>2792</v>
      </c>
      <c r="H994" s="23" t="s">
        <v>2792</v>
      </c>
      <c r="I994" s="23" t="s">
        <v>2792</v>
      </c>
      <c r="J994" s="23" t="s">
        <v>2792</v>
      </c>
      <c r="K994" s="23" t="s">
        <v>2792</v>
      </c>
      <c r="M994" s="23" t="s">
        <v>2792</v>
      </c>
      <c r="T994" s="23" t="s">
        <v>2792</v>
      </c>
      <c r="U994" s="24" t="s">
        <v>2792</v>
      </c>
      <c r="V994" s="25"/>
      <c r="W994" s="23"/>
      <c r="X994" s="23"/>
      <c r="Y994" s="10"/>
      <c r="Z994" s="10"/>
      <c r="AA994" s="23"/>
      <c r="AB994" s="15"/>
      <c r="AC994" s="26"/>
      <c r="AD994" s="16"/>
      <c r="AE994" s="16"/>
      <c r="AF994" s="16"/>
      <c r="AG994" s="16"/>
      <c r="AH994" s="16"/>
      <c r="AI994" s="16"/>
      <c r="AQ994" s="17"/>
      <c r="AS994" s="18"/>
      <c r="AU994" s="18"/>
      <c r="AV994" s="27"/>
      <c r="AW994" s="28"/>
      <c r="AX994" s="21"/>
    </row>
    <row r="995" spans="2:50" ht="15.75" customHeight="1">
      <c r="B995" s="22"/>
      <c r="C995" s="22"/>
      <c r="E995" s="23" t="s">
        <v>2792</v>
      </c>
      <c r="F995" s="23" t="s">
        <v>2792</v>
      </c>
      <c r="G995" s="23" t="s">
        <v>2792</v>
      </c>
      <c r="H995" s="23" t="s">
        <v>2792</v>
      </c>
      <c r="I995" s="23" t="s">
        <v>2792</v>
      </c>
      <c r="J995" s="23" t="s">
        <v>2792</v>
      </c>
      <c r="K995" s="23" t="s">
        <v>2792</v>
      </c>
      <c r="M995" s="23" t="s">
        <v>2792</v>
      </c>
      <c r="T995" s="23" t="s">
        <v>2792</v>
      </c>
      <c r="U995" s="24" t="s">
        <v>2792</v>
      </c>
      <c r="V995" s="25"/>
      <c r="W995" s="23"/>
      <c r="X995" s="23"/>
      <c r="Y995" s="10"/>
      <c r="Z995" s="10"/>
      <c r="AA995" s="23"/>
      <c r="AB995" s="15"/>
      <c r="AC995" s="26"/>
      <c r="AD995" s="16"/>
      <c r="AE995" s="16"/>
      <c r="AF995" s="16"/>
      <c r="AG995" s="16"/>
      <c r="AH995" s="16"/>
      <c r="AI995" s="16"/>
      <c r="AQ995" s="17"/>
      <c r="AS995" s="18"/>
      <c r="AU995" s="18"/>
      <c r="AV995" s="27"/>
      <c r="AW995" s="28"/>
      <c r="AX995" s="21"/>
    </row>
    <row r="996" spans="2:50" ht="15.75" customHeight="1">
      <c r="B996" s="22"/>
      <c r="C996" s="22"/>
      <c r="E996" s="23" t="s">
        <v>2792</v>
      </c>
      <c r="F996" s="23" t="s">
        <v>2792</v>
      </c>
      <c r="G996" s="23" t="s">
        <v>2792</v>
      </c>
      <c r="H996" s="23" t="s">
        <v>2792</v>
      </c>
      <c r="I996" s="23" t="s">
        <v>2792</v>
      </c>
      <c r="J996" s="23" t="s">
        <v>2792</v>
      </c>
      <c r="K996" s="23" t="s">
        <v>2792</v>
      </c>
      <c r="M996" s="23" t="s">
        <v>2792</v>
      </c>
      <c r="T996" s="23" t="s">
        <v>2792</v>
      </c>
      <c r="U996" s="24" t="s">
        <v>2792</v>
      </c>
      <c r="V996" s="25"/>
      <c r="W996" s="23"/>
      <c r="X996" s="23"/>
      <c r="Y996" s="10"/>
      <c r="Z996" s="10"/>
      <c r="AA996" s="23"/>
      <c r="AB996" s="15"/>
      <c r="AC996" s="26"/>
      <c r="AD996" s="16"/>
      <c r="AE996" s="16"/>
      <c r="AF996" s="16"/>
      <c r="AG996" s="16"/>
      <c r="AH996" s="16"/>
      <c r="AI996" s="16"/>
      <c r="AQ996" s="17"/>
      <c r="AS996" s="18"/>
      <c r="AU996" s="18"/>
      <c r="AV996" s="27"/>
      <c r="AW996" s="28"/>
      <c r="AX996" s="21"/>
    </row>
    <row r="997" spans="2:50" ht="15.75" customHeight="1">
      <c r="B997" s="22"/>
      <c r="C997" s="22"/>
      <c r="E997" s="23" t="s">
        <v>2792</v>
      </c>
      <c r="F997" s="23" t="s">
        <v>2792</v>
      </c>
      <c r="G997" s="23" t="s">
        <v>2792</v>
      </c>
      <c r="H997" s="23" t="s">
        <v>2792</v>
      </c>
      <c r="I997" s="23" t="s">
        <v>2792</v>
      </c>
      <c r="J997" s="23" t="s">
        <v>2792</v>
      </c>
      <c r="K997" s="23" t="s">
        <v>2792</v>
      </c>
      <c r="M997" s="23" t="s">
        <v>2792</v>
      </c>
      <c r="T997" s="23" t="s">
        <v>2792</v>
      </c>
      <c r="U997" s="24" t="s">
        <v>2792</v>
      </c>
      <c r="V997" s="25"/>
      <c r="W997" s="23"/>
      <c r="X997" s="23"/>
      <c r="Y997" s="10"/>
      <c r="Z997" s="10"/>
      <c r="AA997" s="23"/>
      <c r="AB997" s="15"/>
      <c r="AC997" s="26"/>
      <c r="AD997" s="16"/>
      <c r="AE997" s="16"/>
      <c r="AF997" s="16"/>
      <c r="AG997" s="16"/>
      <c r="AH997" s="16"/>
      <c r="AI997" s="16"/>
      <c r="AQ997" s="17"/>
      <c r="AS997" s="18"/>
      <c r="AU997" s="18"/>
      <c r="AV997" s="27"/>
      <c r="AW997" s="28"/>
      <c r="AX997" s="21"/>
    </row>
    <row r="998" spans="2:50" ht="15.75" customHeight="1">
      <c r="B998" s="22"/>
      <c r="C998" s="22"/>
      <c r="E998" s="23" t="s">
        <v>2792</v>
      </c>
      <c r="F998" s="23" t="s">
        <v>2792</v>
      </c>
      <c r="G998" s="23" t="s">
        <v>2792</v>
      </c>
      <c r="H998" s="23" t="s">
        <v>2792</v>
      </c>
      <c r="I998" s="23" t="s">
        <v>2792</v>
      </c>
      <c r="J998" s="23" t="s">
        <v>2792</v>
      </c>
      <c r="K998" s="23" t="s">
        <v>2792</v>
      </c>
      <c r="M998" s="23" t="s">
        <v>2792</v>
      </c>
      <c r="T998" s="23" t="s">
        <v>2792</v>
      </c>
      <c r="U998" s="24" t="s">
        <v>2792</v>
      </c>
      <c r="V998" s="25"/>
      <c r="W998" s="23"/>
      <c r="X998" s="23"/>
      <c r="Y998" s="10"/>
      <c r="Z998" s="10"/>
      <c r="AA998" s="23"/>
      <c r="AB998" s="15"/>
      <c r="AC998" s="26"/>
      <c r="AD998" s="16"/>
      <c r="AE998" s="16"/>
      <c r="AF998" s="16"/>
      <c r="AG998" s="16"/>
      <c r="AH998" s="16"/>
      <c r="AI998" s="16"/>
      <c r="AQ998" s="17"/>
      <c r="AS998" s="18"/>
      <c r="AU998" s="18"/>
      <c r="AV998" s="27"/>
      <c r="AW998" s="28"/>
      <c r="AX998" s="21"/>
    </row>
    <row r="999" spans="2:50" ht="15.75" customHeight="1">
      <c r="B999" s="22"/>
      <c r="C999" s="22"/>
      <c r="E999" s="23" t="s">
        <v>2792</v>
      </c>
      <c r="F999" s="23" t="s">
        <v>2792</v>
      </c>
      <c r="G999" s="23" t="s">
        <v>2792</v>
      </c>
      <c r="H999" s="23" t="s">
        <v>2792</v>
      </c>
      <c r="I999" s="23" t="s">
        <v>2792</v>
      </c>
      <c r="J999" s="23" t="s">
        <v>2792</v>
      </c>
      <c r="K999" s="23" t="s">
        <v>2792</v>
      </c>
      <c r="M999" s="23" t="s">
        <v>2792</v>
      </c>
      <c r="T999" s="23" t="s">
        <v>2792</v>
      </c>
      <c r="U999" s="24" t="s">
        <v>2792</v>
      </c>
      <c r="V999" s="25"/>
      <c r="W999" s="23"/>
      <c r="X999" s="23"/>
      <c r="Y999" s="10"/>
      <c r="Z999" s="10"/>
      <c r="AA999" s="23"/>
      <c r="AB999" s="15"/>
      <c r="AC999" s="26"/>
      <c r="AD999" s="16"/>
      <c r="AE999" s="16"/>
      <c r="AF999" s="16"/>
      <c r="AG999" s="16"/>
      <c r="AH999" s="16"/>
      <c r="AI999" s="16"/>
      <c r="AQ999" s="17"/>
      <c r="AS999" s="18"/>
      <c r="AU999" s="18"/>
      <c r="AV999" s="27"/>
      <c r="AW999" s="28"/>
      <c r="AX999" s="21"/>
    </row>
    <row r="1000" spans="2:50" ht="15.75" customHeight="1">
      <c r="B1000" s="22"/>
      <c r="C1000" s="22"/>
      <c r="E1000" s="23" t="s">
        <v>2792</v>
      </c>
      <c r="F1000" s="23" t="s">
        <v>2792</v>
      </c>
      <c r="G1000" s="23" t="s">
        <v>2792</v>
      </c>
      <c r="H1000" s="23" t="s">
        <v>2792</v>
      </c>
      <c r="I1000" s="23" t="s">
        <v>2792</v>
      </c>
      <c r="J1000" s="23" t="s">
        <v>2792</v>
      </c>
      <c r="K1000" s="23" t="s">
        <v>2792</v>
      </c>
      <c r="M1000" s="23" t="s">
        <v>2792</v>
      </c>
      <c r="T1000" s="23" t="s">
        <v>2792</v>
      </c>
      <c r="U1000" s="24" t="s">
        <v>2792</v>
      </c>
      <c r="V1000" s="25"/>
      <c r="W1000" s="23"/>
      <c r="X1000" s="23"/>
      <c r="Y1000" s="10"/>
      <c r="Z1000" s="10"/>
      <c r="AA1000" s="23"/>
      <c r="AB1000" s="15"/>
      <c r="AC1000" s="26"/>
      <c r="AD1000" s="16"/>
      <c r="AE1000" s="16"/>
      <c r="AF1000" s="16"/>
      <c r="AG1000" s="16"/>
      <c r="AH1000" s="16"/>
      <c r="AI1000" s="16"/>
      <c r="AQ1000" s="17"/>
      <c r="AS1000" s="18"/>
      <c r="AU1000" s="18"/>
      <c r="AV1000" s="27"/>
      <c r="AW1000" s="28"/>
      <c r="AX1000" s="2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B20"/>
  <sheetViews>
    <sheetView workbookViewId="0"/>
  </sheetViews>
  <sheetFormatPr defaultColWidth="12.625" defaultRowHeight="15" customHeight="1"/>
  <cols>
    <col min="1" max="1" width="22.125" customWidth="1"/>
  </cols>
  <sheetData>
    <row r="1" spans="1:2" ht="15" customHeight="1">
      <c r="A1" s="29" t="s">
        <v>2793</v>
      </c>
      <c r="B1" s="30" t="s">
        <v>2794</v>
      </c>
    </row>
    <row r="2" spans="1:2">
      <c r="A2" s="31" t="s">
        <v>2795</v>
      </c>
      <c r="B2" s="32">
        <v>0</v>
      </c>
    </row>
    <row r="3" spans="1:2">
      <c r="A3" s="31" t="s">
        <v>2796</v>
      </c>
      <c r="B3" s="32">
        <v>0</v>
      </c>
    </row>
    <row r="4" spans="1:2">
      <c r="A4" s="31" t="s">
        <v>2797</v>
      </c>
      <c r="B4" s="32">
        <f>COUNTIF(cleaned_orders!AF2:AF933,"Invalid")</f>
        <v>0</v>
      </c>
    </row>
    <row r="5" spans="1:2">
      <c r="A5" s="31" t="s">
        <v>2798</v>
      </c>
      <c r="B5" s="32">
        <f>COUNTIF(cleaned_orders!AG2:AG933,"Invalid")</f>
        <v>0</v>
      </c>
    </row>
    <row r="6" spans="1:2">
      <c r="A6" s="31" t="s">
        <v>2799</v>
      </c>
      <c r="B6" s="32">
        <f>COUNTIF(cleaned_orders!AD2:AD933,"Invalid Shipping Date")</f>
        <v>22</v>
      </c>
    </row>
    <row r="9" spans="1:2" ht="15" customHeight="1">
      <c r="A9" s="29" t="s">
        <v>2800</v>
      </c>
      <c r="B9" s="29" t="s">
        <v>2801</v>
      </c>
    </row>
    <row r="10" spans="1:2">
      <c r="A10" s="31" t="s">
        <v>6</v>
      </c>
      <c r="B10" s="33">
        <f>COUNTIF(cleaned_orders!AJ:AJ,TRUE)</f>
        <v>26</v>
      </c>
    </row>
    <row r="11" spans="1:2">
      <c r="A11" s="31" t="s">
        <v>12</v>
      </c>
      <c r="B11" s="33">
        <f>COUNTIF(cleaned_orders!AK:AK,TRUE)</f>
        <v>22</v>
      </c>
    </row>
    <row r="12" spans="1:2">
      <c r="A12" s="31" t="s">
        <v>15</v>
      </c>
      <c r="B12" s="33">
        <f>COUNTIF(cleaned_orders!AL:AL,TRUE)</f>
        <v>18</v>
      </c>
    </row>
    <row r="13" spans="1:2">
      <c r="A13" s="31" t="s">
        <v>17</v>
      </c>
      <c r="B13" s="33">
        <f>COUNTBLANK(cleaned_orders!R2:R933)</f>
        <v>0</v>
      </c>
    </row>
    <row r="14" spans="1:2">
      <c r="A14" s="31" t="s">
        <v>16</v>
      </c>
      <c r="B14" s="33">
        <f>COUNTBLANK(cleaned_orders!Q2:Q933)</f>
        <v>0</v>
      </c>
    </row>
    <row r="16" spans="1:2">
      <c r="A16" s="31" t="s">
        <v>2802</v>
      </c>
    </row>
    <row r="17" spans="1:2">
      <c r="A17" s="31" t="s">
        <v>2803</v>
      </c>
      <c r="B17" s="31" t="s">
        <v>2804</v>
      </c>
    </row>
    <row r="18" spans="1:2">
      <c r="A18" s="31" t="s">
        <v>2805</v>
      </c>
      <c r="B18" s="31">
        <f>COUNTIF(cleaned_orders!P2:P933,"&lt;0")</f>
        <v>16</v>
      </c>
    </row>
    <row r="19" spans="1:2">
      <c r="A19" s="31" t="s">
        <v>2806</v>
      </c>
      <c r="B19" s="31">
        <f>COUNTIF(cleaned_orders!P3:P934,"&gt;1")</f>
        <v>0</v>
      </c>
    </row>
    <row r="20" spans="1:2">
      <c r="A20" s="31" t="s">
        <v>2807</v>
      </c>
      <c r="B20" s="31">
        <f>COUNTBLANK(cleaned_orders!P2:P933)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00"/>
  <sheetViews>
    <sheetView workbookViewId="0"/>
  </sheetViews>
  <sheetFormatPr defaultColWidth="12.625" defaultRowHeight="15" customHeight="1"/>
  <cols>
    <col min="1" max="2" width="28" customWidth="1"/>
    <col min="3" max="26" width="8.625" customWidth="1"/>
  </cols>
  <sheetData>
    <row r="1" spans="1:2" ht="27.75" customHeight="1">
      <c r="A1" s="34" t="s">
        <v>2808</v>
      </c>
      <c r="B1" s="34" t="s">
        <v>2809</v>
      </c>
    </row>
    <row r="2" spans="1:2" ht="42.75">
      <c r="A2" s="35" t="s">
        <v>2810</v>
      </c>
      <c r="B2" s="35" t="s">
        <v>2811</v>
      </c>
    </row>
    <row r="3" spans="1:2" ht="28.5">
      <c r="A3" s="35" t="s">
        <v>2812</v>
      </c>
      <c r="B3" s="35" t="s">
        <v>2813</v>
      </c>
    </row>
    <row r="4" spans="1:2" ht="28.5">
      <c r="A4" s="35" t="s">
        <v>2814</v>
      </c>
      <c r="B4" s="35" t="s">
        <v>2813</v>
      </c>
    </row>
    <row r="5" spans="1:2" ht="28.5">
      <c r="A5" s="35" t="s">
        <v>2815</v>
      </c>
      <c r="B5" s="35" t="s">
        <v>2816</v>
      </c>
    </row>
    <row r="6" spans="1:2" ht="42.75">
      <c r="A6" s="35" t="s">
        <v>2817</v>
      </c>
      <c r="B6" s="35" t="s">
        <v>2818</v>
      </c>
    </row>
    <row r="7" spans="1:2" ht="57">
      <c r="A7" s="35" t="s">
        <v>2819</v>
      </c>
      <c r="B7" s="35" t="s">
        <v>2820</v>
      </c>
    </row>
    <row r="8" spans="1:2" ht="28.5">
      <c r="A8" s="35" t="s">
        <v>2821</v>
      </c>
      <c r="B8" s="35" t="s">
        <v>2822</v>
      </c>
    </row>
    <row r="9" spans="1:2" ht="42.75">
      <c r="A9" s="35" t="s">
        <v>2823</v>
      </c>
      <c r="B9" s="35" t="s">
        <v>2824</v>
      </c>
    </row>
    <row r="10" spans="1:2" ht="71.25">
      <c r="A10" s="35" t="s">
        <v>2825</v>
      </c>
      <c r="B10" s="35" t="s">
        <v>2826</v>
      </c>
    </row>
    <row r="11" spans="1:2" ht="42.75">
      <c r="A11" s="35" t="s">
        <v>2827</v>
      </c>
      <c r="B11" s="35" t="s">
        <v>2828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cleaned_orders</vt:lpstr>
      <vt:lpstr>Data Issue working</vt:lpstr>
      <vt:lpstr>business_rules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2026-06-26T21:45:27Z</dcterms:created>
  <dcterms:modified xsi:type="dcterms:W3CDTF">2026-06-26T21:45:27Z</dcterms:modified>
</cp:coreProperties>
</file>